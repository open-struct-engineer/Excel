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E825548A-A4E1-43F6-A979-544DC1E827A4}" xr6:coauthVersionLast="45" xr6:coauthVersionMax="45" xr10:uidLastSave="{00000000-0000-0000-0000-000000000000}"/>
  <bookViews>
    <workbookView xWindow="29745" yWindow="720" windowWidth="25350" windowHeight="16815" xr2:uid="{6AEE646E-04EC-4C95-872D-5F2912EB63C3}"/>
  </bookViews>
  <sheets>
    <sheet name="LICENSE" sheetId="10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E56" i="1"/>
  <c r="B55" i="1" s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J65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C39" i="7"/>
  <c r="D39" i="7"/>
  <c r="C40" i="7"/>
  <c r="D40" i="7"/>
  <c r="C41" i="7"/>
  <c r="D41" i="7"/>
  <c r="R41" i="7" s="1"/>
  <c r="C42" i="7"/>
  <c r="D42" i="7"/>
  <c r="C43" i="7"/>
  <c r="D43" i="7"/>
  <c r="C44" i="7"/>
  <c r="D44" i="7"/>
  <c r="C45" i="7"/>
  <c r="D45" i="7"/>
  <c r="D103" i="7" s="1"/>
  <c r="D118" i="7" s="1"/>
  <c r="C46" i="7"/>
  <c r="D46" i="7"/>
  <c r="C47" i="7"/>
  <c r="D47" i="7"/>
  <c r="C48" i="7"/>
  <c r="D48" i="7"/>
  <c r="B38" i="7"/>
  <c r="B39" i="7"/>
  <c r="Q39" i="7" s="1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C43" i="4"/>
  <c r="D43" i="4"/>
  <c r="C44" i="4"/>
  <c r="D44" i="4"/>
  <c r="D102" i="4" s="1"/>
  <c r="D117" i="4" s="1"/>
  <c r="C45" i="4"/>
  <c r="D45" i="4"/>
  <c r="Q45" i="4" s="1"/>
  <c r="C46" i="4"/>
  <c r="D46" i="4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C39" i="8"/>
  <c r="D39" i="8"/>
  <c r="C40" i="8"/>
  <c r="D40" i="8"/>
  <c r="C41" i="8"/>
  <c r="D41" i="8"/>
  <c r="D99" i="8" s="1"/>
  <c r="D114" i="8" s="1"/>
  <c r="C42" i="8"/>
  <c r="D42" i="8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R38" i="5" s="1"/>
  <c r="D38" i="5"/>
  <c r="C39" i="5"/>
  <c r="D39" i="5"/>
  <c r="C40" i="5"/>
  <c r="D40" i="5"/>
  <c r="C41" i="5"/>
  <c r="D41" i="5"/>
  <c r="Q41" i="5" s="1"/>
  <c r="C42" i="5"/>
  <c r="D42" i="5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R38" i="9" s="1"/>
  <c r="D38" i="9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D103" i="9"/>
  <c r="D118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D96" i="9"/>
  <c r="D111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Q46" i="9"/>
  <c r="Q42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D104" i="5"/>
  <c r="D119" i="5" s="1"/>
  <c r="G119" i="5" s="1"/>
  <c r="A104" i="5"/>
  <c r="A119" i="5" s="1"/>
  <c r="A103" i="5"/>
  <c r="A118" i="5" s="1"/>
  <c r="A102" i="5"/>
  <c r="A101" i="5"/>
  <c r="D100" i="5"/>
  <c r="D115" i="5" s="1"/>
  <c r="A100" i="5"/>
  <c r="A115" i="5" s="1"/>
  <c r="A99" i="5"/>
  <c r="A114" i="5" s="1"/>
  <c r="A98" i="5"/>
  <c r="D97" i="5"/>
  <c r="D112" i="5" s="1"/>
  <c r="A97" i="5"/>
  <c r="A112" i="5" s="1"/>
  <c r="D96" i="5"/>
  <c r="D111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7" i="5"/>
  <c r="Q47" i="5"/>
  <c r="Q46" i="5"/>
  <c r="R43" i="5"/>
  <c r="Q42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D104" i="8"/>
  <c r="D119" i="8" s="1"/>
  <c r="A104" i="8"/>
  <c r="A119" i="8" s="1"/>
  <c r="A103" i="8"/>
  <c r="A118" i="8" s="1"/>
  <c r="A102" i="8"/>
  <c r="A101" i="8"/>
  <c r="A116" i="8" s="1"/>
  <c r="D100" i="8"/>
  <c r="D115" i="8" s="1"/>
  <c r="A100" i="8"/>
  <c r="A115" i="8" s="1"/>
  <c r="A99" i="8"/>
  <c r="A114" i="8" s="1"/>
  <c r="D98" i="8"/>
  <c r="D113" i="8" s="1"/>
  <c r="A98" i="8"/>
  <c r="A113" i="8" s="1"/>
  <c r="D97" i="8"/>
  <c r="D112" i="8" s="1"/>
  <c r="A97" i="8"/>
  <c r="A112" i="8" s="1"/>
  <c r="D96" i="8"/>
  <c r="D111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8" i="8"/>
  <c r="R47" i="8"/>
  <c r="Q47" i="8"/>
  <c r="R46" i="8"/>
  <c r="Q46" i="8"/>
  <c r="Q42" i="8"/>
  <c r="R39" i="8"/>
  <c r="B33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D104" i="4"/>
  <c r="D119" i="4" s="1"/>
  <c r="G119" i="4" s="1"/>
  <c r="A104" i="4"/>
  <c r="A119" i="4" s="1"/>
  <c r="A103" i="4"/>
  <c r="A102" i="4"/>
  <c r="D101" i="4"/>
  <c r="D116" i="4" s="1"/>
  <c r="A101" i="4"/>
  <c r="A116" i="4" s="1"/>
  <c r="D100" i="4"/>
  <c r="D115" i="4" s="1"/>
  <c r="A100" i="4"/>
  <c r="A115" i="4" s="1"/>
  <c r="A99" i="4"/>
  <c r="A114" i="4" s="1"/>
  <c r="A98" i="4"/>
  <c r="A113" i="4" s="1"/>
  <c r="D97" i="4"/>
  <c r="D112" i="4" s="1"/>
  <c r="A97" i="4"/>
  <c r="A112" i="4" s="1"/>
  <c r="D96" i="4"/>
  <c r="D111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6" i="4"/>
  <c r="Q46" i="4"/>
  <c r="R43" i="4"/>
  <c r="Q43" i="4"/>
  <c r="Q42" i="4"/>
  <c r="R39" i="4"/>
  <c r="C33" i="4"/>
  <c r="D27" i="4"/>
  <c r="D26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D104" i="7"/>
  <c r="D119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D100" i="7"/>
  <c r="D115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D96" i="7"/>
  <c r="D111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6" i="7"/>
  <c r="Q46" i="7"/>
  <c r="R43" i="7"/>
  <c r="Q42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Q37" i="3" s="1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Q46" i="3"/>
  <c r="R45" i="3"/>
  <c r="Q45" i="3"/>
  <c r="Q42" i="3"/>
  <c r="R41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R46" i="6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Q43" i="2" s="1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D105" i="2"/>
  <c r="D120" i="2" s="1"/>
  <c r="G120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H85" i="1"/>
  <c r="H87" i="1"/>
  <c r="H88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75" i="1"/>
  <c r="H86" i="1" s="1"/>
  <c r="H76" i="1"/>
  <c r="H77" i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92" i="1"/>
  <c r="A81" i="1"/>
  <c r="B81" i="1"/>
  <c r="C81" i="1"/>
  <c r="C33" i="1"/>
  <c r="C33" i="6" s="1"/>
  <c r="B33" i="1"/>
  <c r="I81" i="1" s="1"/>
  <c r="D31" i="1"/>
  <c r="D30" i="1"/>
  <c r="D29" i="1"/>
  <c r="D28" i="1"/>
  <c r="D27" i="1"/>
  <c r="D26" i="1"/>
  <c r="R41" i="2" l="1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F118" i="9"/>
  <c r="E118" i="9"/>
  <c r="G120" i="9"/>
  <c r="F120" i="9"/>
  <c r="G118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21" i="8"/>
  <c r="F121" i="8"/>
  <c r="G119" i="8"/>
  <c r="F121" i="4"/>
  <c r="F14" i="4"/>
  <c r="F120" i="4"/>
  <c r="E120" i="4"/>
  <c r="G120" i="4"/>
  <c r="I14" i="4"/>
  <c r="E121" i="4"/>
  <c r="F119" i="4"/>
  <c r="E119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F119" i="3"/>
  <c r="E119" i="3"/>
  <c r="G119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19" i="6"/>
  <c r="E119" i="6"/>
  <c r="G119" i="6"/>
  <c r="F120" i="6"/>
  <c r="B74" i="6"/>
  <c r="G121" i="6"/>
  <c r="F121" i="6"/>
  <c r="E121" i="6"/>
  <c r="G120" i="6"/>
  <c r="F118" i="6"/>
  <c r="E118" i="6"/>
  <c r="D14" i="6"/>
  <c r="D33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G119" i="2"/>
  <c r="G118" i="2"/>
  <c r="F118" i="2"/>
  <c r="E118" i="2"/>
  <c r="F120" i="2"/>
  <c r="E120" i="2"/>
  <c r="J81" i="1"/>
  <c r="D32" i="1"/>
  <c r="F119" i="2" l="1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76" i="4"/>
  <c r="C80" i="4"/>
  <c r="B76" i="4"/>
  <c r="D16" i="4"/>
  <c r="B79" i="4"/>
  <c r="B79" i="3"/>
  <c r="J15" i="2"/>
  <c r="G21" i="1"/>
  <c r="F175" i="1"/>
  <c r="J15" i="9" l="1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19" i="8"/>
  <c r="C19" i="3"/>
  <c r="C19" i="7"/>
  <c r="C19" i="6"/>
  <c r="C19" i="4"/>
  <c r="C79" i="4" s="1"/>
  <c r="C19" i="2"/>
  <c r="C79" i="2" s="1"/>
  <c r="C19" i="9"/>
  <c r="D16" i="2"/>
  <c r="B20" i="8"/>
  <c r="H20" i="8" s="1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C79" i="5"/>
  <c r="F21" i="5"/>
  <c r="B80" i="5"/>
  <c r="D21" i="5"/>
  <c r="E20" i="5"/>
  <c r="I21" i="5"/>
  <c r="H21" i="5"/>
  <c r="E21" i="5"/>
  <c r="H20" i="5"/>
  <c r="F20" i="5"/>
  <c r="I20" i="5"/>
  <c r="E21" i="3"/>
  <c r="C79" i="3"/>
  <c r="B77" i="6"/>
  <c r="I21" i="1"/>
  <c r="H21" i="1"/>
  <c r="J21" i="1" s="1"/>
  <c r="D21" i="1"/>
  <c r="E21" i="1"/>
  <c r="B5" i="1"/>
  <c r="J64" i="1" s="1"/>
  <c r="Q64" i="1" s="1"/>
  <c r="G20" i="5" l="1"/>
  <c r="F21" i="8"/>
  <c r="F20" i="3"/>
  <c r="B80" i="3"/>
  <c r="G20" i="3"/>
  <c r="F21" i="3"/>
  <c r="D21" i="3"/>
  <c r="F20" i="6"/>
  <c r="H20" i="3"/>
  <c r="E20" i="3"/>
  <c r="H21" i="3"/>
  <c r="J21" i="5"/>
  <c r="G17" i="9"/>
  <c r="G17" i="6"/>
  <c r="D20" i="5"/>
  <c r="D17" i="6"/>
  <c r="J16" i="5"/>
  <c r="H17" i="9"/>
  <c r="D17" i="9"/>
  <c r="F17" i="6"/>
  <c r="I17" i="6"/>
  <c r="D21" i="8"/>
  <c r="F17" i="9"/>
  <c r="G20" i="9"/>
  <c r="J20" i="9" s="1"/>
  <c r="E17" i="6"/>
  <c r="G21" i="9"/>
  <c r="H21" i="9"/>
  <c r="E21" i="9"/>
  <c r="B80" i="9"/>
  <c r="H17" i="2"/>
  <c r="J17" i="2" s="1"/>
  <c r="C79" i="9"/>
  <c r="J16" i="4"/>
  <c r="J16" i="9"/>
  <c r="C77" i="2"/>
  <c r="J16" i="2"/>
  <c r="J16" i="8"/>
  <c r="B64" i="5"/>
  <c r="C91" i="5" s="1"/>
  <c r="E138" i="5" s="1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J20" i="2" s="1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J21" i="3" s="1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J20" i="5"/>
  <c r="F18" i="8"/>
  <c r="J20" i="3"/>
  <c r="J17" i="6" l="1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G22" i="3" s="1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D22" i="8" s="1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C139" i="5"/>
  <c r="J19" i="3"/>
  <c r="E135" i="6"/>
  <c r="J19" i="5" l="1"/>
  <c r="D22" i="2"/>
  <c r="B89" i="8"/>
  <c r="I22" i="8"/>
  <c r="D22" i="3"/>
  <c r="I2" i="3" s="1"/>
  <c r="J19" i="8"/>
  <c r="B89" i="3"/>
  <c r="D136" i="3" s="1"/>
  <c r="G22" i="8"/>
  <c r="N13" i="8" s="1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N13" i="2" s="1"/>
  <c r="Y14" i="2" s="1"/>
  <c r="AA14" i="2" s="1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P13" i="2" s="1"/>
  <c r="I22" i="9"/>
  <c r="B89" i="4"/>
  <c r="Q76" i="4" s="1" a="1"/>
  <c r="Q76" i="4" s="1"/>
  <c r="H22" i="7"/>
  <c r="I22" i="3"/>
  <c r="D22" i="7"/>
  <c r="I2" i="7" s="1"/>
  <c r="K13" i="3"/>
  <c r="H22" i="4"/>
  <c r="O13" i="3"/>
  <c r="Z21" i="3" s="1"/>
  <c r="AB21" i="3" s="1"/>
  <c r="E22" i="3"/>
  <c r="J19" i="4"/>
  <c r="J18" i="4"/>
  <c r="J18" i="9"/>
  <c r="F22" i="3"/>
  <c r="J19" i="7"/>
  <c r="I2" i="2"/>
  <c r="E22" i="2"/>
  <c r="F22" i="2"/>
  <c r="R19" i="2" s="1"/>
  <c r="H139" i="6"/>
  <c r="I139" i="6" s="1"/>
  <c r="O13" i="2"/>
  <c r="W13" i="2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M13" i="3" s="1"/>
  <c r="J18" i="2"/>
  <c r="J22" i="2" s="1"/>
  <c r="M13" i="2" s="1"/>
  <c r="H22" i="9"/>
  <c r="L13" i="9" s="1"/>
  <c r="F22" i="9"/>
  <c r="R19" i="9" s="1"/>
  <c r="I2" i="9"/>
  <c r="P13" i="8"/>
  <c r="O13" i="8"/>
  <c r="W13" i="8" s="1"/>
  <c r="F22" i="8"/>
  <c r="E22" i="8"/>
  <c r="I2" i="8"/>
  <c r="L13" i="8"/>
  <c r="L13" i="2"/>
  <c r="I22" i="7"/>
  <c r="P13" i="9"/>
  <c r="J18" i="6"/>
  <c r="J22" i="6" s="1"/>
  <c r="G22" i="6"/>
  <c r="N13" i="3"/>
  <c r="Y15" i="3" s="1"/>
  <c r="AA15" i="3" s="1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Q76" i="8" a="1"/>
  <c r="Q76" i="8" s="1"/>
  <c r="Q77" i="8" s="1"/>
  <c r="R77" i="8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D136" i="8"/>
  <c r="B137" i="8" s="1"/>
  <c r="F127" i="8"/>
  <c r="C136" i="8"/>
  <c r="C137" i="8"/>
  <c r="H139" i="8"/>
  <c r="I139" i="8" s="1"/>
  <c r="F126" i="8"/>
  <c r="J22" i="8"/>
  <c r="M13" i="8" s="1"/>
  <c r="C137" i="4"/>
  <c r="H139" i="4"/>
  <c r="I139" i="4" s="1"/>
  <c r="B136" i="6"/>
  <c r="H135" i="6"/>
  <c r="I135" i="6" s="1"/>
  <c r="C136" i="6"/>
  <c r="Q76" i="9" l="1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R13" i="2"/>
  <c r="Y18" i="2"/>
  <c r="AA18" i="2" s="1"/>
  <c r="B178" i="3"/>
  <c r="Z15" i="2"/>
  <c r="AB15" i="2" s="1"/>
  <c r="X13" i="2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V13" i="2"/>
  <c r="Y16" i="2"/>
  <c r="AA16" i="2" s="1"/>
  <c r="U13" i="2"/>
  <c r="F22" i="6"/>
  <c r="K15" i="6" s="1"/>
  <c r="Y15" i="2"/>
  <c r="AA15" i="2" s="1"/>
  <c r="Y17" i="2"/>
  <c r="AA17" i="2" s="1"/>
  <c r="Y20" i="2"/>
  <c r="AA20" i="2" s="1"/>
  <c r="Y19" i="2"/>
  <c r="AA19" i="2" s="1"/>
  <c r="K13" i="5"/>
  <c r="K14" i="3"/>
  <c r="O17" i="3" s="1"/>
  <c r="O19" i="3" s="1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Q13" i="2"/>
  <c r="T13" i="2" s="1"/>
  <c r="Z14" i="2"/>
  <c r="AB14" i="2" s="1"/>
  <c r="AC14" i="2" s="1"/>
  <c r="Z19" i="2"/>
  <c r="AB19" i="2" s="1"/>
  <c r="K21" i="3"/>
  <c r="I2" i="6"/>
  <c r="P13" i="7"/>
  <c r="F22" i="7"/>
  <c r="R19" i="7" s="1"/>
  <c r="L13" i="7"/>
  <c r="Z16" i="3"/>
  <c r="AB16" i="3" s="1"/>
  <c r="O13" i="7"/>
  <c r="Z21" i="7" s="1"/>
  <c r="AB21" i="7" s="1"/>
  <c r="Z17" i="3"/>
  <c r="AB17" i="3" s="1"/>
  <c r="N13" i="5"/>
  <c r="Y16" i="5" s="1"/>
  <c r="AA16" i="5" s="1"/>
  <c r="F127" i="4"/>
  <c r="F126" i="4"/>
  <c r="D136" i="4"/>
  <c r="B137" i="4" s="1"/>
  <c r="H137" i="4" s="1"/>
  <c r="I137" i="4" s="1"/>
  <c r="K20" i="2"/>
  <c r="K19" i="2"/>
  <c r="E22" i="7"/>
  <c r="K14" i="2"/>
  <c r="O17" i="2" s="1"/>
  <c r="O19" i="2" s="1"/>
  <c r="Z18" i="3"/>
  <c r="AB18" i="3" s="1"/>
  <c r="S13" i="3"/>
  <c r="I2" i="4"/>
  <c r="J22" i="4"/>
  <c r="Z20" i="3"/>
  <c r="AB20" i="3" s="1"/>
  <c r="P13" i="4"/>
  <c r="K21" i="2"/>
  <c r="Z19" i="3"/>
  <c r="AB19" i="3" s="1"/>
  <c r="K15" i="2"/>
  <c r="Q19" i="2"/>
  <c r="Z14" i="3"/>
  <c r="AB14" i="3" s="1"/>
  <c r="K19" i="3"/>
  <c r="K17" i="2"/>
  <c r="X13" i="3"/>
  <c r="K15" i="8"/>
  <c r="K16" i="2"/>
  <c r="W13" i="3"/>
  <c r="Z15" i="3"/>
  <c r="AB15" i="3" s="1"/>
  <c r="AC15" i="3" s="1"/>
  <c r="L13" i="4"/>
  <c r="R19" i="8"/>
  <c r="K18" i="3"/>
  <c r="K15" i="3"/>
  <c r="R19" i="3"/>
  <c r="Q19" i="3"/>
  <c r="K17" i="3"/>
  <c r="K20" i="3"/>
  <c r="K16" i="3"/>
  <c r="J22" i="9"/>
  <c r="M13" i="9" s="1"/>
  <c r="Y16" i="3"/>
  <c r="AA16" i="3" s="1"/>
  <c r="M13" i="6"/>
  <c r="K21" i="9"/>
  <c r="Y14" i="3"/>
  <c r="AA14" i="3" s="1"/>
  <c r="Y18" i="3"/>
  <c r="AA18" i="3" s="1"/>
  <c r="K18" i="9"/>
  <c r="Y17" i="3"/>
  <c r="AA17" i="3" s="1"/>
  <c r="Y19" i="3"/>
  <c r="AA19" i="3" s="1"/>
  <c r="E22" i="5"/>
  <c r="Q19" i="5" s="1"/>
  <c r="U13" i="3"/>
  <c r="S13" i="8"/>
  <c r="M13" i="5"/>
  <c r="V13" i="3"/>
  <c r="Z21" i="8"/>
  <c r="AB21" i="8" s="1"/>
  <c r="Y20" i="3"/>
  <c r="AA20" i="3" s="1"/>
  <c r="Q13" i="3"/>
  <c r="T13" i="3" s="1"/>
  <c r="R13" i="3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M13" i="4"/>
  <c r="O13" i="4"/>
  <c r="Z17" i="8"/>
  <c r="AB17" i="8" s="1"/>
  <c r="Z14" i="8"/>
  <c r="AB14" i="8" s="1"/>
  <c r="Z20" i="8"/>
  <c r="AB20" i="8" s="1"/>
  <c r="Z19" i="8"/>
  <c r="AB19" i="8" s="1"/>
  <c r="K18" i="2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R76" i="9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7" i="8"/>
  <c r="I137" i="8" s="1"/>
  <c r="R76" i="8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H136" i="8"/>
  <c r="I136" i="8" s="1"/>
  <c r="Q77" i="4"/>
  <c r="R77" i="4" s="1"/>
  <c r="R76" i="4"/>
  <c r="B137" i="3"/>
  <c r="H136" i="3"/>
  <c r="I136" i="3" s="1"/>
  <c r="C137" i="3"/>
  <c r="I4" i="2" a="1"/>
  <c r="I4" i="2" s="1"/>
  <c r="AC18" i="2" l="1"/>
  <c r="AC15" i="2"/>
  <c r="Q13" i="9"/>
  <c r="T13" i="9" s="1"/>
  <c r="Z14" i="9"/>
  <c r="AB14" i="9" s="1"/>
  <c r="AC14" i="9" s="1"/>
  <c r="AC17" i="2"/>
  <c r="S13" i="9"/>
  <c r="Z17" i="9"/>
  <c r="AB17" i="9" s="1"/>
  <c r="AC17" i="9" s="1"/>
  <c r="I3" i="2" a="1"/>
  <c r="I3" i="2" s="1"/>
  <c r="I5" i="2" s="1"/>
  <c r="X13" i="9"/>
  <c r="K18" i="7"/>
  <c r="Z21" i="9"/>
  <c r="AB21" i="9" s="1"/>
  <c r="Y18" i="5"/>
  <c r="AA18" i="5" s="1"/>
  <c r="Z19" i="9"/>
  <c r="AB19" i="9" s="1"/>
  <c r="AC19" i="9" s="1"/>
  <c r="AC16" i="2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AC20" i="2"/>
  <c r="H136" i="4"/>
  <c r="I136" i="4" s="1"/>
  <c r="AC19" i="2"/>
  <c r="N19" i="3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AC16" i="3"/>
  <c r="Z15" i="7"/>
  <c r="AB15" i="7" s="1"/>
  <c r="Z17" i="7"/>
  <c r="AB17" i="7" s="1"/>
  <c r="W13" i="7"/>
  <c r="Z20" i="7"/>
  <c r="AB20" i="7" s="1"/>
  <c r="N19" i="2"/>
  <c r="AC17" i="3"/>
  <c r="X13" i="7"/>
  <c r="W13" i="6"/>
  <c r="I3" i="3" a="1"/>
  <c r="I3" i="3" s="1"/>
  <c r="Z17" i="6"/>
  <c r="AB17" i="6" s="1"/>
  <c r="AC19" i="3"/>
  <c r="AC18" i="8"/>
  <c r="K14" i="7"/>
  <c r="O17" i="7" s="1"/>
  <c r="N19" i="7" s="1"/>
  <c r="K20" i="7"/>
  <c r="K19" i="7"/>
  <c r="K21" i="7"/>
  <c r="K16" i="7"/>
  <c r="Q19" i="7"/>
  <c r="K17" i="7"/>
  <c r="K15" i="7"/>
  <c r="AC18" i="3"/>
  <c r="AC14" i="8"/>
  <c r="AC20" i="3"/>
  <c r="AC20" i="8"/>
  <c r="AC14" i="3"/>
  <c r="I4" i="3" a="1"/>
  <c r="I4" i="3" s="1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9" i="5" l="1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I5" i="3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5" l="1"/>
  <c r="I5" i="6"/>
  <c r="I5" i="7"/>
  <c r="I5" i="4"/>
  <c r="Q19" i="1"/>
  <c r="H139" i="1"/>
  <c r="I139" i="1" s="1"/>
  <c r="F22" i="1"/>
  <c r="K21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O13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P13" i="1"/>
  <c r="N13" i="1"/>
  <c r="Y21" i="1" s="1"/>
  <c r="AA21" i="1" s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C132" i="1" l="1"/>
  <c r="K20" i="1"/>
  <c r="R19" i="1"/>
  <c r="K16" i="1"/>
  <c r="K19" i="1"/>
  <c r="K15" i="1"/>
  <c r="K14" i="1"/>
  <c r="O17" i="1" s="1"/>
  <c r="N19" i="1" s="1"/>
  <c r="K17" i="1"/>
  <c r="K18" i="1"/>
  <c r="W13" i="1"/>
  <c r="Z21" i="1"/>
  <c r="AB21" i="1" s="1"/>
  <c r="AC21" i="1" s="1"/>
  <c r="X13" i="1"/>
  <c r="S13" i="1"/>
  <c r="Y18" i="1"/>
  <c r="AA18" i="1" s="1"/>
  <c r="Y19" i="1"/>
  <c r="AA19" i="1" s="1"/>
  <c r="Y20" i="1"/>
  <c r="AA20" i="1" s="1"/>
  <c r="U13" i="1"/>
  <c r="Y14" i="1"/>
  <c r="AA14" i="1" s="1"/>
  <c r="Y16" i="1"/>
  <c r="AA16" i="1" s="1"/>
  <c r="Y17" i="1"/>
  <c r="AA17" i="1" s="1"/>
  <c r="Y15" i="1"/>
  <c r="AA15" i="1" s="1"/>
  <c r="Z17" i="1"/>
  <c r="AB17" i="1" s="1"/>
  <c r="Z19" i="1"/>
  <c r="AB19" i="1" s="1"/>
  <c r="Z20" i="1"/>
  <c r="AB20" i="1" s="1"/>
  <c r="Z18" i="1"/>
  <c r="AB18" i="1" s="1"/>
  <c r="Z14" i="1"/>
  <c r="AB14" i="1" s="1"/>
  <c r="Z15" i="1"/>
  <c r="AB15" i="1" s="1"/>
  <c r="Z16" i="1"/>
  <c r="AB16" i="1" s="1"/>
  <c r="B132" i="1"/>
  <c r="Q13" i="1"/>
  <c r="T13" i="1" s="1"/>
  <c r="V13" i="1"/>
  <c r="R13" i="1"/>
  <c r="AC19" i="1" l="1"/>
  <c r="I4" i="1" a="1"/>
  <c r="I4" i="1" s="1"/>
  <c r="AC20" i="1"/>
  <c r="O19" i="1"/>
  <c r="AC16" i="1"/>
  <c r="AC18" i="1"/>
  <c r="AC14" i="1"/>
  <c r="AC15" i="1"/>
  <c r="AC17" i="1"/>
  <c r="I3" i="1" a="1"/>
  <c r="I3" i="1" s="1"/>
  <c r="Q66" i="1" l="1"/>
  <c r="AC24" i="1"/>
  <c r="AC23" i="1"/>
  <c r="AC22" i="1"/>
  <c r="I5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T37" i="1"/>
  <c r="U37" i="1" s="1"/>
  <c r="B53" i="1"/>
  <c r="J66" i="1" l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E132" i="1" l="1"/>
  <c r="C133" i="1" s="1"/>
  <c r="Q65" i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F127" i="1"/>
  <c r="F126" i="1"/>
  <c r="B125" i="1"/>
  <c r="B65" i="7" l="1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G127" i="1" s="1"/>
  <c r="Q80" i="1" s="1"/>
  <c r="Q83" i="1" s="1"/>
  <c r="B65" i="4" l="1"/>
  <c r="C175" i="4" s="1"/>
  <c r="C176" i="4" s="1"/>
  <c r="C177" i="4" s="1"/>
  <c r="C175" i="8"/>
  <c r="C176" i="8" s="1"/>
  <c r="C177" i="8" s="1"/>
  <c r="B125" i="8"/>
  <c r="B125" i="4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R80" i="1"/>
  <c r="R83" i="1" s="1"/>
  <c r="Q79" i="1"/>
  <c r="Q82" i="1" s="1"/>
  <c r="R79" i="1"/>
  <c r="R82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G139" i="9" l="1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E116" i="6"/>
  <c r="E117" i="6"/>
  <c r="E115" i="6"/>
  <c r="E114" i="6"/>
  <c r="F132" i="5"/>
  <c r="N132" i="5" s="1"/>
  <c r="E115" i="5"/>
  <c r="E114" i="5"/>
  <c r="E117" i="5"/>
  <c r="E116" i="5"/>
  <c r="F147" i="4"/>
  <c r="N147" i="4" s="1"/>
  <c r="E116" i="4"/>
  <c r="E114" i="4"/>
  <c r="E117" i="4"/>
  <c r="E115" i="4"/>
  <c r="F150" i="8"/>
  <c r="E115" i="8"/>
  <c r="E116" i="8"/>
  <c r="E114" i="8"/>
  <c r="E117" i="8"/>
  <c r="G133" i="3"/>
  <c r="O133" i="3" s="1"/>
  <c r="E115" i="3"/>
  <c r="E117" i="3"/>
  <c r="E114" i="3"/>
  <c r="E116" i="3"/>
  <c r="F147" i="7"/>
  <c r="E116" i="7"/>
  <c r="E115" i="7"/>
  <c r="E117" i="7"/>
  <c r="E114" i="7"/>
  <c r="E175" i="1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K146" i="3" s="1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F152" i="4"/>
  <c r="N152" i="4" s="1"/>
  <c r="F133" i="4"/>
  <c r="N133" i="4" s="1"/>
  <c r="G149" i="4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F132" i="4"/>
  <c r="M115" i="6"/>
  <c r="N115" i="6" s="1"/>
  <c r="O115" i="6" s="1"/>
  <c r="G151" i="4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F149" i="4"/>
  <c r="M121" i="6"/>
  <c r="N121" i="6" s="1"/>
  <c r="P121" i="6" s="1"/>
  <c r="M113" i="6"/>
  <c r="N113" i="6" s="1"/>
  <c r="P113" i="6" s="1"/>
  <c r="F135" i="3"/>
  <c r="F139" i="3"/>
  <c r="F134" i="4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M150" i="8" s="1"/>
  <c r="F133" i="8"/>
  <c r="G133" i="8"/>
  <c r="F134" i="8"/>
  <c r="N134" i="8" s="1"/>
  <c r="N147" i="7"/>
  <c r="N150" i="8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E110" i="4"/>
  <c r="G126" i="4"/>
  <c r="G127" i="4" s="1"/>
  <c r="E112" i="4"/>
  <c r="E111" i="4"/>
  <c r="E113" i="4"/>
  <c r="M118" i="4"/>
  <c r="N118" i="4" s="1"/>
  <c r="M119" i="4"/>
  <c r="N119" i="4" s="1"/>
  <c r="M120" i="4"/>
  <c r="N120" i="4" s="1"/>
  <c r="M117" i="4"/>
  <c r="N117" i="4" s="1"/>
  <c r="M113" i="4"/>
  <c r="N113" i="4" s="1"/>
  <c r="M114" i="4"/>
  <c r="N114" i="4" s="1"/>
  <c r="M112" i="4"/>
  <c r="N112" i="4" s="1"/>
  <c r="M111" i="4"/>
  <c r="N111" i="4" s="1"/>
  <c r="M115" i="4"/>
  <c r="N115" i="4" s="1"/>
  <c r="M116" i="4"/>
  <c r="N116" i="4" s="1"/>
  <c r="M110" i="4"/>
  <c r="M121" i="4"/>
  <c r="N121" i="4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G148" i="4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G135" i="4"/>
  <c r="G134" i="4"/>
  <c r="G139" i="4"/>
  <c r="G147" i="4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G133" i="4"/>
  <c r="F146" i="4"/>
  <c r="F138" i="4"/>
  <c r="F136" i="4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G138" i="4"/>
  <c r="G136" i="4"/>
  <c r="F135" i="4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G132" i="4"/>
  <c r="G152" i="4"/>
  <c r="G150" i="4"/>
  <c r="G137" i="4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F151" i="4"/>
  <c r="F148" i="4"/>
  <c r="F153" i="4"/>
  <c r="F137" i="4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F150" i="4"/>
  <c r="G146" i="4"/>
  <c r="G153" i="4"/>
  <c r="F139" i="4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O112" i="2"/>
  <c r="P118" i="6"/>
  <c r="O118" i="6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K147" i="4" l="1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M149" i="4"/>
  <c r="P117" i="8"/>
  <c r="M132" i="8"/>
  <c r="N139" i="8"/>
  <c r="J146" i="5"/>
  <c r="L133" i="8"/>
  <c r="J139" i="8"/>
  <c r="L133" i="3"/>
  <c r="K146" i="9"/>
  <c r="M133" i="3"/>
  <c r="J135" i="8"/>
  <c r="H113" i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K149" i="4"/>
  <c r="M151" i="4"/>
  <c r="J153" i="5"/>
  <c r="J148" i="7"/>
  <c r="L149" i="7"/>
  <c r="J147" i="4"/>
  <c r="J139" i="7"/>
  <c r="K151" i="7"/>
  <c r="L152" i="7"/>
  <c r="J132" i="4"/>
  <c r="L136" i="9"/>
  <c r="M138" i="3"/>
  <c r="M146" i="7"/>
  <c r="K139" i="3"/>
  <c r="M152" i="5"/>
  <c r="J147" i="9"/>
  <c r="J151" i="5"/>
  <c r="K136" i="7"/>
  <c r="K133" i="7"/>
  <c r="L133" i="7"/>
  <c r="L132" i="7"/>
  <c r="K134" i="4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49" i="4"/>
  <c r="O120" i="6"/>
  <c r="K148" i="8"/>
  <c r="M134" i="8"/>
  <c r="M139" i="8"/>
  <c r="O153" i="3"/>
  <c r="L151" i="4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J152" i="4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J133" i="4"/>
  <c r="L132" i="8"/>
  <c r="N134" i="7"/>
  <c r="P114" i="2"/>
  <c r="K133" i="4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N134" i="4"/>
  <c r="J134" i="8"/>
  <c r="N132" i="4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O151" i="4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K152" i="4"/>
  <c r="M122" i="2"/>
  <c r="O119" i="2"/>
  <c r="L152" i="5"/>
  <c r="M153" i="3"/>
  <c r="K151" i="5"/>
  <c r="N132" i="3"/>
  <c r="N149" i="4"/>
  <c r="L137" i="3"/>
  <c r="N151" i="5"/>
  <c r="J149" i="4"/>
  <c r="M137" i="3"/>
  <c r="J150" i="7"/>
  <c r="O150" i="3"/>
  <c r="K139" i="9"/>
  <c r="L150" i="3"/>
  <c r="M136" i="3"/>
  <c r="J134" i="4"/>
  <c r="K150" i="7"/>
  <c r="P112" i="8"/>
  <c r="O112" i="8"/>
  <c r="L136" i="3"/>
  <c r="J136" i="3"/>
  <c r="J152" i="8"/>
  <c r="J152" i="3"/>
  <c r="L152" i="8"/>
  <c r="K132" i="4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L149" i="4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E122" i="4"/>
  <c r="G67" i="4" s="1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M138" i="4"/>
  <c r="L138" i="4"/>
  <c r="O138" i="4"/>
  <c r="P113" i="9"/>
  <c r="O113" i="9"/>
  <c r="L137" i="9"/>
  <c r="M137" i="9"/>
  <c r="O137" i="9"/>
  <c r="J153" i="3"/>
  <c r="K153" i="3"/>
  <c r="N153" i="3"/>
  <c r="P115" i="7"/>
  <c r="O115" i="7"/>
  <c r="P113" i="7"/>
  <c r="O113" i="7"/>
  <c r="M139" i="4"/>
  <c r="L139" i="4"/>
  <c r="O139" i="4"/>
  <c r="P121" i="3"/>
  <c r="O121" i="3"/>
  <c r="N110" i="3"/>
  <c r="M122" i="3"/>
  <c r="P113" i="4"/>
  <c r="O113" i="4"/>
  <c r="N110" i="5"/>
  <c r="M122" i="5"/>
  <c r="P116" i="5"/>
  <c r="O116" i="5"/>
  <c r="J149" i="3"/>
  <c r="N149" i="3"/>
  <c r="K149" i="3"/>
  <c r="K152" i="5"/>
  <c r="J152" i="5"/>
  <c r="N152" i="5"/>
  <c r="N137" i="4"/>
  <c r="K137" i="4"/>
  <c r="J137" i="4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O134" i="4"/>
  <c r="L134" i="4"/>
  <c r="M134" i="4"/>
  <c r="P117" i="3"/>
  <c r="O117" i="3"/>
  <c r="P113" i="3"/>
  <c r="O113" i="3"/>
  <c r="P121" i="4"/>
  <c r="O121" i="4"/>
  <c r="P117" i="4"/>
  <c r="O117" i="4"/>
  <c r="O113" i="5"/>
  <c r="P113" i="5"/>
  <c r="P121" i="5"/>
  <c r="O121" i="5"/>
  <c r="M153" i="5"/>
  <c r="L153" i="5"/>
  <c r="O153" i="5"/>
  <c r="J153" i="4"/>
  <c r="N153" i="4"/>
  <c r="K153" i="4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L135" i="4"/>
  <c r="O135" i="4"/>
  <c r="M135" i="4"/>
  <c r="O115" i="3"/>
  <c r="P115" i="3"/>
  <c r="P118" i="3"/>
  <c r="O118" i="3"/>
  <c r="L148" i="4"/>
  <c r="O148" i="4"/>
  <c r="M148" i="4"/>
  <c r="N110" i="4"/>
  <c r="M122" i="4"/>
  <c r="P120" i="4"/>
  <c r="O120" i="4"/>
  <c r="P119" i="5"/>
  <c r="O119" i="5"/>
  <c r="N139" i="4"/>
  <c r="K139" i="4"/>
  <c r="J139" i="4"/>
  <c r="L150" i="5"/>
  <c r="M150" i="5"/>
  <c r="O150" i="5"/>
  <c r="N148" i="4"/>
  <c r="K148" i="4"/>
  <c r="J148" i="4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O116" i="4"/>
  <c r="P116" i="4"/>
  <c r="O119" i="4"/>
  <c r="P119" i="4"/>
  <c r="P118" i="5"/>
  <c r="O118" i="5"/>
  <c r="M153" i="4"/>
  <c r="O153" i="4"/>
  <c r="L153" i="4"/>
  <c r="N133" i="9"/>
  <c r="J133" i="9"/>
  <c r="K133" i="9"/>
  <c r="K151" i="4"/>
  <c r="J151" i="4"/>
  <c r="N151" i="4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O137" i="4"/>
  <c r="M137" i="4"/>
  <c r="L137" i="4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N136" i="4"/>
  <c r="J136" i="4"/>
  <c r="K136" i="4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O115" i="4"/>
  <c r="P115" i="4"/>
  <c r="P118" i="4"/>
  <c r="O118" i="4"/>
  <c r="P111" i="5"/>
  <c r="O111" i="5"/>
  <c r="L146" i="4"/>
  <c r="O146" i="4"/>
  <c r="M146" i="4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L150" i="4"/>
  <c r="O150" i="4"/>
  <c r="M150" i="4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J138" i="4"/>
  <c r="K138" i="4"/>
  <c r="N138" i="4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1" i="4"/>
  <c r="O111" i="4"/>
  <c r="P114" i="5"/>
  <c r="O114" i="5"/>
  <c r="J150" i="4"/>
  <c r="N150" i="4"/>
  <c r="K150" i="4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L152" i="4"/>
  <c r="O152" i="4"/>
  <c r="M152" i="4"/>
  <c r="K132" i="6"/>
  <c r="J132" i="6"/>
  <c r="N132" i="6"/>
  <c r="K150" i="6"/>
  <c r="J150" i="6"/>
  <c r="N150" i="6"/>
  <c r="M137" i="6"/>
  <c r="O137" i="6"/>
  <c r="L137" i="6"/>
  <c r="O134" i="6"/>
  <c r="M134" i="6"/>
  <c r="L134" i="6"/>
  <c r="K135" i="4"/>
  <c r="J135" i="4"/>
  <c r="N135" i="4"/>
  <c r="P111" i="9"/>
  <c r="O111" i="9"/>
  <c r="P117" i="9"/>
  <c r="O117" i="9"/>
  <c r="N146" i="4"/>
  <c r="K146" i="4"/>
  <c r="J146" i="4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O112" i="4"/>
  <c r="P112" i="4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2" i="4"/>
  <c r="M132" i="4"/>
  <c r="L132" i="4"/>
  <c r="O139" i="6"/>
  <c r="M139" i="6"/>
  <c r="L139" i="6"/>
  <c r="M149" i="6"/>
  <c r="L149" i="6"/>
  <c r="O149" i="6"/>
  <c r="L153" i="6"/>
  <c r="O153" i="6"/>
  <c r="M153" i="6"/>
  <c r="O146" i="6"/>
  <c r="L146" i="6"/>
  <c r="M146" i="6"/>
  <c r="M136" i="4"/>
  <c r="O136" i="4"/>
  <c r="L136" i="4"/>
  <c r="P115" i="9"/>
  <c r="O115" i="9"/>
  <c r="P112" i="9"/>
  <c r="O112" i="9"/>
  <c r="L133" i="4"/>
  <c r="O133" i="4"/>
  <c r="M133" i="4"/>
  <c r="P121" i="7"/>
  <c r="O121" i="7"/>
  <c r="O116" i="7"/>
  <c r="P116" i="7"/>
  <c r="O147" i="4"/>
  <c r="M147" i="4"/>
  <c r="L147" i="4"/>
  <c r="O112" i="3"/>
  <c r="P112" i="3"/>
  <c r="P111" i="3"/>
  <c r="O111" i="3"/>
  <c r="L134" i="5"/>
  <c r="M134" i="5"/>
  <c r="O134" i="5"/>
  <c r="O146" i="5"/>
  <c r="M146" i="5"/>
  <c r="L146" i="5"/>
  <c r="O114" i="4"/>
  <c r="P114" i="4"/>
  <c r="P115" i="5"/>
  <c r="O115" i="5"/>
  <c r="P117" i="5"/>
  <c r="O117" i="5"/>
  <c r="P122" i="1"/>
  <c r="O122" i="1"/>
  <c r="P154" i="1"/>
  <c r="Q154" i="1"/>
  <c r="R154" i="1"/>
  <c r="R140" i="1"/>
  <c r="Q140" i="1"/>
  <c r="P140" i="1"/>
  <c r="H110" i="1"/>
  <c r="H119" i="1"/>
  <c r="H115" i="1" l="1"/>
  <c r="J115" i="1" s="1"/>
  <c r="H112" i="1"/>
  <c r="Q112" i="1" s="1"/>
  <c r="B67" i="9"/>
  <c r="E175" i="9" s="1"/>
  <c r="E176" i="9" s="1"/>
  <c r="E177" i="9" s="1"/>
  <c r="E178" i="9" s="1"/>
  <c r="H111" i="1"/>
  <c r="J111" i="1" s="1"/>
  <c r="H117" i="1"/>
  <c r="K117" i="1" s="1"/>
  <c r="L117" i="1" s="1"/>
  <c r="B67" i="8"/>
  <c r="E175" i="8" s="1"/>
  <c r="E176" i="8" s="1"/>
  <c r="E177" i="8" s="1"/>
  <c r="A183" i="8" s="1"/>
  <c r="D190" i="8" s="1"/>
  <c r="R115" i="1"/>
  <c r="B67" i="3"/>
  <c r="E175" i="3" s="1"/>
  <c r="E176" i="3" s="1"/>
  <c r="E177" i="3" s="1"/>
  <c r="B183" i="3" s="1"/>
  <c r="D191" i="3" s="1"/>
  <c r="H118" i="1"/>
  <c r="H120" i="1"/>
  <c r="I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I116" i="1" s="1"/>
  <c r="B67" i="2"/>
  <c r="E175" i="2" s="1"/>
  <c r="E176" i="2" s="1"/>
  <c r="E177" i="2" s="1"/>
  <c r="D183" i="2" s="1"/>
  <c r="D193" i="2" s="1"/>
  <c r="H121" i="1"/>
  <c r="H114" i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R149" i="4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P149" i="4"/>
  <c r="R152" i="7"/>
  <c r="Q149" i="4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P151" i="4"/>
  <c r="R152" i="8"/>
  <c r="R135" i="3"/>
  <c r="P150" i="7"/>
  <c r="Q152" i="8"/>
  <c r="Q135" i="3"/>
  <c r="R147" i="9"/>
  <c r="Q133" i="3"/>
  <c r="P134" i="8"/>
  <c r="Q135" i="9"/>
  <c r="P133" i="5"/>
  <c r="P138" i="5"/>
  <c r="Q151" i="4"/>
  <c r="R151" i="4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Q152" i="4"/>
  <c r="P152" i="4"/>
  <c r="R152" i="4"/>
  <c r="R147" i="2"/>
  <c r="Q147" i="2"/>
  <c r="P147" i="2"/>
  <c r="Q135" i="6"/>
  <c r="R135" i="6"/>
  <c r="P135" i="6"/>
  <c r="Q153" i="4"/>
  <c r="P153" i="4"/>
  <c r="R153" i="4"/>
  <c r="R151" i="5"/>
  <c r="P151" i="5"/>
  <c r="Q151" i="5"/>
  <c r="R135" i="4"/>
  <c r="Q135" i="4"/>
  <c r="P135" i="4"/>
  <c r="P147" i="6"/>
  <c r="Q147" i="6"/>
  <c r="R147" i="6"/>
  <c r="P153" i="5"/>
  <c r="Q153" i="5"/>
  <c r="R153" i="5"/>
  <c r="R138" i="9"/>
  <c r="R149" i="9"/>
  <c r="R138" i="4"/>
  <c r="P138" i="4"/>
  <c r="Q138" i="4"/>
  <c r="Q152" i="5"/>
  <c r="Q146" i="2"/>
  <c r="P146" i="2"/>
  <c r="R146" i="2"/>
  <c r="Q146" i="5"/>
  <c r="R146" i="5"/>
  <c r="P146" i="5"/>
  <c r="Q133" i="4"/>
  <c r="P133" i="4"/>
  <c r="R133" i="4"/>
  <c r="P153" i="6"/>
  <c r="R153" i="6"/>
  <c r="Q153" i="6"/>
  <c r="Q151" i="3"/>
  <c r="R151" i="3"/>
  <c r="P151" i="3"/>
  <c r="R151" i="6"/>
  <c r="Q151" i="6"/>
  <c r="P151" i="6"/>
  <c r="Q137" i="4"/>
  <c r="R137" i="4"/>
  <c r="P137" i="4"/>
  <c r="Q136" i="2"/>
  <c r="P136" i="2"/>
  <c r="R136" i="2"/>
  <c r="Q149" i="9"/>
  <c r="P139" i="4"/>
  <c r="R139" i="4"/>
  <c r="Q139" i="4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P122" i="4" s="1"/>
  <c r="O110" i="4"/>
  <c r="O122" i="4" s="1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Q147" i="4"/>
  <c r="R147" i="4"/>
  <c r="P147" i="4"/>
  <c r="R132" i="4"/>
  <c r="Q132" i="4"/>
  <c r="P132" i="4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P146" i="4"/>
  <c r="Q146" i="4"/>
  <c r="R146" i="4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R136" i="4"/>
  <c r="Q136" i="4"/>
  <c r="P136" i="4"/>
  <c r="P148" i="9"/>
  <c r="Q148" i="9"/>
  <c r="R148" i="9"/>
  <c r="P149" i="2"/>
  <c r="R149" i="2"/>
  <c r="Q149" i="2"/>
  <c r="P150" i="5"/>
  <c r="R150" i="5"/>
  <c r="Q150" i="5"/>
  <c r="Q134" i="4"/>
  <c r="P134" i="4"/>
  <c r="R134" i="4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P148" i="4"/>
  <c r="R148" i="4"/>
  <c r="Q148" i="4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P150" i="4"/>
  <c r="R150" i="4"/>
  <c r="Q150" i="4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P156" i="1"/>
  <c r="P157" i="1"/>
  <c r="I110" i="1"/>
  <c r="K110" i="1"/>
  <c r="L110" i="1" s="1"/>
  <c r="K119" i="1"/>
  <c r="L119" i="1" s="1"/>
  <c r="J119" i="1"/>
  <c r="I119" i="1"/>
  <c r="P143" i="1"/>
  <c r="P142" i="1"/>
  <c r="K115" i="1" l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T112" i="1" s="1"/>
  <c r="W112" i="1" s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R154" i="4"/>
  <c r="Q154" i="2"/>
  <c r="R154" i="6"/>
  <c r="Q154" i="4"/>
  <c r="P140" i="4"/>
  <c r="P154" i="6"/>
  <c r="Q140" i="9"/>
  <c r="P154" i="4"/>
  <c r="Q140" i="4"/>
  <c r="P140" i="6"/>
  <c r="R140" i="4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K117" i="3" l="1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B159" i="4" s="1"/>
  <c r="B164" i="4" s="1"/>
  <c r="E164" i="4" s="1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57" i="4"/>
  <c r="P142" i="5"/>
  <c r="P142" i="6"/>
  <c r="P157" i="2"/>
  <c r="P156" i="2"/>
  <c r="P143" i="4"/>
  <c r="P143" i="6"/>
  <c r="P156" i="4"/>
  <c r="P157" i="5"/>
  <c r="P142" i="4"/>
  <c r="E164" i="1"/>
  <c r="J122" i="3" l="1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B165" i="2" s="1"/>
  <c r="E165" i="2" s="1"/>
  <c r="F186" i="2" s="1"/>
  <c r="H205" i="2" s="1" a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2" i="1"/>
  <c r="B212" i="1" s="1"/>
  <c r="F185" i="4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6" i="3" l="1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C212" i="1"/>
  <c r="D190" i="1"/>
  <c r="C205" i="4"/>
  <c r="B206" i="4"/>
  <c r="B205" i="4"/>
  <c r="C207" i="4"/>
  <c r="A205" i="4"/>
  <c r="H205" i="4" s="1" a="1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H205" i="2"/>
  <c r="J205" i="2" s="1"/>
  <c r="L207" i="2" s="1"/>
  <c r="H206" i="2"/>
  <c r="J206" i="2" s="1"/>
  <c r="L205" i="2" s="1"/>
  <c r="H207" i="2"/>
  <c r="J207" i="2" s="1"/>
  <c r="L206" i="2" s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9" i="1" l="1"/>
  <c r="M57" i="1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/>
  <c r="J205" i="4" s="1"/>
  <c r="L207" i="4" s="1"/>
  <c r="H206" i="4"/>
  <c r="J206" i="4" s="1"/>
  <c r="L205" i="4" s="1"/>
  <c r="H207" i="4"/>
  <c r="J207" i="4" s="1"/>
  <c r="L206" i="4" s="1"/>
  <c r="B192" i="1" l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<sst xmlns="http://schemas.openxmlformats.org/spreadsheetml/2006/main" count="2367" uniqueCount="197">
  <si>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</si>
  <si>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</si>
  <si>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</si>
  <si>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</si>
  <si>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</si>
  <si>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</si>
  <si>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</si>
  <si>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</si>
  <si>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</si>
  <si>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</si>
  <si>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</si>
  <si>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</si>
  <si>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</si>
  <si>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</si>
  <si>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</si>
  <si>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</si>
  <si>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</si>
  <si>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</si>
  <si>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</si>
  <si>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</si>
  <si>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</si>
  <si>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</si>
  <si>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</si>
  <si>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</si>
  <si>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</si>
  <si>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</si>
  <si>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</si>
  <si>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</si>
  <si>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</si>
  <si>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</si>
  <si>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</si>
  <si>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</si>
  <si>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</si>
  <si>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</si>
  <si>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</si>
  <si>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</si>
  <si>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</si>
  <si>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</si>
  <si>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</si>
  <si>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</si>
  <si>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</si>
  <si>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</si>
  <si>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</si>
  <si>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</si>
  <si>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</si>
  <si>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</si>
  <si>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</si>
  <si>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</si>
  <si>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</si>
  <si>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</si>
  <si>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</si>
  <si>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</si>
  <si>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</si>
  <si>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</si>
  <si>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</si>
  <si>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</si>
  <si>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</si>
  <si>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</si>
  <si>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</si>
  <si>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</si>
  <si>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</si>
  <si>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</si>
  <si>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</si>
  <si>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</si>
  <si>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</si>
  <si>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</si>
  <si>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</si>
  <si>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</si>
  <si>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</si>
  <si>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</si>
  <si>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</si>
  <si>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</si>
  <si>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</si>
  <si>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</si>
  <si>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</si>
  <si>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</si>
  <si>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</si>
  <si>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</si>
  <si>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</si>
  <si>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</si>
  <si>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</si>
  <si>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</si>
  <si>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</si>
  <si>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</si>
  <si>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</si>
  <si>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</si>
  <si>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</si>
  <si>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</si>
  <si>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</si>
  <si>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</si>
  <si>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</si>
  <si>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</si>
  <si>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</si>
  <si>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</si>
  <si>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</si>
  <si>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</si>
  <si>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</si>
  <si>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</si>
  <si>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</si>
  <si>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</si>
  <si>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</si>
  <si>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</si>
  <si>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</si>
  <si>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</si>
  <si>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</si>
  <si>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</si>
  <si>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</si>
  <si>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</si>
  <si>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</si>
  <si>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</si>
  <si>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</si>
  <si>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</si>
  <si>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</si>
  <si>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</si>
  <si>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</si>
  <si>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</si>
  <si>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</si>
  <si>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</si>
  <si>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</si>
  <si>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</si>
  <si>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</si>
  <si>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</si>
  <si>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</si>
  <si>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</si>
  <si>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</si>
  <si>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</si>
  <si>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</si>
  <si>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</si>
  <si>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</si>
  <si>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</si>
  <si>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</si>
  <si>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</si>
  <si>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</si>
  <si>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</si>
  <si>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</si>
  <si>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</si>
  <si>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</si>
  <si>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</si>
  <si>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</si>
  <si>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</si>
  <si>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</si>
  <si>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</si>
  <si>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</si>
  <si>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</si>
  <si>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</si>
  <si>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</si>
  <si>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</si>
  <si>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</si>
  <si>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</si>
  <si>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</si>
  <si>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</si>
  <si>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</si>
  <si>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</si>
  <si>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</si>
  <si>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</si>
  <si>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STD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</si>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</sst>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b/>
      <sz val="9"/>
      <color rgb="FF24292E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4" borderId="4" xfId="0" applyFont="1" applyFill="1" applyBorder="1" applyAlignment="1">
      <alignment vertical="top" wrapText="1" indent="1"/>
    </xf>
    <xf numFmtId="0" fontId="1" fillId="4" borderId="5" xfId="0" applyFont="1" applyFill="1" applyBorder="1"/>
    <xf numFmtId="0" fontId="9" fillId="4" borderId="6" xfId="0" applyFont="1" applyFill="1" applyBorder="1" applyAlignment="1">
      <alignment horizontal="right" vertical="top" indent="1"/>
    </xf>
    <xf numFmtId="0" fontId="9" fillId="4" borderId="7" xfId="0" applyFont="1" applyFill="1" applyBorder="1" applyAlignment="1">
      <alignment vertical="top" wrapText="1" indent="1"/>
    </xf>
    <xf numFmtId="0" fontId="1" fillId="4" borderId="8" xfId="0" applyFont="1" applyFill="1" applyBorder="1"/>
    <xf numFmtId="0" fontId="1" fillId="4" borderId="9" xfId="0" applyFont="1" applyFill="1" applyBorder="1"/>
  </cellXfs>
  <cellStyles count="1">
    <cellStyle name="Normal" xfId="0" builtinId="0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8.284271247461902</c:v>
                </c:pt>
                <c:pt idx="2">
                  <c:v>14.142135623730951</c:v>
                </c:pt>
                <c:pt idx="3">
                  <c:v>14.142135623730951</c:v>
                </c:pt>
                <c:pt idx="4">
                  <c:v>8.284271247461902</c:v>
                </c:pt>
                <c:pt idx="5">
                  <c:v>0</c:v>
                </c:pt>
                <c:pt idx="6">
                  <c:v>-5.8578643762690499</c:v>
                </c:pt>
                <c:pt idx="7">
                  <c:v>-5.8578643762690499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5.8578643762690499</c:v>
                </c:pt>
                <c:pt idx="3">
                  <c:v>14.142135623730951</c:v>
                </c:pt>
                <c:pt idx="4">
                  <c:v>20</c:v>
                </c:pt>
                <c:pt idx="5">
                  <c:v>20</c:v>
                </c:pt>
                <c:pt idx="6">
                  <c:v>14.142135623730951</c:v>
                </c:pt>
                <c:pt idx="7">
                  <c:v>5.8578643762690499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12.642135623730951</c:v>
                </c:pt>
                <c:pt idx="1">
                  <c:v>10.152543263816606</c:v>
                </c:pt>
                <c:pt idx="2">
                  <c:v>4.1421356237309519</c:v>
                </c:pt>
                <c:pt idx="3">
                  <c:v>-1.8682720163547026</c:v>
                </c:pt>
                <c:pt idx="4">
                  <c:v>-4.357864376269049</c:v>
                </c:pt>
                <c:pt idx="5">
                  <c:v>-1.8682720163547044</c:v>
                </c:pt>
                <c:pt idx="6">
                  <c:v>4.1421356237309492</c:v>
                </c:pt>
                <c:pt idx="7">
                  <c:v>10.152543263816604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9.9999999999999982</c:v>
                </c:pt>
                <c:pt idx="1">
                  <c:v>16.010407640085653</c:v>
                </c:pt>
                <c:pt idx="2">
                  <c:v>18.5</c:v>
                </c:pt>
                <c:pt idx="3">
                  <c:v>16.010407640085653</c:v>
                </c:pt>
                <c:pt idx="4">
                  <c:v>10</c:v>
                </c:pt>
                <c:pt idx="5">
                  <c:v>3.9895923599143446</c:v>
                </c:pt>
                <c:pt idx="6">
                  <c:v>1.4999999999999982</c:v>
                </c:pt>
                <c:pt idx="7">
                  <c:v>3.9895923599143428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Analysis'!$B$9</c:f>
              <c:numCache>
                <c:formatCode>General</c:formatCode>
                <c:ptCount val="1"/>
                <c:pt idx="0">
                  <c:v>4.142135623730951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2.4852813742385709</c:v>
                </c:pt>
                <c:pt idx="1">
                  <c:v>0.14213562373095101</c:v>
                </c:pt>
                <c:pt idx="2">
                  <c:v>0.14213562373095101</c:v>
                </c:pt>
                <c:pt idx="3">
                  <c:v>2.4852813742385709</c:v>
                </c:pt>
                <c:pt idx="4">
                  <c:v>5.7989898732233316</c:v>
                </c:pt>
                <c:pt idx="5">
                  <c:v>8.142135623730951</c:v>
                </c:pt>
                <c:pt idx="6">
                  <c:v>8.142135623730951</c:v>
                </c:pt>
                <c:pt idx="7">
                  <c:v>5.7989898732233316</c:v>
                </c:pt>
                <c:pt idx="8">
                  <c:v>2.4852813742385709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5.9999999999999982</c:v>
                </c:pt>
                <c:pt idx="1">
                  <c:v>8.3431457505076168</c:v>
                </c:pt>
                <c:pt idx="2">
                  <c:v>11.65685424949238</c:v>
                </c:pt>
                <c:pt idx="3">
                  <c:v>13.999999999999998</c:v>
                </c:pt>
                <c:pt idx="4">
                  <c:v>13.999999999999998</c:v>
                </c:pt>
                <c:pt idx="5">
                  <c:v>11.65685424949238</c:v>
                </c:pt>
                <c:pt idx="6">
                  <c:v>8.3431457505076185</c:v>
                </c:pt>
                <c:pt idx="7">
                  <c:v>5.9999999999999982</c:v>
                </c:pt>
                <c:pt idx="8">
                  <c:v>5.9999999999999982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11.430516727606758</c:v>
                </c:pt>
                <c:pt idx="1">
                  <c:v>-0.87801315179505757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19.226447112100765</c:v>
                </c:pt>
                <c:pt idx="1">
                  <c:v>-0.63230603864049506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9.7495439051641313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6.5469804772841815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6.6569407594094603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8.450894793541929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4.142135623730951</c:v>
                </c:pt>
                <c:pt idx="3">
                  <c:v>-1.8682720163547035</c:v>
                </c:pt>
                <c:pt idx="4">
                  <c:v>-4.357864376269049</c:v>
                </c:pt>
                <c:pt idx="5">
                  <c:v>-1.8682720163547053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18.5</c:v>
                </c:pt>
                <c:pt idx="3">
                  <c:v>16.010407640085653</c:v>
                </c:pt>
                <c:pt idx="4">
                  <c:v>9.9999999999999982</c:v>
                </c:pt>
                <c:pt idx="5">
                  <c:v>3.9895923599143446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10.681930325230962</c:v>
                </c:pt>
                <c:pt idx="1">
                  <c:v>6.3176173504213748</c:v>
                </c:pt>
                <c:pt idx="2">
                  <c:v>-1.7474701863814768</c:v>
                </c:pt>
                <c:pt idx="3">
                  <c:v>-8.7889133878447012</c:v>
                </c:pt>
                <c:pt idx="4">
                  <c:v>-10.681930325230965</c:v>
                </c:pt>
                <c:pt idx="5">
                  <c:v>-6.3176173504213784</c:v>
                </c:pt>
                <c:pt idx="6">
                  <c:v>1.7474701863814728</c:v>
                </c:pt>
                <c:pt idx="7">
                  <c:v>8.7889133878446959</c:v>
                </c:pt>
                <c:pt idx="8">
                  <c:v>10.681930325230962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1.7474701863814737</c:v>
                </c:pt>
                <c:pt idx="1">
                  <c:v>8.7889133878446977</c:v>
                </c:pt>
                <c:pt idx="2">
                  <c:v>10.681930325230963</c:v>
                </c:pt>
                <c:pt idx="3">
                  <c:v>6.3176173504213757</c:v>
                </c:pt>
                <c:pt idx="4">
                  <c:v>-1.7474701863814754</c:v>
                </c:pt>
                <c:pt idx="5">
                  <c:v>-8.7889133878446994</c:v>
                </c:pt>
                <c:pt idx="6">
                  <c:v>-10.681930325230965</c:v>
                </c:pt>
                <c:pt idx="7">
                  <c:v>-6.3176173504213775</c:v>
                </c:pt>
                <c:pt idx="8">
                  <c:v>1.7474701863814737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-4.4779630190461237</c:v>
                </c:pt>
                <c:pt idx="1">
                  <c:v>-8.2751085780571572</c:v>
                </c:pt>
                <c:pt idx="2">
                  <c:v>-7.2248077621522464</c:v>
                </c:pt>
                <c:pt idx="3">
                  <c:v>-1.9423125447169589</c:v>
                </c:pt>
                <c:pt idx="4">
                  <c:v>4.4779630190461237</c:v>
                </c:pt>
                <c:pt idx="5">
                  <c:v>8.2751085780571572</c:v>
                </c:pt>
                <c:pt idx="6">
                  <c:v>7.2248077621522446</c:v>
                </c:pt>
                <c:pt idx="7">
                  <c:v>1.9423125447169602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7.2248077621522446</c:v>
                </c:pt>
                <c:pt idx="1">
                  <c:v>1.9423125447169585</c:v>
                </c:pt>
                <c:pt idx="2">
                  <c:v>-4.4779630190461246</c:v>
                </c:pt>
                <c:pt idx="3">
                  <c:v>-8.2751085780571572</c:v>
                </c:pt>
                <c:pt idx="4">
                  <c:v>-7.2248077621522446</c:v>
                </c:pt>
                <c:pt idx="5">
                  <c:v>-1.9423125447169598</c:v>
                </c:pt>
                <c:pt idx="6">
                  <c:v>4.4779630190461237</c:v>
                </c:pt>
                <c:pt idx="7">
                  <c:v>8.2751085780571572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-11.681930325230965</c:v>
                </c:pt>
                <c:pt idx="1">
                  <c:v>11.681930325230962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1.3342898126627674</c:v>
                </c:pt>
                <c:pt idx="1">
                  <c:v>1.3342898126627674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10.681930325230962</c:v>
                </c:pt>
                <c:pt idx="1">
                  <c:v>6.3176173504213748</c:v>
                </c:pt>
                <c:pt idx="2">
                  <c:v>-1.7474701863814768</c:v>
                </c:pt>
                <c:pt idx="3">
                  <c:v>-8.7889133878447012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10.584949673492723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1.7474701863814737</c:v>
                </c:pt>
                <c:pt idx="1">
                  <c:v>8.7889133878446977</c:v>
                </c:pt>
                <c:pt idx="2">
                  <c:v>10.681930325230963</c:v>
                </c:pt>
                <c:pt idx="3">
                  <c:v>6.3176173504213757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1.3342898126627674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6.3176173504213748</c:v>
                </c:pt>
                <c:pt idx="1">
                  <c:v>-1.7474701863814768</c:v>
                </c:pt>
                <c:pt idx="2">
                  <c:v>-8.7889133878447012</c:v>
                </c:pt>
                <c:pt idx="3">
                  <c:v>-9.9585874168584105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10.681930325230962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8.7889133878446977</c:v>
                </c:pt>
                <c:pt idx="1">
                  <c:v>10.681930325230963</c:v>
                </c:pt>
                <c:pt idx="2">
                  <c:v>6.3176173504213757</c:v>
                </c:pt>
                <c:pt idx="3">
                  <c:v>1.3342898126627674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1.7474701863814737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-1.9101725455328986E-2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6.5852871298848177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-11.681930325230965</c:v>
                </c:pt>
                <c:pt idx="1">
                  <c:v>11.681930325230965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-11.681930325230965</c:v>
                </c:pt>
                <c:pt idx="1">
                  <c:v>11.681930325230965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4.2727721300923855</c:v>
                </c:pt>
                <c:pt idx="1">
                  <c:v>3.5155653551378805</c:v>
                </c:pt>
                <c:pt idx="2">
                  <c:v>0.69898807455258893</c:v>
                </c:pt>
                <c:pt idx="3">
                  <c:v>-2.5270469401685505</c:v>
                </c:pt>
                <c:pt idx="4">
                  <c:v>-4.2727721300923855</c:v>
                </c:pt>
                <c:pt idx="5">
                  <c:v>-3.5155653551378805</c:v>
                </c:pt>
                <c:pt idx="6">
                  <c:v>-0.69898807455259049</c:v>
                </c:pt>
                <c:pt idx="7">
                  <c:v>2.5270469401685505</c:v>
                </c:pt>
                <c:pt idx="8">
                  <c:v>4.2727721300923855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0.69898807455259004</c:v>
                </c:pt>
                <c:pt idx="1">
                  <c:v>-2.52704694016855</c:v>
                </c:pt>
                <c:pt idx="2">
                  <c:v>-4.2727721300923864</c:v>
                </c:pt>
                <c:pt idx="3">
                  <c:v>-3.5155653551378796</c:v>
                </c:pt>
                <c:pt idx="4">
                  <c:v>-0.6989880745525896</c:v>
                </c:pt>
                <c:pt idx="5">
                  <c:v>2.52704694016855</c:v>
                </c:pt>
                <c:pt idx="6">
                  <c:v>4.2727721300923855</c:v>
                </c:pt>
                <c:pt idx="7">
                  <c:v>3.5155653551378796</c:v>
                </c:pt>
                <c:pt idx="8">
                  <c:v>0.69898807455259004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-3.7955262897530697</c:v>
                </c:pt>
                <c:pt idx="5">
                  <c:v>-3.5155653551378805</c:v>
                </c:pt>
                <c:pt idx="6">
                  <c:v>-0.69898807455259049</c:v>
                </c:pt>
                <c:pt idx="7">
                  <c:v>2.5270469401685505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1.3342898126627674</c:v>
                </c:pt>
                <c:pt idx="5">
                  <c:v>2.52704694016855</c:v>
                </c:pt>
                <c:pt idx="6">
                  <c:v>4.2727721300923855</c:v>
                </c:pt>
                <c:pt idx="7">
                  <c:v>3.5155653551378796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-3.5155653551378805</c:v>
                </c:pt>
                <c:pt idx="5">
                  <c:v>-0.69898807455259049</c:v>
                </c:pt>
                <c:pt idx="6">
                  <c:v>2.5270469401685505</c:v>
                </c:pt>
                <c:pt idx="7">
                  <c:v>3.8790097238320942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2.52704694016855</c:v>
                </c:pt>
                <c:pt idx="5">
                  <c:v>4.2727721300923855</c:v>
                </c:pt>
                <c:pt idx="6">
                  <c:v>3.5155653551378796</c:v>
                </c:pt>
                <c:pt idx="7">
                  <c:v>1.3342898126627674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-8.1431856078732941E-3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2.9536258225507606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-7.2248077621522464</c:v>
                </c:pt>
                <c:pt idx="3">
                  <c:v>-1.9423125447169589</c:v>
                </c:pt>
                <c:pt idx="4">
                  <c:v>4.4779630190461237</c:v>
                </c:pt>
                <c:pt idx="5">
                  <c:v>8.2751085780571572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-4.4779630190461246</c:v>
                </c:pt>
                <c:pt idx="3">
                  <c:v>-8.2751085780571572</c:v>
                </c:pt>
                <c:pt idx="4">
                  <c:v>-7.2248077621522446</c:v>
                </c:pt>
                <c:pt idx="5">
                  <c:v>-1.9423125447169598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E4E63-5ED1-4E28-82DC-E1E1F3741121}">
  <dimension ref="A1:B30"/>
  <sheetViews>
    <sheetView tabSelected="1" topLeftCell="A16" workbookViewId="0">
      <selection activeCell="D24" sqref="D24"/>
    </sheetView>
  </sheetViews>
  <sheetFormatPr defaultRowHeight="15" x14ac:dyDescent="0.25"/>
  <cols>
    <col min="1" max="1" width="15.28515625" customWidth="1"/>
    <col min="2" max="2" width="43.5703125" customWidth="1"/>
  </cols>
  <sheetData>
    <row r="1" spans="1:2" ht="35.1" customHeight="1" x14ac:dyDescent="0.25">
      <c r="A1" s="59" t="s">
        <v>174</v>
      </c>
      <c r="B1" s="60"/>
    </row>
    <row r="2" spans="1:2" ht="35.1" customHeight="1" x14ac:dyDescent="0.25">
      <c r="A2" s="61"/>
      <c r="B2" s="62"/>
    </row>
    <row r="3" spans="1:2" ht="35.1" customHeight="1" x14ac:dyDescent="0.25">
      <c r="A3" s="61"/>
      <c r="B3" s="62" t="s">
        <v>175</v>
      </c>
    </row>
    <row r="4" spans="1:2" ht="35.1" customHeight="1" x14ac:dyDescent="0.25">
      <c r="A4" s="61"/>
      <c r="B4" s="62" t="s">
        <v>176</v>
      </c>
    </row>
    <row r="5" spans="1:2" ht="35.1" customHeight="1" x14ac:dyDescent="0.25">
      <c r="A5" s="61"/>
      <c r="B5" s="62"/>
    </row>
    <row r="6" spans="1:2" ht="35.1" customHeight="1" x14ac:dyDescent="0.25">
      <c r="A6" s="61"/>
      <c r="B6" s="62" t="s">
        <v>177</v>
      </c>
    </row>
    <row r="7" spans="1:2" ht="35.1" customHeight="1" x14ac:dyDescent="0.25">
      <c r="A7" s="61"/>
      <c r="B7" s="62" t="s">
        <v>178</v>
      </c>
    </row>
    <row r="8" spans="1:2" ht="35.1" customHeight="1" x14ac:dyDescent="0.25">
      <c r="A8" s="61"/>
      <c r="B8" s="62"/>
    </row>
    <row r="9" spans="1:2" ht="35.1" customHeight="1" x14ac:dyDescent="0.25">
      <c r="A9" s="61"/>
      <c r="B9" s="62" t="s">
        <v>179</v>
      </c>
    </row>
    <row r="10" spans="1:2" ht="35.1" customHeight="1" x14ac:dyDescent="0.25">
      <c r="A10" s="61"/>
      <c r="B10" s="62" t="s">
        <v>180</v>
      </c>
    </row>
    <row r="11" spans="1:2" ht="35.1" customHeight="1" x14ac:dyDescent="0.25">
      <c r="A11" s="61"/>
      <c r="B11" s="62"/>
    </row>
    <row r="12" spans="1:2" ht="35.1" customHeight="1" x14ac:dyDescent="0.25">
      <c r="A12" s="61"/>
      <c r="B12" s="62" t="s">
        <v>181</v>
      </c>
    </row>
    <row r="13" spans="1:2" ht="35.1" customHeight="1" x14ac:dyDescent="0.25">
      <c r="A13" s="61"/>
      <c r="B13" s="62" t="s">
        <v>182</v>
      </c>
    </row>
    <row r="14" spans="1:2" ht="35.1" customHeight="1" x14ac:dyDescent="0.25">
      <c r="A14" s="61"/>
      <c r="B14" s="62" t="s">
        <v>183</v>
      </c>
    </row>
    <row r="15" spans="1:2" ht="35.1" customHeight="1" x14ac:dyDescent="0.25">
      <c r="A15" s="61"/>
      <c r="B15" s="62"/>
    </row>
    <row r="16" spans="1:2" ht="35.1" customHeight="1" x14ac:dyDescent="0.25">
      <c r="A16" s="61"/>
      <c r="B16" s="62" t="s">
        <v>184</v>
      </c>
    </row>
    <row r="17" spans="1:2" ht="35.1" customHeight="1" x14ac:dyDescent="0.25">
      <c r="A17" s="61"/>
      <c r="B17" s="62" t="s">
        <v>185</v>
      </c>
    </row>
    <row r="18" spans="1:2" ht="35.1" customHeight="1" x14ac:dyDescent="0.25">
      <c r="A18" s="61"/>
      <c r="B18" s="62" t="s">
        <v>186</v>
      </c>
    </row>
    <row r="19" spans="1:2" ht="35.1" customHeight="1" x14ac:dyDescent="0.25">
      <c r="A19" s="61"/>
      <c r="B19" s="62"/>
    </row>
    <row r="20" spans="1:2" ht="35.1" customHeight="1" x14ac:dyDescent="0.25">
      <c r="A20" s="61"/>
      <c r="B20" s="62" t="s">
        <v>187</v>
      </c>
    </row>
    <row r="21" spans="1:2" ht="35.1" customHeight="1" x14ac:dyDescent="0.25">
      <c r="A21" s="61"/>
      <c r="B21" s="62" t="s">
        <v>188</v>
      </c>
    </row>
    <row r="22" spans="1:2" ht="35.1" customHeight="1" x14ac:dyDescent="0.25">
      <c r="A22" s="61"/>
      <c r="B22" s="62" t="s">
        <v>189</v>
      </c>
    </row>
    <row r="23" spans="1:2" ht="35.1" customHeight="1" x14ac:dyDescent="0.25">
      <c r="A23" s="61"/>
      <c r="B23" s="62" t="s">
        <v>190</v>
      </c>
    </row>
    <row r="24" spans="1:2" ht="35.1" customHeight="1" x14ac:dyDescent="0.25">
      <c r="A24" s="61"/>
      <c r="B24" s="62" t="s">
        <v>191</v>
      </c>
    </row>
    <row r="25" spans="1:2" ht="35.1" customHeight="1" x14ac:dyDescent="0.25">
      <c r="A25" s="61"/>
      <c r="B25" s="62" t="s">
        <v>192</v>
      </c>
    </row>
    <row r="26" spans="1:2" ht="35.1" customHeight="1" x14ac:dyDescent="0.25">
      <c r="A26" s="61"/>
      <c r="B26" s="62" t="s">
        <v>193</v>
      </c>
    </row>
    <row r="27" spans="1:2" ht="35.1" customHeight="1" x14ac:dyDescent="0.25">
      <c r="A27" s="61"/>
      <c r="B27" s="62" t="s">
        <v>194</v>
      </c>
    </row>
    <row r="28" spans="1:2" ht="35.1" customHeight="1" x14ac:dyDescent="0.25">
      <c r="A28" s="61"/>
      <c r="B28" s="62" t="s">
        <v>195</v>
      </c>
    </row>
    <row r="29" spans="1:2" ht="35.1" customHeight="1" x14ac:dyDescent="0.25">
      <c r="A29" s="61"/>
      <c r="B29" s="62" t="s">
        <v>196</v>
      </c>
    </row>
    <row r="30" spans="1:2" ht="15.75" thickBot="1" x14ac:dyDescent="0.3">
      <c r="A30" s="63"/>
      <c r="B30" s="6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C219"/>
  <sheetViews>
    <sheetView topLeftCell="A34" zoomScale="85" zoomScaleNormal="85" workbookViewId="0">
      <selection activeCell="O70" sqref="O70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2"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2">
        <v>440</v>
      </c>
      <c r="C3" t="s">
        <v>102</v>
      </c>
      <c r="D3" t="str">
        <f>"- Mx puts compression on +y"</f>
        <v>-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2">
        <v>720</v>
      </c>
      <c r="C4" t="s">
        <v>102</v>
      </c>
      <c r="D4" t="str">
        <f>"- My puts compression on -x"</f>
        <v>- My puts compression on -x</v>
      </c>
      <c r="H4" t="s">
        <v>111</v>
      </c>
      <c r="I4" cm="1">
        <f t="array" ref="I4">B4/MIN(ABS(W13:X13))</f>
        <v>0.82210018496084025</v>
      </c>
      <c r="J4" t="s">
        <v>11</v>
      </c>
    </row>
    <row r="5" spans="1:29" x14ac:dyDescent="0.25">
      <c r="A5" s="10" t="s">
        <v>104</v>
      </c>
      <c r="B5" s="20">
        <f>ATAN2(B3,B4)</f>
        <v>1.0222469243443686</v>
      </c>
      <c r="C5" t="s">
        <v>19</v>
      </c>
      <c r="I5">
        <f>SUM(I2:I4)</f>
        <v>1.5960937682038825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2">
        <v>4.142135623730951</v>
      </c>
      <c r="C9" s="2"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7">
        <v>8.284271247461902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-1*$B$3/Y14</f>
        <v>0.50239455747606898</v>
      </c>
      <c r="AB14">
        <f>-1*$B$4/Z14</f>
        <v>-0.34052504624021007</v>
      </c>
      <c r="AC14">
        <f>$I$2+AA14+AB14</f>
        <v>0.43346853700283206</v>
      </c>
    </row>
    <row r="15" spans="1:29" x14ac:dyDescent="0.25">
      <c r="A15">
        <v>3</v>
      </c>
      <c r="B15" s="7">
        <v>14.142135623730951</v>
      </c>
      <c r="C15" s="7">
        <v>5.8578643762690499</v>
      </c>
      <c r="D15" s="5">
        <f t="shared" ref="D15:D18" si="0">((B14*C15)-(B15*C14))*0.5</f>
        <v>24.26406871192852</v>
      </c>
      <c r="E15" s="5">
        <f t="shared" ref="E15:E18" si="1">(B15+B14)*((B14*C15)-(B15*C14))*(1/6)</f>
        <v>181.38529242809642</v>
      </c>
      <c r="F15" s="5">
        <f t="shared" ref="F15:F18" si="2">(C15+C14)*((B14*C15)-(B15*C14))*(1/6)</f>
        <v>47.378541243650176</v>
      </c>
      <c r="G15" s="5">
        <f t="shared" ref="G15:G18" si="3">(((C14*C14)+(C14*C15)+(C15*C15))*((B14*C15)-(B15*C14)))/12</f>
        <v>138.76853447538616</v>
      </c>
      <c r="H15" s="5">
        <f t="shared" ref="H15:H18" si="4">(((B14*B14)+(B14*B15)+(B15*B15))*((B14*C15)-(B15*C14)))/12</f>
        <v>1560.1247717848917</v>
      </c>
      <c r="I15" s="5">
        <f t="shared" ref="I15:I18" si="5">(((B14*C15)+(2*B14*C14)+(2*B15*C15)+(B15*C14))*((B14*C15)-(B15*C14)))/24</f>
        <v>433.14104970398034</v>
      </c>
      <c r="J15" s="5">
        <f t="shared" ref="J15:J18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1" si="8">$N$13/(C15-$C$9)</f>
        <v>-2114.3819168358755</v>
      </c>
      <c r="Z15">
        <f t="shared" ref="Z15:Z21" si="9">$O$13/(B15-$B$9)</f>
        <v>875.8056659898408</v>
      </c>
      <c r="AA15">
        <f t="shared" ref="AA15:AA21" si="10">-1*$B$3/Y15</f>
        <v>0.20809863936901712</v>
      </c>
      <c r="AB15">
        <f t="shared" ref="AB15:AB21" si="11">-1*$B$4/Z15</f>
        <v>-0.82210018496084025</v>
      </c>
      <c r="AC15">
        <f t="shared" ref="AC15:AC21" si="12">$I$2+AA15+AB15</f>
        <v>-0.34240251982484998</v>
      </c>
    </row>
    <row r="16" spans="1:29" x14ac:dyDescent="0.25">
      <c r="A16">
        <v>4</v>
      </c>
      <c r="B16" s="7">
        <v>14.142135623730951</v>
      </c>
      <c r="C16" s="7"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-0.20809863936901735</v>
      </c>
      <c r="AB16">
        <f t="shared" si="11"/>
        <v>-0.82210018496084025</v>
      </c>
      <c r="AC16">
        <f t="shared" si="12"/>
        <v>-0.75859979856288451</v>
      </c>
    </row>
    <row r="17" spans="1:29" x14ac:dyDescent="0.25">
      <c r="A17">
        <v>5</v>
      </c>
      <c r="B17" s="7">
        <v>8.284271247461902</v>
      </c>
      <c r="C17" s="7"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-0.5023945574760692</v>
      </c>
      <c r="AB17">
        <f t="shared" si="11"/>
        <v>-0.34052504624021007</v>
      </c>
      <c r="AC17">
        <f t="shared" si="12"/>
        <v>-0.57132057794930613</v>
      </c>
    </row>
    <row r="18" spans="1:29" x14ac:dyDescent="0.25">
      <c r="A18">
        <v>6</v>
      </c>
      <c r="B18" s="7">
        <v>0</v>
      </c>
      <c r="C18" s="7"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-0.5023945574760692</v>
      </c>
      <c r="AB18">
        <f t="shared" si="11"/>
        <v>0.34052504624021007</v>
      </c>
      <c r="AC18">
        <f t="shared" si="12"/>
        <v>0.10972951453111401</v>
      </c>
    </row>
    <row r="19" spans="1:29" x14ac:dyDescent="0.25">
      <c r="A19">
        <v>7</v>
      </c>
      <c r="B19" s="7">
        <v>-5.8578643762690499</v>
      </c>
      <c r="C19" s="7">
        <v>14.142135623730951</v>
      </c>
      <c r="D19" s="5">
        <f t="shared" ref="D19" si="13">((B18*C19)-(B19*C18))*0.5</f>
        <v>58.578643762690497</v>
      </c>
      <c r="E19" s="5">
        <f t="shared" ref="E19" si="14">(B19+B18)*((B18*C19)-(B19*C18))*(1/6)</f>
        <v>-114.38191683587327</v>
      </c>
      <c r="F19" s="5">
        <f t="shared" ref="F19" si="15">(C19+C18)*((B18*C19)-(B19*C18))*(1/6)</f>
        <v>666.66666666666663</v>
      </c>
      <c r="G19" s="5">
        <f t="shared" ref="G19" si="16">(((C18*C18)+(C18*C19)+(C19*C19))*((B18*C19)-(B19*C18)))/12</f>
        <v>8619.2881254230178</v>
      </c>
      <c r="H19" s="5">
        <f t="shared" ref="H19" si="17">(((B18*B18)+(B18*B19)+(B19*B19))*((B18*C19)-(B19*C18)))/12</f>
        <v>335.0168779611156</v>
      </c>
      <c r="I19" s="5">
        <f t="shared" ref="I19" si="18">(((B18*C19)+(2*B18*C18)+(2*B19*C19)+(B19*C18))*((B18*C19)-(B19*C18)))/24</f>
        <v>-1380.7118745769837</v>
      </c>
      <c r="J19" s="5">
        <f t="shared" ref="J19" si="19">G19+H19</f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-0.20809863936901735</v>
      </c>
      <c r="AB19">
        <f t="shared" si="11"/>
        <v>0.82210018496084025</v>
      </c>
      <c r="AC19">
        <f t="shared" si="12"/>
        <v>0.885600571358796</v>
      </c>
    </row>
    <row r="20" spans="1:29" x14ac:dyDescent="0.25">
      <c r="A20">
        <v>8</v>
      </c>
      <c r="B20" s="7">
        <v>-5.8578643762690499</v>
      </c>
      <c r="C20" s="7">
        <v>5.8578643762690499</v>
      </c>
      <c r="D20" s="5">
        <f t="shared" ref="D20" si="20">((B19*C20)-(B20*C19))*0.5</f>
        <v>24.264068711928516</v>
      </c>
      <c r="E20" s="5">
        <f t="shared" ref="E20" si="21">(B20+B19)*((B19*C20)-(B20*C19))*(1/6)</f>
        <v>-94.757082487300323</v>
      </c>
      <c r="F20" s="5">
        <f t="shared" ref="F20" si="22">(C20+C19)*((B19*C20)-(B20*C19))*(1/6)</f>
        <v>161.76045807952343</v>
      </c>
      <c r="G20" s="5">
        <f t="shared" ref="G20" si="23">(((C19*C19)+(C19*C20)+(C20*C20))*((B19*C20)-(B20*C19)))/12</f>
        <v>1282.5877028341188</v>
      </c>
      <c r="H20" s="5">
        <f t="shared" ref="H20" si="24">(((B19*B19)+(B19*B20)+(B20*B20))*((B19*C20)-(B20*C19)))/12</f>
        <v>416.30560342615837</v>
      </c>
      <c r="I20" s="5">
        <f t="shared" ref="I20" si="25">(((B19*C20)+(2*B19*C19)+(2*B20*C20)+(B20*C19))*((B19*C20)-(B20*C19)))/24</f>
        <v>-710.67811865475267</v>
      </c>
      <c r="J20" s="5">
        <f t="shared" ref="J20" si="26">G20+H20</f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0.20809863936901712</v>
      </c>
      <c r="AB20">
        <f t="shared" si="11"/>
        <v>0.82210018496084025</v>
      </c>
      <c r="AC20">
        <f t="shared" si="12"/>
        <v>1.3017978500968306</v>
      </c>
    </row>
    <row r="21" spans="1:29" x14ac:dyDescent="0.25">
      <c r="A21">
        <v>9</v>
      </c>
      <c r="B21" s="4">
        <v>0</v>
      </c>
      <c r="C21" s="4">
        <v>0</v>
      </c>
      <c r="D21" s="5">
        <f t="shared" ref="D21" si="27">((B20*C21)-(B21*C20))*0.5</f>
        <v>0</v>
      </c>
      <c r="E21" s="5">
        <f t="shared" ref="E21" si="28">(B21+B20)*((B20*C21)-(B21*C20))*(1/6)</f>
        <v>0</v>
      </c>
      <c r="F21" s="5">
        <f t="shared" ref="F21" si="29">(C21+C20)*((B20*C21)-(B21*C20))*(1/6)</f>
        <v>0</v>
      </c>
      <c r="G21" s="5">
        <f t="shared" ref="G21" si="30">(((C20*C20)+(C20*C21)+(C21*C21))*((B20*C21)-(B21*C20)))/12</f>
        <v>0</v>
      </c>
      <c r="H21" s="5">
        <f t="shared" ref="H21" si="31">(((B20*B20)+(B20*B21)+(B21*B21))*((B20*C21)-(B21*C20)))/12</f>
        <v>0</v>
      </c>
      <c r="I21" s="5">
        <f t="shared" ref="I21" si="32">(((B20*C21)+(2*B20*C20)+(2*B21*C21)+(B21*C20))*((B20*C21)-(B21*C20)))/24</f>
        <v>0</v>
      </c>
      <c r="J21" s="5">
        <f t="shared" ref="J21" si="33">G21+H21</f>
        <v>0</v>
      </c>
      <c r="K21">
        <f t="shared" si="7"/>
        <v>-1.9634954084936207</v>
      </c>
      <c r="Y21" s="1">
        <f t="shared" si="8"/>
        <v>-875.80566598984092</v>
      </c>
      <c r="Z21">
        <f t="shared" si="9"/>
        <v>-2114.3819168358741</v>
      </c>
      <c r="AA21">
        <f t="shared" si="10"/>
        <v>0.50239455747606898</v>
      </c>
      <c r="AB21">
        <f t="shared" si="11"/>
        <v>0.34052504624021007</v>
      </c>
      <c r="AC21">
        <f t="shared" si="12"/>
        <v>1.1145186294832521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  <c r="AC22">
        <f>COUNTIF(AC14:AC21,"&gt;0")</f>
        <v>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3</v>
      </c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29" x14ac:dyDescent="0.25">
      <c r="A25">
        <v>1</v>
      </c>
      <c r="B25" s="2">
        <v>2.4852813742385709</v>
      </c>
      <c r="C25" s="2"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2">
        <v>0.14213562373095101</v>
      </c>
      <c r="C26" s="2"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2">
        <v>0.14213562373095101</v>
      </c>
      <c r="C27" s="2">
        <v>11.65685424949238</v>
      </c>
      <c r="D27" s="5">
        <f t="shared" ref="D27:D33" si="34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2">
        <v>2.4852813742385709</v>
      </c>
      <c r="C28" s="2">
        <v>13.999999999999998</v>
      </c>
      <c r="D28" s="5">
        <f t="shared" si="34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2">
        <v>5.7989898732233316</v>
      </c>
      <c r="C29" s="2">
        <v>13.999999999999998</v>
      </c>
      <c r="D29" s="5">
        <f t="shared" si="34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2">
        <v>8.142135623730951</v>
      </c>
      <c r="C30" s="2">
        <v>11.65685424949238</v>
      </c>
      <c r="D30" s="5">
        <f t="shared" si="34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2">
        <v>8.142135623730951</v>
      </c>
      <c r="C31" s="2">
        <v>8.3431457505076185</v>
      </c>
      <c r="D31" s="5">
        <f t="shared" si="34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2">
        <v>5.7989898732233316</v>
      </c>
      <c r="C32" s="2">
        <v>5.9999999999999982</v>
      </c>
      <c r="D32" s="5">
        <f t="shared" si="34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34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7">
        <v>12.642135623730951</v>
      </c>
      <c r="C37" s="7">
        <v>9.9999999999999982</v>
      </c>
      <c r="D37" s="13" t="s">
        <v>2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7">
        <v>10.152543263816606</v>
      </c>
      <c r="C38" s="7">
        <v>16.010407640085653</v>
      </c>
      <c r="D38" s="13" t="s">
        <v>2</v>
      </c>
      <c r="Q38" s="12">
        <f t="shared" ref="Q38:Q48" si="35">IF($D38="y",B38,NA())</f>
        <v>10.152543263816606</v>
      </c>
      <c r="R38" s="12">
        <f t="shared" ref="R38:R48" si="36">IF($D38="y",C38,NA())</f>
        <v>16.010407640085653</v>
      </c>
    </row>
    <row r="39" spans="1:21" x14ac:dyDescent="0.25">
      <c r="A39">
        <v>3</v>
      </c>
      <c r="B39" s="7">
        <v>4.1421356237309519</v>
      </c>
      <c r="C39" s="7">
        <v>18.5</v>
      </c>
      <c r="D39" s="13" t="s">
        <v>2</v>
      </c>
      <c r="Q39" s="12">
        <f t="shared" si="35"/>
        <v>4.1421356237309519</v>
      </c>
      <c r="R39" s="12">
        <f t="shared" si="36"/>
        <v>18.5</v>
      </c>
    </row>
    <row r="40" spans="1:21" x14ac:dyDescent="0.25">
      <c r="A40">
        <v>4</v>
      </c>
      <c r="B40" s="7">
        <v>-1.8682720163547026</v>
      </c>
      <c r="C40" s="7">
        <v>16.010407640085653</v>
      </c>
      <c r="D40" s="13" t="s">
        <v>2</v>
      </c>
      <c r="Q40" s="12">
        <f t="shared" si="35"/>
        <v>-1.8682720163547026</v>
      </c>
      <c r="R40" s="12">
        <f t="shared" si="36"/>
        <v>16.010407640085653</v>
      </c>
    </row>
    <row r="41" spans="1:21" x14ac:dyDescent="0.25">
      <c r="A41">
        <v>5</v>
      </c>
      <c r="B41" s="7">
        <v>-4.357864376269049</v>
      </c>
      <c r="C41" s="7">
        <v>10</v>
      </c>
      <c r="D41" s="13" t="s">
        <v>2</v>
      </c>
      <c r="Q41" s="12">
        <f t="shared" si="35"/>
        <v>-4.357864376269049</v>
      </c>
      <c r="R41" s="12">
        <f t="shared" si="36"/>
        <v>10</v>
      </c>
    </row>
    <row r="42" spans="1:21" x14ac:dyDescent="0.25">
      <c r="A42">
        <v>6</v>
      </c>
      <c r="B42" s="7">
        <v>-1.8682720163547044</v>
      </c>
      <c r="C42" s="7">
        <v>3.9895923599143446</v>
      </c>
      <c r="D42" s="13" t="s">
        <v>2</v>
      </c>
      <c r="Q42" s="12">
        <f t="shared" si="35"/>
        <v>-1.8682720163547044</v>
      </c>
      <c r="R42" s="12">
        <f t="shared" si="36"/>
        <v>3.9895923599143446</v>
      </c>
    </row>
    <row r="43" spans="1:21" x14ac:dyDescent="0.25">
      <c r="A43">
        <v>7</v>
      </c>
      <c r="B43" s="7">
        <v>4.1421356237309492</v>
      </c>
      <c r="C43" s="7">
        <v>1.4999999999999982</v>
      </c>
      <c r="D43" s="13" t="s">
        <v>2</v>
      </c>
      <c r="Q43" s="12">
        <f t="shared" si="35"/>
        <v>4.1421356237309492</v>
      </c>
      <c r="R43" s="12">
        <f t="shared" si="36"/>
        <v>1.4999999999999982</v>
      </c>
    </row>
    <row r="44" spans="1:21" x14ac:dyDescent="0.25">
      <c r="A44">
        <v>8</v>
      </c>
      <c r="B44" s="7">
        <v>10.152543263816604</v>
      </c>
      <c r="C44" s="7">
        <v>3.9895923599143428</v>
      </c>
      <c r="D44" s="13" t="s">
        <v>2</v>
      </c>
      <c r="Q44" s="12">
        <f t="shared" si="35"/>
        <v>10.152543263816604</v>
      </c>
      <c r="R44" s="12">
        <f t="shared" si="36"/>
        <v>3.9895923599143428</v>
      </c>
    </row>
    <row r="45" spans="1:21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35"/>
        <v>#N/A</v>
      </c>
      <c r="R45" s="12" t="e">
        <f t="shared" si="36"/>
        <v>#N/A</v>
      </c>
    </row>
    <row r="46" spans="1:21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35"/>
        <v>#N/A</v>
      </c>
      <c r="R46" s="12" t="e">
        <f t="shared" si="36"/>
        <v>#N/A</v>
      </c>
    </row>
    <row r="47" spans="1:21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35"/>
        <v>#N/A</v>
      </c>
      <c r="R47" s="12" t="e">
        <f t="shared" si="36"/>
        <v>#N/A</v>
      </c>
    </row>
    <row r="48" spans="1:21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35"/>
        <v>#N/A</v>
      </c>
      <c r="R48" s="12" t="e">
        <f t="shared" si="36"/>
        <v>#N/A</v>
      </c>
    </row>
    <row r="51" spans="1:17" x14ac:dyDescent="0.25">
      <c r="A51" s="10" t="s">
        <v>8</v>
      </c>
      <c r="B51" s="6">
        <v>2.9358881798730376</v>
      </c>
      <c r="C51" t="s">
        <v>11</v>
      </c>
    </row>
    <row r="52" spans="1:17" x14ac:dyDescent="0.25">
      <c r="A52" s="10" t="s">
        <v>12</v>
      </c>
      <c r="B52" s="6">
        <v>145</v>
      </c>
      <c r="C52" t="s">
        <v>13</v>
      </c>
    </row>
    <row r="53" spans="1:17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17" ht="15.75" thickBot="1" x14ac:dyDescent="0.3">
      <c r="A54" s="10" t="s">
        <v>10</v>
      </c>
      <c r="B54" s="5">
        <v>29000</v>
      </c>
      <c r="C54" t="s">
        <v>11</v>
      </c>
      <c r="D54" s="54" t="s">
        <v>167</v>
      </c>
      <c r="E54" s="47">
        <v>0.75</v>
      </c>
      <c r="F54" t="s">
        <v>22</v>
      </c>
    </row>
    <row r="55" spans="1:17" x14ac:dyDescent="0.25">
      <c r="A55" s="10" t="s">
        <v>5</v>
      </c>
      <c r="B55" s="45">
        <f>E56</f>
        <v>0.33446070888845997</v>
      </c>
      <c r="C55" t="s">
        <v>67</v>
      </c>
      <c r="D55" s="54" t="s">
        <v>166</v>
      </c>
      <c r="E55" s="7">
        <v>10</v>
      </c>
      <c r="H55" s="48" t="s">
        <v>161</v>
      </c>
      <c r="I55" s="55">
        <f>E164</f>
        <v>0</v>
      </c>
      <c r="J55" s="49" t="str">
        <f>F164</f>
        <v>kips</v>
      </c>
      <c r="K55" t="s">
        <v>169</v>
      </c>
    </row>
    <row r="56" spans="1:17" x14ac:dyDescent="0.25">
      <c r="A56" s="10" t="s">
        <v>15</v>
      </c>
      <c r="B56" s="3">
        <f>B54/B53</f>
        <v>9.2888574788573983</v>
      </c>
      <c r="D56" s="54" t="s">
        <v>154</v>
      </c>
      <c r="E56" s="46">
        <f>0.7854*POWER(E54-(0.9743/E55),2)</f>
        <v>0.33446070888845997</v>
      </c>
      <c r="F56" t="s">
        <v>67</v>
      </c>
      <c r="H56" s="50" t="s">
        <v>162</v>
      </c>
      <c r="I56" s="56">
        <f t="shared" ref="I56:J57" si="37">E165</f>
        <v>0</v>
      </c>
      <c r="J56" s="51" t="str">
        <f t="shared" si="37"/>
        <v>kip-in</v>
      </c>
    </row>
    <row r="57" spans="1:17" ht="15.75" thickBot="1" x14ac:dyDescent="0.3">
      <c r="D57" s="54" t="s">
        <v>156</v>
      </c>
      <c r="E57" s="13" t="s">
        <v>155</v>
      </c>
      <c r="H57" s="52" t="s">
        <v>163</v>
      </c>
      <c r="I57" s="57">
        <f t="shared" si="37"/>
        <v>0</v>
      </c>
      <c r="J57" s="53" t="str">
        <f t="shared" si="37"/>
        <v>kip-in</v>
      </c>
      <c r="L57" s="1">
        <f>SQRT(POWER(I57,2)+POWER(I56,2)+POWER(I55,2))</f>
        <v>0</v>
      </c>
      <c r="M57" s="44" t="str">
        <f>IF(M59=TRUE,"NOT A SOLUTION","SOLUTION FOUND")</f>
        <v>SOLUTION FOUND</v>
      </c>
    </row>
    <row r="58" spans="1:17" x14ac:dyDescent="0.25">
      <c r="A58" s="10" t="s">
        <v>16</v>
      </c>
      <c r="B58" s="2">
        <v>4</v>
      </c>
      <c r="D58" s="54" t="s">
        <v>168</v>
      </c>
      <c r="E58" s="3">
        <f>IF(E57="STD",E54+(1/16),E54+(5/16))</f>
        <v>0.8125</v>
      </c>
      <c r="F58" t="s">
        <v>22</v>
      </c>
    </row>
    <row r="59" spans="1:17" x14ac:dyDescent="0.25">
      <c r="A59" s="14" t="s">
        <v>17</v>
      </c>
      <c r="B59" s="1">
        <f>SQRT(B58)</f>
        <v>2</v>
      </c>
      <c r="D59" s="54" t="s">
        <v>165</v>
      </c>
      <c r="E59" s="46">
        <f>PI()*(1/4)*E58*E58</f>
        <v>0.51848550630534673</v>
      </c>
      <c r="F59" t="s">
        <v>67</v>
      </c>
      <c r="H59" s="10" t="s">
        <v>170</v>
      </c>
      <c r="I59" s="2">
        <v>30</v>
      </c>
      <c r="K59" t="s">
        <v>172</v>
      </c>
      <c r="L59" s="58">
        <v>9.9999999999999998E-13</v>
      </c>
      <c r="M59" t="b">
        <f>OR(ABS(L57)&gt;L59,B66&lt;0)</f>
        <v>0</v>
      </c>
    </row>
    <row r="60" spans="1:17" x14ac:dyDescent="0.25">
      <c r="D60" s="54" t="s">
        <v>157</v>
      </c>
      <c r="E60" s="13" t="s">
        <v>15</v>
      </c>
      <c r="H60" s="10" t="s">
        <v>171</v>
      </c>
      <c r="I60" s="1">
        <v>6</v>
      </c>
    </row>
    <row r="61" spans="1:17" ht="18" x14ac:dyDescent="0.35">
      <c r="A61" s="10" t="s">
        <v>18</v>
      </c>
      <c r="B61" s="4">
        <f>0.65*0.85*B51*MIN(SQRT(B58),2)</f>
        <v>3.2441564387597066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</row>
    <row r="63" spans="1:17" x14ac:dyDescent="0.25">
      <c r="A63" s="16" t="s">
        <v>38</v>
      </c>
      <c r="J63" t="s">
        <v>141</v>
      </c>
      <c r="Q63" t="s">
        <v>173</v>
      </c>
    </row>
    <row r="64" spans="1:17" x14ac:dyDescent="0.25">
      <c r="A64" s="11" t="s">
        <v>39</v>
      </c>
      <c r="B64" s="24">
        <v>-2.1256502910151296</v>
      </c>
      <c r="C64" t="s">
        <v>19</v>
      </c>
      <c r="D64" t="s">
        <v>34</v>
      </c>
      <c r="H64" s="17">
        <f>DEGREES(B64)</f>
        <v>-121.79079039592214</v>
      </c>
      <c r="I64" t="s">
        <v>41</v>
      </c>
      <c r="J64" s="3">
        <f>B5-PI()</f>
        <v>-2.1193457292454245</v>
      </c>
      <c r="Q64" s="8">
        <f>J64</f>
        <v>-2.1193457292454245</v>
      </c>
    </row>
    <row r="65" spans="1:18" x14ac:dyDescent="0.25">
      <c r="A65" s="1" t="s">
        <v>40</v>
      </c>
      <c r="B65" s="24">
        <v>9.3476405125681961</v>
      </c>
      <c r="C65" t="s">
        <v>22</v>
      </c>
      <c r="D65" t="s">
        <v>29</v>
      </c>
      <c r="J65" s="1">
        <f>MAX(C13:C21)*0.5</f>
        <v>10</v>
      </c>
      <c r="Q65">
        <f>MAX(C84:C92)-MIN(C84:C92)</f>
        <v>21.36386065046193</v>
      </c>
    </row>
    <row r="66" spans="1:18" x14ac:dyDescent="0.25">
      <c r="A66" s="11" t="s">
        <v>42</v>
      </c>
      <c r="B66" s="24">
        <v>2.0176467640276479</v>
      </c>
      <c r="C66" t="s">
        <v>11</v>
      </c>
      <c r="D66">
        <f>B66/B53</f>
        <v>6.4626321495622914E-4</v>
      </c>
      <c r="I66" s="20"/>
      <c r="J66" s="1">
        <f>B61*0.5</f>
        <v>1.6220782193798533</v>
      </c>
      <c r="Q66">
        <f>MAX(AC14:AC21)</f>
        <v>1.3017978500968306</v>
      </c>
    </row>
    <row r="67" spans="1:18" x14ac:dyDescent="0.25">
      <c r="A67" s="1" t="s">
        <v>37</v>
      </c>
      <c r="B67" s="24">
        <v>6.4438695115504769</v>
      </c>
      <c r="C67" t="s">
        <v>36</v>
      </c>
      <c r="D67" t="s">
        <v>122</v>
      </c>
      <c r="G67" s="20">
        <f>($B$56*$B$66*$B$55*$E$122)/$B$65</f>
        <v>6.4438695115504787</v>
      </c>
      <c r="H67" t="s">
        <v>36</v>
      </c>
      <c r="Q67">
        <v>0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  <c r="Q71" t="s">
        <v>14</v>
      </c>
    </row>
    <row r="72" spans="1:18" x14ac:dyDescent="0.25">
      <c r="A72" s="1" t="str">
        <f t="shared" ref="A72:A81" si="38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</row>
    <row r="73" spans="1:18" x14ac:dyDescent="0.25">
      <c r="A73" s="1">
        <f t="shared" si="38"/>
        <v>1</v>
      </c>
      <c r="B73" s="4">
        <f t="shared" ref="B73:B81" si="39">B13-$B$9</f>
        <v>-4.142135623730951</v>
      </c>
      <c r="C73" s="4">
        <f t="shared" ref="C73:C81" si="40">C13-$C$9</f>
        <v>-9.9999999999999982</v>
      </c>
      <c r="E73" s="1">
        <v>0</v>
      </c>
      <c r="F73" s="1">
        <v>0</v>
      </c>
      <c r="H73" s="1">
        <f t="shared" ref="H73:H81" si="41">A25</f>
        <v>1</v>
      </c>
      <c r="I73" s="4">
        <f>B25-$B$9</f>
        <v>-1.6568542494923801</v>
      </c>
      <c r="J73" s="4">
        <f>C25-$C$9</f>
        <v>-4</v>
      </c>
      <c r="Q73" cm="1">
        <f t="array" ref="Q73">(-1*MAX(ABS(B84:C91)))-1</f>
        <v>-11.681930325230965</v>
      </c>
      <c r="R73">
        <f>Q73</f>
        <v>-11.681930325230965</v>
      </c>
    </row>
    <row r="74" spans="1:18" x14ac:dyDescent="0.25">
      <c r="A74" s="1">
        <f t="shared" si="38"/>
        <v>2</v>
      </c>
      <c r="B74" s="4">
        <f t="shared" si="39"/>
        <v>4.142135623730951</v>
      </c>
      <c r="C74" s="4">
        <f t="shared" si="40"/>
        <v>-9.9999999999999982</v>
      </c>
      <c r="H74" s="1">
        <f t="shared" si="41"/>
        <v>2</v>
      </c>
      <c r="I74" s="4">
        <f t="shared" ref="I74:I81" si="42">B26-$B$9</f>
        <v>-4</v>
      </c>
      <c r="J74" s="4">
        <f t="shared" ref="J74:J81" si="43">C26-$C$9</f>
        <v>-1.6568542494923815</v>
      </c>
      <c r="Q74">
        <f>-1*Q73</f>
        <v>11.681930325230965</v>
      </c>
      <c r="R74">
        <f>Q74</f>
        <v>11.681930325230965</v>
      </c>
    </row>
    <row r="75" spans="1:18" x14ac:dyDescent="0.25">
      <c r="A75" s="1">
        <f t="shared" si="38"/>
        <v>3</v>
      </c>
      <c r="B75" s="4">
        <f t="shared" si="39"/>
        <v>10</v>
      </c>
      <c r="C75" s="4">
        <f t="shared" si="40"/>
        <v>-4.1421356237309483</v>
      </c>
      <c r="H75" s="1">
        <f t="shared" si="41"/>
        <v>3</v>
      </c>
      <c r="I75" s="4">
        <f t="shared" si="42"/>
        <v>-4</v>
      </c>
      <c r="J75" s="4">
        <f t="shared" si="43"/>
        <v>1.6568542494923815</v>
      </c>
    </row>
    <row r="76" spans="1:18" x14ac:dyDescent="0.25">
      <c r="A76" s="1">
        <f t="shared" si="38"/>
        <v>4</v>
      </c>
      <c r="B76" s="4">
        <f t="shared" si="39"/>
        <v>10</v>
      </c>
      <c r="C76" s="4">
        <f t="shared" si="40"/>
        <v>4.1421356237309528</v>
      </c>
      <c r="H76" s="1">
        <f t="shared" si="41"/>
        <v>4</v>
      </c>
      <c r="I76" s="4">
        <f t="shared" si="42"/>
        <v>-1.6568542494923801</v>
      </c>
      <c r="J76" s="4">
        <f t="shared" si="43"/>
        <v>4</v>
      </c>
    </row>
    <row r="77" spans="1:18" x14ac:dyDescent="0.25">
      <c r="A77" s="1">
        <f t="shared" si="38"/>
        <v>5</v>
      </c>
      <c r="B77" s="4">
        <f t="shared" si="39"/>
        <v>4.142135623730951</v>
      </c>
      <c r="C77" s="4">
        <f t="shared" si="40"/>
        <v>10.000000000000002</v>
      </c>
      <c r="H77" s="1">
        <f t="shared" si="41"/>
        <v>5</v>
      </c>
      <c r="I77" s="4">
        <f t="shared" si="42"/>
        <v>1.6568542494923806</v>
      </c>
      <c r="J77" s="4">
        <f t="shared" si="43"/>
        <v>4</v>
      </c>
      <c r="Q77" t="s">
        <v>148</v>
      </c>
    </row>
    <row r="78" spans="1:18" x14ac:dyDescent="0.25">
      <c r="A78" s="1">
        <f t="shared" si="38"/>
        <v>6</v>
      </c>
      <c r="B78" s="4">
        <f t="shared" si="39"/>
        <v>-4.142135623730951</v>
      </c>
      <c r="C78" s="4">
        <f t="shared" si="40"/>
        <v>10.000000000000002</v>
      </c>
      <c r="H78" s="1">
        <f t="shared" si="41"/>
        <v>6</v>
      </c>
      <c r="I78" s="4">
        <f t="shared" si="42"/>
        <v>4</v>
      </c>
      <c r="J78" s="4">
        <f t="shared" si="43"/>
        <v>1.6568542494923815</v>
      </c>
      <c r="Q78" t="s">
        <v>27</v>
      </c>
      <c r="R78" t="s">
        <v>28</v>
      </c>
    </row>
    <row r="79" spans="1:18" x14ac:dyDescent="0.25">
      <c r="A79" s="1">
        <f t="shared" si="38"/>
        <v>7</v>
      </c>
      <c r="B79" s="4">
        <f t="shared" si="39"/>
        <v>-10</v>
      </c>
      <c r="C79" s="4">
        <f t="shared" si="40"/>
        <v>4.1421356237309528</v>
      </c>
      <c r="H79" s="1">
        <f t="shared" si="41"/>
        <v>7</v>
      </c>
      <c r="I79" s="4">
        <f t="shared" si="42"/>
        <v>4</v>
      </c>
      <c r="J79" s="4">
        <f t="shared" si="43"/>
        <v>-1.6568542494923797</v>
      </c>
      <c r="Q79">
        <f>(F126*COS(-1*$B$64))+(G126*SIN(-1*$B$64))</f>
        <v>7.288381103875806</v>
      </c>
      <c r="R79">
        <f>(-1*F126*SIN(-1*$B$64))+(G126*COS(-1*$B$64))</f>
        <v>9.2264471121007681</v>
      </c>
    </row>
    <row r="80" spans="1:18" x14ac:dyDescent="0.25">
      <c r="A80" s="1">
        <f t="shared" si="38"/>
        <v>8</v>
      </c>
      <c r="B80" s="4">
        <f t="shared" si="39"/>
        <v>-10</v>
      </c>
      <c r="C80" s="4">
        <f t="shared" si="40"/>
        <v>-4.1421356237309483</v>
      </c>
      <c r="H80" s="1">
        <f t="shared" si="41"/>
        <v>8</v>
      </c>
      <c r="I80" s="4">
        <f t="shared" si="42"/>
        <v>1.6568542494923806</v>
      </c>
      <c r="J80" s="4">
        <f t="shared" si="43"/>
        <v>-4</v>
      </c>
      <c r="Q80">
        <f>(F127*COS(-1*$B$64))+(G127*SIN(-1*$B$64))</f>
        <v>-5.0201487755260086</v>
      </c>
      <c r="R80">
        <f>(-1*F127*SIN(-1*$B$64))+(G127*COS(-1*$B$64))</f>
        <v>-10.632306038640493</v>
      </c>
    </row>
    <row r="81" spans="1:18" x14ac:dyDescent="0.25">
      <c r="A81" s="1">
        <f t="shared" si="38"/>
        <v>9</v>
      </c>
      <c r="B81" s="4">
        <f t="shared" si="39"/>
        <v>-4.142135623730951</v>
      </c>
      <c r="C81" s="4">
        <f t="shared" si="40"/>
        <v>-9.9999999999999982</v>
      </c>
      <c r="H81" s="1">
        <f t="shared" si="41"/>
        <v>9</v>
      </c>
      <c r="I81" s="4">
        <f t="shared" si="42"/>
        <v>-1.6568542494923801</v>
      </c>
      <c r="J81" s="4">
        <f t="shared" si="43"/>
        <v>-4</v>
      </c>
    </row>
    <row r="82" spans="1:18" x14ac:dyDescent="0.25">
      <c r="A82" t="s">
        <v>30</v>
      </c>
      <c r="B82" s="9"/>
      <c r="H82" t="s">
        <v>139</v>
      </c>
      <c r="Q82" s="4">
        <f>Q79+$B$9</f>
        <v>11.430516727606758</v>
      </c>
      <c r="R82" s="4">
        <f>R79+$C$9</f>
        <v>19.226447112100765</v>
      </c>
    </row>
    <row r="83" spans="1:18" x14ac:dyDescent="0.25">
      <c r="A83" s="1" t="str">
        <f t="shared" ref="A83:A92" si="44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-0.87801315179505757</v>
      </c>
      <c r="R83" s="4">
        <f>R80+$C$9</f>
        <v>-0.63230603864049506</v>
      </c>
    </row>
    <row r="84" spans="1:18" x14ac:dyDescent="0.25">
      <c r="A84" s="1">
        <f t="shared" si="44"/>
        <v>1</v>
      </c>
      <c r="B84" s="4">
        <f t="shared" ref="B84:B92" si="45">(B73*COS($B$64))+(C73*SIN($B$64))</f>
        <v>10.681930325230962</v>
      </c>
      <c r="C84" s="1">
        <f t="shared" ref="C84:C92" si="46">(-1*B73*SIN($B$64))+(C73*COS($B$64))</f>
        <v>1.7474701863814737</v>
      </c>
      <c r="H84" s="1">
        <f t="shared" ref="H84:H92" si="47">H73</f>
        <v>1</v>
      </c>
      <c r="I84" s="4">
        <f>(I73*COS($B$64))+(J73*SIN($B$64))</f>
        <v>4.2727721300923855</v>
      </c>
      <c r="J84" s="1">
        <f>(-1*I73*SIN($B$64))+(J73*COS($B$64))</f>
        <v>0.69898807455259004</v>
      </c>
    </row>
    <row r="85" spans="1:18" x14ac:dyDescent="0.25">
      <c r="A85" s="1">
        <f t="shared" si="44"/>
        <v>2</v>
      </c>
      <c r="B85" s="4">
        <f t="shared" si="45"/>
        <v>6.3176173504213748</v>
      </c>
      <c r="C85" s="1">
        <f t="shared" si="46"/>
        <v>8.7889133878446977</v>
      </c>
      <c r="H85" s="1">
        <f t="shared" si="47"/>
        <v>2</v>
      </c>
      <c r="I85" s="4">
        <f t="shared" ref="I85:I92" si="48">(I74*COS($B$64))+(J74*SIN($B$64))</f>
        <v>3.5155653551378805</v>
      </c>
      <c r="J85" s="1">
        <f t="shared" ref="J85:J92" si="49">(-1*I74*SIN($B$64))+(J74*COS($B$64))</f>
        <v>-2.52704694016855</v>
      </c>
      <c r="Q85" t="s">
        <v>149</v>
      </c>
    </row>
    <row r="86" spans="1:18" x14ac:dyDescent="0.25">
      <c r="A86" s="1">
        <f t="shared" si="44"/>
        <v>3</v>
      </c>
      <c r="B86" s="4">
        <f t="shared" si="45"/>
        <v>-1.7474701863814768</v>
      </c>
      <c r="C86" s="1">
        <f t="shared" si="46"/>
        <v>10.681930325230963</v>
      </c>
      <c r="H86" s="1">
        <f t="shared" si="47"/>
        <v>3</v>
      </c>
      <c r="I86" s="4">
        <f t="shared" si="48"/>
        <v>0.69898807455258893</v>
      </c>
      <c r="J86" s="1">
        <f t="shared" si="49"/>
        <v>-4.2727721300923864</v>
      </c>
      <c r="Q86" t="s">
        <v>27</v>
      </c>
      <c r="R86" t="s">
        <v>28</v>
      </c>
    </row>
    <row r="87" spans="1:18" x14ac:dyDescent="0.25">
      <c r="A87" s="1">
        <f t="shared" si="44"/>
        <v>4</v>
      </c>
      <c r="B87" s="4">
        <f t="shared" si="45"/>
        <v>-8.7889133878447012</v>
      </c>
      <c r="C87" s="1">
        <f t="shared" si="46"/>
        <v>6.3176173504213757</v>
      </c>
      <c r="H87" s="1">
        <f t="shared" si="47"/>
        <v>4</v>
      </c>
      <c r="I87" s="4">
        <f t="shared" si="48"/>
        <v>-2.5270469401685505</v>
      </c>
      <c r="J87" s="1">
        <f t="shared" si="49"/>
        <v>-3.5155653551378796</v>
      </c>
      <c r="Q87">
        <f>(P142*COS(-1*$B$64))+(P143*SIN(-1*$B$64))</f>
        <v>5.6074082814331812</v>
      </c>
      <c r="R87">
        <f>(-1*P142*SIN(-1*$B$64))+(P143*COS(-1*$B$64))</f>
        <v>-3.4530195227158167</v>
      </c>
    </row>
    <row r="88" spans="1:18" x14ac:dyDescent="0.25">
      <c r="A88" s="1">
        <f t="shared" si="44"/>
        <v>5</v>
      </c>
      <c r="B88" s="4">
        <f t="shared" si="45"/>
        <v>-10.681930325230965</v>
      </c>
      <c r="C88" s="1">
        <f t="shared" si="46"/>
        <v>-1.7474701863814754</v>
      </c>
      <c r="H88" s="1">
        <f t="shared" si="47"/>
        <v>5</v>
      </c>
      <c r="I88" s="4">
        <f t="shared" si="48"/>
        <v>-4.2727721300923855</v>
      </c>
      <c r="J88" s="1">
        <f t="shared" si="49"/>
        <v>-0.6989880745525896</v>
      </c>
    </row>
    <row r="89" spans="1:18" x14ac:dyDescent="0.25">
      <c r="A89" s="1">
        <f t="shared" si="44"/>
        <v>6</v>
      </c>
      <c r="B89" s="4">
        <f t="shared" si="45"/>
        <v>-6.3176173504213784</v>
      </c>
      <c r="C89" s="1">
        <f t="shared" si="46"/>
        <v>-8.7889133878446994</v>
      </c>
      <c r="H89" s="1">
        <f t="shared" si="47"/>
        <v>6</v>
      </c>
      <c r="I89" s="4">
        <f t="shared" si="48"/>
        <v>-3.5155653551378805</v>
      </c>
      <c r="J89" s="1">
        <f t="shared" si="49"/>
        <v>2.52704694016855</v>
      </c>
    </row>
    <row r="90" spans="1:18" x14ac:dyDescent="0.25">
      <c r="A90" s="1">
        <f t="shared" si="44"/>
        <v>7</v>
      </c>
      <c r="B90" s="4">
        <f t="shared" si="45"/>
        <v>1.7474701863814728</v>
      </c>
      <c r="C90" s="1">
        <f t="shared" si="46"/>
        <v>-10.681930325230965</v>
      </c>
      <c r="H90" s="1">
        <f t="shared" si="47"/>
        <v>7</v>
      </c>
      <c r="I90" s="4">
        <f t="shared" si="48"/>
        <v>-0.69898807455259049</v>
      </c>
      <c r="J90" s="1">
        <f t="shared" si="49"/>
        <v>4.2727721300923855</v>
      </c>
      <c r="Q90" s="4">
        <f>Q87+$B$9</f>
        <v>9.7495439051641313</v>
      </c>
      <c r="R90" s="4">
        <f>R87+$C$9</f>
        <v>6.5469804772841815</v>
      </c>
    </row>
    <row r="91" spans="1:18" x14ac:dyDescent="0.25">
      <c r="A91" s="1">
        <f t="shared" si="44"/>
        <v>8</v>
      </c>
      <c r="B91" s="4">
        <f t="shared" si="45"/>
        <v>8.7889133878446959</v>
      </c>
      <c r="C91" s="1">
        <f t="shared" si="46"/>
        <v>-6.3176173504213775</v>
      </c>
      <c r="H91" s="1">
        <f t="shared" si="47"/>
        <v>8</v>
      </c>
      <c r="I91" s="4">
        <f t="shared" si="48"/>
        <v>2.5270469401685505</v>
      </c>
      <c r="J91" s="1">
        <f t="shared" si="49"/>
        <v>3.5155653551378796</v>
      </c>
    </row>
    <row r="92" spans="1:18" x14ac:dyDescent="0.25">
      <c r="A92" s="1">
        <f t="shared" si="44"/>
        <v>9</v>
      </c>
      <c r="B92" s="4">
        <f t="shared" si="45"/>
        <v>10.681930325230962</v>
      </c>
      <c r="C92" s="1">
        <f t="shared" si="46"/>
        <v>1.7474701863814737</v>
      </c>
      <c r="H92" s="1">
        <f t="shared" si="47"/>
        <v>9</v>
      </c>
      <c r="I92" s="4">
        <f t="shared" si="48"/>
        <v>4.2727721300923855</v>
      </c>
      <c r="J92" s="1">
        <f t="shared" si="49"/>
        <v>0.69898807455259004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>
        <f>(P156*COS(-1*$B$64))+(P157*SIN(-1*$B$64))</f>
        <v>2.5148051356785093</v>
      </c>
      <c r="R94">
        <f>(-1*P156*SIN(-1*$B$64))+(P157*COS(-1*$B$64))</f>
        <v>-1.5491052064580688</v>
      </c>
    </row>
    <row r="95" spans="1:18" x14ac:dyDescent="0.25">
      <c r="A95">
        <f t="shared" ref="A95:A106" si="50">A37</f>
        <v>1</v>
      </c>
      <c r="B95" s="4">
        <f t="shared" ref="B95:B106" si="51">B37-$B$9</f>
        <v>8.5</v>
      </c>
      <c r="C95" s="4">
        <f t="shared" ref="C95:C106" si="52">C37-$C$9</f>
        <v>0</v>
      </c>
      <c r="D95" t="str">
        <f t="shared" ref="D95:D106" si="53">D37</f>
        <v>y</v>
      </c>
    </row>
    <row r="96" spans="1:18" x14ac:dyDescent="0.25">
      <c r="A96">
        <f t="shared" si="50"/>
        <v>2</v>
      </c>
      <c r="B96" s="4">
        <f t="shared" si="51"/>
        <v>6.0104076400856545</v>
      </c>
      <c r="C96" s="4">
        <f t="shared" si="52"/>
        <v>6.0104076400856545</v>
      </c>
      <c r="D96" t="str">
        <f t="shared" si="53"/>
        <v>y</v>
      </c>
    </row>
    <row r="97" spans="1:25" x14ac:dyDescent="0.25">
      <c r="A97">
        <f t="shared" si="50"/>
        <v>3</v>
      </c>
      <c r="B97" s="4">
        <f t="shared" si="51"/>
        <v>0</v>
      </c>
      <c r="C97" s="4">
        <f t="shared" si="52"/>
        <v>8.5000000000000018</v>
      </c>
      <c r="D97" t="str">
        <f t="shared" si="53"/>
        <v>y</v>
      </c>
      <c r="Q97" s="4">
        <f>Q94+$B$9</f>
        <v>6.6569407594094603</v>
      </c>
      <c r="R97" s="4">
        <f>R94+$C$9</f>
        <v>8.450894793541929</v>
      </c>
    </row>
    <row r="98" spans="1:25" x14ac:dyDescent="0.25">
      <c r="A98">
        <f t="shared" si="50"/>
        <v>4</v>
      </c>
      <c r="B98" s="4">
        <f t="shared" si="51"/>
        <v>-6.0104076400856536</v>
      </c>
      <c r="C98" s="4">
        <f t="shared" si="52"/>
        <v>6.0104076400856545</v>
      </c>
      <c r="D98" t="str">
        <f t="shared" si="53"/>
        <v>y</v>
      </c>
    </row>
    <row r="99" spans="1:25" x14ac:dyDescent="0.25">
      <c r="A99">
        <f t="shared" si="50"/>
        <v>5</v>
      </c>
      <c r="B99" s="4">
        <f t="shared" si="51"/>
        <v>-8.5</v>
      </c>
      <c r="C99" s="4">
        <f t="shared" si="52"/>
        <v>0</v>
      </c>
      <c r="D99" t="str">
        <f t="shared" si="53"/>
        <v>y</v>
      </c>
    </row>
    <row r="100" spans="1:25" x14ac:dyDescent="0.25">
      <c r="A100">
        <f t="shared" si="50"/>
        <v>6</v>
      </c>
      <c r="B100" s="4">
        <f t="shared" si="51"/>
        <v>-6.0104076400856554</v>
      </c>
      <c r="C100" s="4">
        <f t="shared" si="52"/>
        <v>-6.0104076400856536</v>
      </c>
      <c r="D100" t="str">
        <f t="shared" si="53"/>
        <v>y</v>
      </c>
    </row>
    <row r="101" spans="1:25" x14ac:dyDescent="0.25">
      <c r="A101">
        <f t="shared" si="50"/>
        <v>7</v>
      </c>
      <c r="B101" s="4">
        <f t="shared" si="51"/>
        <v>0</v>
      </c>
      <c r="C101" s="4">
        <f t="shared" si="52"/>
        <v>-8.5</v>
      </c>
      <c r="D101" t="str">
        <f t="shared" si="53"/>
        <v>y</v>
      </c>
    </row>
    <row r="102" spans="1:25" x14ac:dyDescent="0.25">
      <c r="A102">
        <f t="shared" si="50"/>
        <v>8</v>
      </c>
      <c r="B102" s="4">
        <f t="shared" si="51"/>
        <v>6.0104076400856528</v>
      </c>
      <c r="C102" s="4">
        <f t="shared" si="52"/>
        <v>-6.0104076400856554</v>
      </c>
      <c r="D102" t="str">
        <f t="shared" si="53"/>
        <v>y</v>
      </c>
    </row>
    <row r="103" spans="1:25" x14ac:dyDescent="0.25">
      <c r="A103">
        <f t="shared" si="50"/>
        <v>9</v>
      </c>
      <c r="B103" s="4">
        <f t="shared" si="51"/>
        <v>-4.142135623730951</v>
      </c>
      <c r="C103" s="4">
        <f t="shared" si="52"/>
        <v>-9.9999999999999982</v>
      </c>
      <c r="D103" t="str">
        <f t="shared" si="53"/>
        <v>n</v>
      </c>
    </row>
    <row r="104" spans="1:25" x14ac:dyDescent="0.25">
      <c r="A104">
        <f t="shared" si="50"/>
        <v>10</v>
      </c>
      <c r="B104" s="4">
        <f t="shared" si="51"/>
        <v>-4.142135623730951</v>
      </c>
      <c r="C104" s="4">
        <f t="shared" si="52"/>
        <v>-9.9999999999999982</v>
      </c>
      <c r="D104" t="str">
        <f t="shared" si="53"/>
        <v>n</v>
      </c>
    </row>
    <row r="105" spans="1:25" x14ac:dyDescent="0.25">
      <c r="A105">
        <f t="shared" si="50"/>
        <v>11</v>
      </c>
      <c r="B105" s="4">
        <f t="shared" si="51"/>
        <v>-4.142135623730951</v>
      </c>
      <c r="C105" s="4">
        <f t="shared" si="52"/>
        <v>-9.9999999999999982</v>
      </c>
      <c r="D105" t="str">
        <f t="shared" si="53"/>
        <v>n</v>
      </c>
    </row>
    <row r="106" spans="1:25" x14ac:dyDescent="0.25">
      <c r="A106">
        <f t="shared" si="50"/>
        <v>12</v>
      </c>
      <c r="B106" s="4">
        <f t="shared" si="51"/>
        <v>-4.142135623730951</v>
      </c>
      <c r="C106" s="4">
        <f t="shared" si="52"/>
        <v>-9.9999999999999982</v>
      </c>
      <c r="D106" t="str">
        <f t="shared" si="53"/>
        <v>n</v>
      </c>
    </row>
    <row r="107" spans="1:25" x14ac:dyDescent="0.25">
      <c r="Q107" t="s">
        <v>151</v>
      </c>
    </row>
    <row r="108" spans="1:25" x14ac:dyDescent="0.25">
      <c r="A108" t="s">
        <v>32</v>
      </c>
    </row>
    <row r="109" spans="1:25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160</v>
      </c>
      <c r="O109" t="s">
        <v>158</v>
      </c>
      <c r="P109" t="s">
        <v>159</v>
      </c>
      <c r="Q109" s="1" t="s">
        <v>27</v>
      </c>
      <c r="R109" s="1" t="s">
        <v>28</v>
      </c>
      <c r="Y109" t="s">
        <v>164</v>
      </c>
    </row>
    <row r="110" spans="1:25" x14ac:dyDescent="0.25">
      <c r="A110">
        <f>A95</f>
        <v>1</v>
      </c>
      <c r="B110" s="1">
        <f>(B95*COS($B$64))+(C95*SIN($B$64))</f>
        <v>-4.4779630190461237</v>
      </c>
      <c r="C110" s="1">
        <f>(-1*B95*SIN($B$64))+(C95*COS($B$64))</f>
        <v>7.2248077621522446</v>
      </c>
      <c r="D110" t="str">
        <f t="shared" ref="D110" si="54">D95</f>
        <v>y</v>
      </c>
      <c r="E110" s="4">
        <f t="shared" ref="E110:E121" si="55">IF($D110="y",$B$125-C110,0)</f>
        <v>-5.8905179494894773</v>
      </c>
      <c r="F110" s="1">
        <f>IF($D110="y",B110,NA())</f>
        <v>-4.4779630190461237</v>
      </c>
      <c r="G110" s="1">
        <f>IF($D110="y",C110,NA())</f>
        <v>7.2248077621522446</v>
      </c>
      <c r="H110">
        <f t="shared" ref="H110:H121" si="56">IF($E$122=0,0,-1*MAX(($B$67/$E$122)*(E110),0))</f>
        <v>0</v>
      </c>
      <c r="I110">
        <f>H110*C110</f>
        <v>0</v>
      </c>
      <c r="J110">
        <f>H110*B110*-1</f>
        <v>0</v>
      </c>
      <c r="K110">
        <f>H110/$B$55</f>
        <v>0</v>
      </c>
      <c r="L110">
        <f>K110/$B$54</f>
        <v>0</v>
      </c>
      <c r="M110">
        <f t="shared" ref="M110:M121" si="57">IFERROR(($D$66/$B$65)*(G110-$B$125),0)</f>
        <v>4.0724983622081405E-4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>IF(AND($E$60="n",M110&gt;0,D110="y"),M110*$B$53*$E$59,0)</f>
        <v>0.65922434510202665</v>
      </c>
    </row>
    <row r="111" spans="1:25" x14ac:dyDescent="0.25">
      <c r="A111">
        <f t="shared" ref="A111:D111" si="58">A96</f>
        <v>2</v>
      </c>
      <c r="B111" s="1">
        <f t="shared" ref="B111:B121" si="59">(B96*COS($B$64))+(C96*SIN($B$64))</f>
        <v>-8.2751085780571572</v>
      </c>
      <c r="C111" s="1">
        <f t="shared" ref="C111:C121" si="60">(-1*B96*SIN($B$64))+(C96*COS($B$64))</f>
        <v>1.9423125447169585</v>
      </c>
      <c r="D111" t="str">
        <f t="shared" si="58"/>
        <v>y</v>
      </c>
      <c r="E111" s="4">
        <f t="shared" si="55"/>
        <v>-0.60802273205419111</v>
      </c>
      <c r="F111" s="1">
        <f t="shared" ref="F111:F121" si="61">IF($D111="y",B111,NA())</f>
        <v>-8.2751085780571572</v>
      </c>
      <c r="G111" s="1">
        <f t="shared" ref="G111:G121" si="62">IF($D111="y",C111,NA())</f>
        <v>1.9423125447169585</v>
      </c>
      <c r="H111">
        <f t="shared" si="56"/>
        <v>0</v>
      </c>
      <c r="I111">
        <f t="shared" ref="I111:I121" si="63">H111*C111</f>
        <v>0</v>
      </c>
      <c r="J111">
        <f t="shared" ref="J111:J121" si="64">H111*B111*-1</f>
        <v>0</v>
      </c>
      <c r="K111">
        <f>H111/$B$55</f>
        <v>0</v>
      </c>
      <c r="L111">
        <f t="shared" ref="L111:L121" si="65">K111/$B$54</f>
        <v>0</v>
      </c>
      <c r="M111">
        <f t="shared" si="57"/>
        <v>4.2036567950541911E-5</v>
      </c>
      <c r="N111">
        <f t="shared" ref="N111:N121" si="66">IF(AND(M111&gt;0,D111="y",$E$60="y"),$B$53*M111*$E$59,0)</f>
        <v>0</v>
      </c>
      <c r="O111">
        <f t="shared" ref="O111:O121" si="67">N111*C111</f>
        <v>0</v>
      </c>
      <c r="P111">
        <f t="shared" ref="P111:P121" si="68">N111*B111*-1</f>
        <v>0</v>
      </c>
      <c r="Q111" t="e">
        <f t="shared" ref="Q111:Q121" si="69">IF($H111&lt;0,F111,NA())</f>
        <v>#N/A</v>
      </c>
      <c r="R111" t="e">
        <f t="shared" ref="R111:R121" si="70">IF($H111&lt;0,G111,NA())</f>
        <v>#N/A</v>
      </c>
      <c r="T111" t="e">
        <f t="shared" ref="T111:T121" si="71">(Q111*COS(-1*$B$64))+(R111*SIN(-1*$B$64))</f>
        <v>#N/A</v>
      </c>
      <c r="U111" t="e">
        <f t="shared" ref="U111:U121" si="72">(-1*Q111*SIN(-1*$B$64))+(R111*COS(-1*$B$64))</f>
        <v>#N/A</v>
      </c>
      <c r="W111" s="4" t="e">
        <f t="shared" ref="W111:W121" si="73">T111+$B$9</f>
        <v>#N/A</v>
      </c>
      <c r="X111" s="4" t="e">
        <f t="shared" ref="X111:X121" si="74">U111+$C$9</f>
        <v>#N/A</v>
      </c>
      <c r="Y111">
        <f t="shared" ref="Y111:Y121" si="75">IF(AND($E$60="n",M111&gt;0,D111="y"),M111*$B$53*$E$59,0)</f>
        <v>6.8045525161383805E-2</v>
      </c>
    </row>
    <row r="112" spans="1:25" x14ac:dyDescent="0.25">
      <c r="A112">
        <f t="shared" ref="A112:D112" si="76">A97</f>
        <v>3</v>
      </c>
      <c r="B112" s="1">
        <f t="shared" si="59"/>
        <v>-7.2248077621522464</v>
      </c>
      <c r="C112" s="1">
        <f t="shared" si="60"/>
        <v>-4.4779630190461246</v>
      </c>
      <c r="D112" t="str">
        <f t="shared" si="76"/>
        <v>y</v>
      </c>
      <c r="E112" s="4">
        <f t="shared" si="55"/>
        <v>5.812252831708892</v>
      </c>
      <c r="F112" s="1">
        <f t="shared" si="61"/>
        <v>-7.2248077621522464</v>
      </c>
      <c r="G112" s="1">
        <f t="shared" si="62"/>
        <v>-4.4779630190461246</v>
      </c>
      <c r="H112">
        <f t="shared" si="56"/>
        <v>-3.8975799829302207</v>
      </c>
      <c r="I112">
        <f t="shared" si="63"/>
        <v>17.453219027335955</v>
      </c>
      <c r="J112">
        <f t="shared" si="64"/>
        <v>-28.159266114283479</v>
      </c>
      <c r="K112">
        <f t="shared" ref="K112:K121" si="77">H112/$B$55</f>
        <v>-11.653326921070519</v>
      </c>
      <c r="L112">
        <f t="shared" si="65"/>
        <v>-4.0183885934725927E-4</v>
      </c>
      <c r="M112">
        <f t="shared" si="57"/>
        <v>-4.0183885934725938E-4</v>
      </c>
      <c r="N112">
        <f t="shared" si="66"/>
        <v>0</v>
      </c>
      <c r="O112">
        <f t="shared" si="67"/>
        <v>0</v>
      </c>
      <c r="P112">
        <f t="shared" si="68"/>
        <v>0</v>
      </c>
      <c r="Q112">
        <f t="shared" si="69"/>
        <v>-7.2248077621522464</v>
      </c>
      <c r="R112">
        <f t="shared" si="70"/>
        <v>-4.4779630190461246</v>
      </c>
      <c r="T112">
        <f t="shared" si="71"/>
        <v>0</v>
      </c>
      <c r="U112">
        <f t="shared" si="72"/>
        <v>8.5000000000000018</v>
      </c>
      <c r="W112" s="4">
        <f t="shared" si="73"/>
        <v>4.142135623730951</v>
      </c>
      <c r="X112" s="4">
        <f t="shared" si="74"/>
        <v>18.5</v>
      </c>
      <c r="Y112">
        <f t="shared" si="75"/>
        <v>0</v>
      </c>
    </row>
    <row r="113" spans="1:25" x14ac:dyDescent="0.25">
      <c r="A113">
        <f t="shared" ref="A113:D113" si="78">A98</f>
        <v>4</v>
      </c>
      <c r="B113" s="1">
        <f t="shared" si="59"/>
        <v>-1.9423125447169589</v>
      </c>
      <c r="C113" s="1">
        <f t="shared" si="60"/>
        <v>-8.2751085780571572</v>
      </c>
      <c r="D113" t="str">
        <f t="shared" si="78"/>
        <v>y</v>
      </c>
      <c r="E113" s="4">
        <f t="shared" si="55"/>
        <v>9.6093983907199245</v>
      </c>
      <c r="F113" s="1">
        <f t="shared" si="61"/>
        <v>-1.9423125447169589</v>
      </c>
      <c r="G113" s="1">
        <f t="shared" si="62"/>
        <v>-8.2751085780571572</v>
      </c>
      <c r="H113">
        <f t="shared" si="56"/>
        <v>-6.4438695115504769</v>
      </c>
      <c r="I113">
        <f t="shared" si="63"/>
        <v>53.323719870912335</v>
      </c>
      <c r="J113">
        <f t="shared" si="64"/>
        <v>-12.516008588803635</v>
      </c>
      <c r="K113">
        <f t="shared" si="77"/>
        <v>-19.266446970605021</v>
      </c>
      <c r="L113">
        <f t="shared" si="65"/>
        <v>-6.6436024036569037E-4</v>
      </c>
      <c r="M113">
        <f t="shared" si="57"/>
        <v>-6.6436024036569047E-4</v>
      </c>
      <c r="N113">
        <f t="shared" si="66"/>
        <v>0</v>
      </c>
      <c r="O113">
        <f t="shared" si="67"/>
        <v>0</v>
      </c>
      <c r="P113">
        <f t="shared" si="68"/>
        <v>0</v>
      </c>
      <c r="Q113">
        <f t="shared" si="69"/>
        <v>-1.9423125447169589</v>
      </c>
      <c r="R113">
        <f t="shared" si="70"/>
        <v>-8.2751085780571572</v>
      </c>
      <c r="T113">
        <f t="shared" si="71"/>
        <v>-6.0104076400856545</v>
      </c>
      <c r="U113">
        <f t="shared" si="72"/>
        <v>6.0104076400856554</v>
      </c>
      <c r="W113" s="4">
        <f t="shared" si="73"/>
        <v>-1.8682720163547035</v>
      </c>
      <c r="X113" s="4">
        <f t="shared" si="74"/>
        <v>16.010407640085653</v>
      </c>
      <c r="Y113">
        <f t="shared" si="75"/>
        <v>0</v>
      </c>
    </row>
    <row r="114" spans="1:25" x14ac:dyDescent="0.25">
      <c r="A114">
        <f t="shared" ref="A114:D114" si="79">A99</f>
        <v>5</v>
      </c>
      <c r="B114" s="1">
        <f t="shared" si="59"/>
        <v>4.4779630190461237</v>
      </c>
      <c r="C114" s="1">
        <f t="shared" si="60"/>
        <v>-7.2248077621522446</v>
      </c>
      <c r="D114" t="str">
        <f t="shared" si="79"/>
        <v>y</v>
      </c>
      <c r="E114" s="4">
        <f t="shared" si="55"/>
        <v>8.5590975748150129</v>
      </c>
      <c r="F114" s="1">
        <f t="shared" si="61"/>
        <v>4.4779630190461237</v>
      </c>
      <c r="G114" s="1">
        <f t="shared" si="62"/>
        <v>-7.2248077621522446</v>
      </c>
      <c r="H114">
        <f t="shared" si="56"/>
        <v>-5.73955888456031</v>
      </c>
      <c r="I114">
        <f t="shared" si="63"/>
        <v>41.467209580501205</v>
      </c>
      <c r="J114">
        <f t="shared" si="64"/>
        <v>25.701532430698688</v>
      </c>
      <c r="K114">
        <f t="shared" si="77"/>
        <v>-17.160637204995005</v>
      </c>
      <c r="L114">
        <f t="shared" si="65"/>
        <v>-5.9174611051706911E-4</v>
      </c>
      <c r="M114">
        <f t="shared" si="57"/>
        <v>-5.9174611051706933E-4</v>
      </c>
      <c r="N114">
        <f t="shared" si="66"/>
        <v>0</v>
      </c>
      <c r="O114">
        <f t="shared" si="67"/>
        <v>0</v>
      </c>
      <c r="P114">
        <f t="shared" si="68"/>
        <v>0</v>
      </c>
      <c r="Q114">
        <f t="shared" si="69"/>
        <v>4.4779630190461237</v>
      </c>
      <c r="R114">
        <f t="shared" si="70"/>
        <v>-7.2248077621522446</v>
      </c>
      <c r="T114">
        <f t="shared" si="71"/>
        <v>-8.5</v>
      </c>
      <c r="U114">
        <f t="shared" si="72"/>
        <v>0</v>
      </c>
      <c r="W114" s="4">
        <f t="shared" si="73"/>
        <v>-4.357864376269049</v>
      </c>
      <c r="X114" s="4">
        <f t="shared" si="74"/>
        <v>9.9999999999999982</v>
      </c>
      <c r="Y114">
        <f t="shared" si="75"/>
        <v>0</v>
      </c>
    </row>
    <row r="115" spans="1:25" x14ac:dyDescent="0.25">
      <c r="A115">
        <f t="shared" ref="A115:D115" si="80">A100</f>
        <v>6</v>
      </c>
      <c r="B115" s="1">
        <f t="shared" si="59"/>
        <v>8.2751085780571572</v>
      </c>
      <c r="C115" s="1">
        <f t="shared" si="60"/>
        <v>-1.9423125447169598</v>
      </c>
      <c r="D115" t="str">
        <f t="shared" si="80"/>
        <v>y</v>
      </c>
      <c r="E115" s="4">
        <f t="shared" si="55"/>
        <v>3.2766023573797272</v>
      </c>
      <c r="F115" s="1">
        <f t="shared" si="61"/>
        <v>8.2751085780571572</v>
      </c>
      <c r="G115" s="1">
        <f t="shared" si="62"/>
        <v>-1.9423125447169598</v>
      </c>
      <c r="H115">
        <f t="shared" si="56"/>
        <v>-2.1972237151270617</v>
      </c>
      <c r="I115">
        <f t="shared" si="63"/>
        <v>4.2676951854408953</v>
      </c>
      <c r="J115">
        <f t="shared" si="64"/>
        <v>18.182264812958564</v>
      </c>
      <c r="K115">
        <f t="shared" si="77"/>
        <v>-6.5694524251571167</v>
      </c>
      <c r="L115">
        <f t="shared" si="65"/>
        <v>-2.2653284224679712E-4</v>
      </c>
      <c r="M115">
        <f t="shared" si="57"/>
        <v>-2.265328422467972E-4</v>
      </c>
      <c r="N115">
        <f t="shared" si="66"/>
        <v>0</v>
      </c>
      <c r="O115">
        <f t="shared" si="67"/>
        <v>0</v>
      </c>
      <c r="P115">
        <f t="shared" si="68"/>
        <v>0</v>
      </c>
      <c r="Q115">
        <f t="shared" si="69"/>
        <v>8.2751085780571572</v>
      </c>
      <c r="R115">
        <f t="shared" si="70"/>
        <v>-1.9423125447169598</v>
      </c>
      <c r="T115">
        <f t="shared" si="71"/>
        <v>-6.0104076400856563</v>
      </c>
      <c r="U115">
        <f t="shared" si="72"/>
        <v>-6.0104076400856536</v>
      </c>
      <c r="W115" s="4">
        <f t="shared" si="73"/>
        <v>-1.8682720163547053</v>
      </c>
      <c r="X115" s="4">
        <f t="shared" si="74"/>
        <v>3.9895923599143446</v>
      </c>
      <c r="Y115">
        <f t="shared" si="75"/>
        <v>0</v>
      </c>
    </row>
    <row r="116" spans="1:25" x14ac:dyDescent="0.25">
      <c r="A116">
        <f t="shared" ref="A116:D116" si="81">A101</f>
        <v>7</v>
      </c>
      <c r="B116" s="1">
        <f t="shared" si="59"/>
        <v>7.2248077621522446</v>
      </c>
      <c r="C116" s="1">
        <f t="shared" si="60"/>
        <v>4.4779630190461237</v>
      </c>
      <c r="D116" t="str">
        <f t="shared" si="81"/>
        <v>y</v>
      </c>
      <c r="E116" s="4">
        <f t="shared" si="55"/>
        <v>-3.1436732063833563</v>
      </c>
      <c r="F116" s="1">
        <f t="shared" si="61"/>
        <v>7.2248077621522446</v>
      </c>
      <c r="G116" s="1">
        <f t="shared" si="62"/>
        <v>4.4779630190461237</v>
      </c>
      <c r="H116">
        <f t="shared" si="56"/>
        <v>0</v>
      </c>
      <c r="I116">
        <f t="shared" si="63"/>
        <v>0</v>
      </c>
      <c r="J116">
        <f t="shared" si="64"/>
        <v>0</v>
      </c>
      <c r="K116">
        <f t="shared" si="77"/>
        <v>0</v>
      </c>
      <c r="L116">
        <f t="shared" si="65"/>
        <v>0</v>
      </c>
      <c r="M116">
        <f t="shared" si="57"/>
        <v>2.1734258505100412E-4</v>
      </c>
      <c r="N116">
        <f t="shared" si="66"/>
        <v>0</v>
      </c>
      <c r="O116">
        <f t="shared" si="67"/>
        <v>0</v>
      </c>
      <c r="P116">
        <f t="shared" si="68"/>
        <v>0</v>
      </c>
      <c r="Q116" t="e">
        <f t="shared" si="69"/>
        <v>#N/A</v>
      </c>
      <c r="R116" t="e">
        <f t="shared" si="70"/>
        <v>#N/A</v>
      </c>
      <c r="T116" t="e">
        <f t="shared" si="71"/>
        <v>#N/A</v>
      </c>
      <c r="U116" t="e">
        <f t="shared" si="72"/>
        <v>#N/A</v>
      </c>
      <c r="W116" s="4" t="e">
        <f t="shared" si="73"/>
        <v>#N/A</v>
      </c>
      <c r="X116" s="4" t="e">
        <f t="shared" si="74"/>
        <v>#N/A</v>
      </c>
      <c r="Y116">
        <f t="shared" si="75"/>
        <v>0.35181726436678917</v>
      </c>
    </row>
    <row r="117" spans="1:25" x14ac:dyDescent="0.25">
      <c r="A117">
        <f t="shared" ref="A117:D117" si="82">A102</f>
        <v>8</v>
      </c>
      <c r="B117" s="1">
        <f t="shared" si="59"/>
        <v>1.9423125447169602</v>
      </c>
      <c r="C117" s="1">
        <f t="shared" si="60"/>
        <v>8.2751085780571572</v>
      </c>
      <c r="D117" t="str">
        <f t="shared" si="82"/>
        <v>y</v>
      </c>
      <c r="E117" s="4">
        <f t="shared" si="55"/>
        <v>-6.9408187653943898</v>
      </c>
      <c r="F117" s="1">
        <f t="shared" si="61"/>
        <v>1.9423125447169602</v>
      </c>
      <c r="G117" s="1">
        <f t="shared" si="62"/>
        <v>8.2751085780571572</v>
      </c>
      <c r="H117">
        <f t="shared" si="56"/>
        <v>0</v>
      </c>
      <c r="I117">
        <f t="shared" si="63"/>
        <v>0</v>
      </c>
      <c r="J117">
        <f t="shared" si="64"/>
        <v>0</v>
      </c>
      <c r="K117">
        <f t="shared" si="77"/>
        <v>0</v>
      </c>
      <c r="L117">
        <f t="shared" si="65"/>
        <v>0</v>
      </c>
      <c r="M117">
        <f t="shared" si="57"/>
        <v>4.7986396606943525E-4</v>
      </c>
      <c r="N117">
        <f t="shared" si="66"/>
        <v>0</v>
      </c>
      <c r="O117">
        <f t="shared" si="67"/>
        <v>0</v>
      </c>
      <c r="P117">
        <f t="shared" si="68"/>
        <v>0</v>
      </c>
      <c r="Q117" t="e">
        <f t="shared" si="69"/>
        <v>#N/A</v>
      </c>
      <c r="R117" t="e">
        <f t="shared" si="70"/>
        <v>#N/A</v>
      </c>
      <c r="T117" t="e">
        <f t="shared" si="71"/>
        <v>#N/A</v>
      </c>
      <c r="U117" t="e">
        <f t="shared" si="72"/>
        <v>#N/A</v>
      </c>
      <c r="W117" s="4" t="e">
        <f t="shared" si="73"/>
        <v>#N/A</v>
      </c>
      <c r="X117" s="4" t="e">
        <f t="shared" si="74"/>
        <v>#N/A</v>
      </c>
      <c r="Y117">
        <f t="shared" si="75"/>
        <v>0.77676644809910655</v>
      </c>
    </row>
    <row r="118" spans="1:25" x14ac:dyDescent="0.25">
      <c r="A118">
        <f t="shared" ref="A118:D118" si="83">A103</f>
        <v>9</v>
      </c>
      <c r="B118" s="1">
        <f t="shared" si="59"/>
        <v>10.681930325230962</v>
      </c>
      <c r="C118" s="1">
        <f t="shared" si="60"/>
        <v>1.7474701863814737</v>
      </c>
      <c r="D118" t="str">
        <f t="shared" si="83"/>
        <v>n</v>
      </c>
      <c r="E118" s="4">
        <f t="shared" si="55"/>
        <v>0</v>
      </c>
      <c r="F118" s="1" t="e">
        <f t="shared" si="61"/>
        <v>#N/A</v>
      </c>
      <c r="G118" s="1" t="e">
        <f t="shared" si="62"/>
        <v>#N/A</v>
      </c>
      <c r="H118">
        <f t="shared" si="56"/>
        <v>0</v>
      </c>
      <c r="I118">
        <f t="shared" si="63"/>
        <v>0</v>
      </c>
      <c r="J118">
        <f t="shared" si="64"/>
        <v>0</v>
      </c>
      <c r="K118">
        <f t="shared" si="77"/>
        <v>0</v>
      </c>
      <c r="L118">
        <f t="shared" si="65"/>
        <v>0</v>
      </c>
      <c r="M118">
        <f t="shared" si="57"/>
        <v>0</v>
      </c>
      <c r="N118">
        <f t="shared" si="66"/>
        <v>0</v>
      </c>
      <c r="O118">
        <f t="shared" si="67"/>
        <v>0</v>
      </c>
      <c r="P118">
        <f t="shared" si="68"/>
        <v>0</v>
      </c>
      <c r="Q118" t="e">
        <f t="shared" si="69"/>
        <v>#N/A</v>
      </c>
      <c r="R118" t="e">
        <f t="shared" si="70"/>
        <v>#N/A</v>
      </c>
      <c r="T118" t="e">
        <f t="shared" si="71"/>
        <v>#N/A</v>
      </c>
      <c r="U118" t="e">
        <f t="shared" si="72"/>
        <v>#N/A</v>
      </c>
      <c r="W118" s="4" t="e">
        <f t="shared" si="73"/>
        <v>#N/A</v>
      </c>
      <c r="X118" s="4" t="e">
        <f t="shared" si="74"/>
        <v>#N/A</v>
      </c>
      <c r="Y118">
        <f t="shared" si="75"/>
        <v>0</v>
      </c>
    </row>
    <row r="119" spans="1:25" x14ac:dyDescent="0.25">
      <c r="A119">
        <f t="shared" ref="A119:D119" si="84">A104</f>
        <v>10</v>
      </c>
      <c r="B119" s="1">
        <f t="shared" si="59"/>
        <v>10.681930325230962</v>
      </c>
      <c r="C119" s="1">
        <f t="shared" si="60"/>
        <v>1.7474701863814737</v>
      </c>
      <c r="D119" t="str">
        <f t="shared" si="84"/>
        <v>n</v>
      </c>
      <c r="E119" s="4">
        <f t="shared" si="55"/>
        <v>0</v>
      </c>
      <c r="F119" s="1" t="e">
        <f t="shared" si="61"/>
        <v>#N/A</v>
      </c>
      <c r="G119" s="1" t="e">
        <f t="shared" si="62"/>
        <v>#N/A</v>
      </c>
      <c r="H119">
        <f t="shared" si="56"/>
        <v>0</v>
      </c>
      <c r="I119">
        <f t="shared" si="63"/>
        <v>0</v>
      </c>
      <c r="J119">
        <f t="shared" si="64"/>
        <v>0</v>
      </c>
      <c r="K119">
        <f t="shared" si="77"/>
        <v>0</v>
      </c>
      <c r="L119">
        <f t="shared" si="65"/>
        <v>0</v>
      </c>
      <c r="M119">
        <f t="shared" si="57"/>
        <v>0</v>
      </c>
      <c r="N119">
        <f t="shared" si="66"/>
        <v>0</v>
      </c>
      <c r="O119">
        <f t="shared" si="67"/>
        <v>0</v>
      </c>
      <c r="P119">
        <f t="shared" si="68"/>
        <v>0</v>
      </c>
      <c r="Q119" t="e">
        <f t="shared" si="69"/>
        <v>#N/A</v>
      </c>
      <c r="R119" t="e">
        <f t="shared" si="70"/>
        <v>#N/A</v>
      </c>
      <c r="T119" t="e">
        <f t="shared" si="71"/>
        <v>#N/A</v>
      </c>
      <c r="U119" t="e">
        <f t="shared" si="72"/>
        <v>#N/A</v>
      </c>
      <c r="W119" s="4" t="e">
        <f t="shared" si="73"/>
        <v>#N/A</v>
      </c>
      <c r="X119" s="4" t="e">
        <f t="shared" si="74"/>
        <v>#N/A</v>
      </c>
      <c r="Y119">
        <f t="shared" si="75"/>
        <v>0</v>
      </c>
    </row>
    <row r="120" spans="1:25" x14ac:dyDescent="0.25">
      <c r="A120">
        <f t="shared" ref="A120:D120" si="85">A105</f>
        <v>11</v>
      </c>
      <c r="B120" s="1">
        <f t="shared" si="59"/>
        <v>10.681930325230962</v>
      </c>
      <c r="C120" s="1">
        <f t="shared" si="60"/>
        <v>1.7474701863814737</v>
      </c>
      <c r="D120" t="str">
        <f t="shared" si="85"/>
        <v>n</v>
      </c>
      <c r="E120" s="4">
        <f t="shared" si="55"/>
        <v>0</v>
      </c>
      <c r="F120" s="1" t="e">
        <f t="shared" si="61"/>
        <v>#N/A</v>
      </c>
      <c r="G120" s="1" t="e">
        <f t="shared" si="62"/>
        <v>#N/A</v>
      </c>
      <c r="H120">
        <f t="shared" si="56"/>
        <v>0</v>
      </c>
      <c r="I120">
        <f t="shared" si="63"/>
        <v>0</v>
      </c>
      <c r="J120">
        <f t="shared" si="64"/>
        <v>0</v>
      </c>
      <c r="K120">
        <f t="shared" si="77"/>
        <v>0</v>
      </c>
      <c r="L120">
        <f t="shared" si="65"/>
        <v>0</v>
      </c>
      <c r="M120">
        <f t="shared" si="57"/>
        <v>0</v>
      </c>
      <c r="N120">
        <f t="shared" si="66"/>
        <v>0</v>
      </c>
      <c r="O120">
        <f t="shared" si="67"/>
        <v>0</v>
      </c>
      <c r="P120">
        <f t="shared" si="68"/>
        <v>0</v>
      </c>
      <c r="Q120" t="e">
        <f t="shared" si="69"/>
        <v>#N/A</v>
      </c>
      <c r="R120" t="e">
        <f t="shared" si="70"/>
        <v>#N/A</v>
      </c>
      <c r="T120" t="e">
        <f t="shared" si="71"/>
        <v>#N/A</v>
      </c>
      <c r="U120" t="e">
        <f t="shared" si="72"/>
        <v>#N/A</v>
      </c>
      <c r="W120" s="4" t="e">
        <f t="shared" si="73"/>
        <v>#N/A</v>
      </c>
      <c r="X120" s="4" t="e">
        <f t="shared" si="74"/>
        <v>#N/A</v>
      </c>
      <c r="Y120">
        <f t="shared" si="75"/>
        <v>0</v>
      </c>
    </row>
    <row r="121" spans="1:25" ht="15.75" thickBot="1" x14ac:dyDescent="0.3">
      <c r="A121">
        <f t="shared" ref="A121:D121" si="86">A106</f>
        <v>12</v>
      </c>
      <c r="B121" s="1">
        <f t="shared" si="59"/>
        <v>10.681930325230962</v>
      </c>
      <c r="C121" s="1">
        <f t="shared" si="60"/>
        <v>1.7474701863814737</v>
      </c>
      <c r="D121" t="str">
        <f t="shared" si="86"/>
        <v>n</v>
      </c>
      <c r="E121" s="4">
        <f t="shared" si="55"/>
        <v>0</v>
      </c>
      <c r="F121" s="1" t="e">
        <f t="shared" si="61"/>
        <v>#N/A</v>
      </c>
      <c r="G121" s="1" t="e">
        <f t="shared" si="62"/>
        <v>#N/A</v>
      </c>
      <c r="H121" s="23">
        <f t="shared" si="56"/>
        <v>0</v>
      </c>
      <c r="I121" s="23">
        <f t="shared" si="63"/>
        <v>0</v>
      </c>
      <c r="J121" s="23">
        <f t="shared" si="64"/>
        <v>0</v>
      </c>
      <c r="K121">
        <f t="shared" si="77"/>
        <v>0</v>
      </c>
      <c r="L121">
        <f t="shared" si="65"/>
        <v>0</v>
      </c>
      <c r="M121">
        <f t="shared" si="57"/>
        <v>0</v>
      </c>
      <c r="N121" s="23">
        <f t="shared" si="66"/>
        <v>0</v>
      </c>
      <c r="O121" s="23">
        <f t="shared" si="67"/>
        <v>0</v>
      </c>
      <c r="P121" s="23">
        <f t="shared" si="68"/>
        <v>0</v>
      </c>
      <c r="Q121" t="e">
        <f t="shared" si="69"/>
        <v>#N/A</v>
      </c>
      <c r="R121" t="e">
        <f t="shared" si="70"/>
        <v>#N/A</v>
      </c>
      <c r="T121" t="e">
        <f t="shared" si="71"/>
        <v>#N/A</v>
      </c>
      <c r="U121" t="e">
        <f t="shared" si="72"/>
        <v>#N/A</v>
      </c>
      <c r="W121" s="4" t="e">
        <f t="shared" si="73"/>
        <v>#N/A</v>
      </c>
      <c r="X121" s="4" t="e">
        <f t="shared" si="74"/>
        <v>#N/A</v>
      </c>
      <c r="Y121">
        <f t="shared" si="75"/>
        <v>0</v>
      </c>
    </row>
    <row r="122" spans="1:25" ht="15.75" thickTop="1" x14ac:dyDescent="0.25">
      <c r="D122" s="10" t="s">
        <v>44</v>
      </c>
      <c r="E122" s="4">
        <f>MAX(E110:E121)</f>
        <v>9.6093983907199245</v>
      </c>
      <c r="H122">
        <f>SUM(H110:H121)</f>
        <v>-18.278232094168072</v>
      </c>
      <c r="I122">
        <f t="shared" ref="I122:J122" si="87">SUM(I110:I121)</f>
        <v>116.51184366419039</v>
      </c>
      <c r="J122">
        <f t="shared" si="87"/>
        <v>3.2085225405701401</v>
      </c>
      <c r="L122">
        <f>MIN(L110:L121)</f>
        <v>-6.6436024036569037E-4</v>
      </c>
      <c r="M122">
        <f>MIN(M110:M121)</f>
        <v>-6.6436024036569047E-4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5" x14ac:dyDescent="0.25">
      <c r="A124" t="s">
        <v>35</v>
      </c>
    </row>
    <row r="125" spans="1:25" x14ac:dyDescent="0.25">
      <c r="A125" t="s">
        <v>7</v>
      </c>
      <c r="B125" s="4">
        <f>MAX(C84:C90)-B65</f>
        <v>1.3342898126627674</v>
      </c>
      <c r="F125" s="1" t="s">
        <v>27</v>
      </c>
      <c r="G125" s="1" t="s">
        <v>28</v>
      </c>
    </row>
    <row r="126" spans="1:25" x14ac:dyDescent="0.25">
      <c r="F126" s="4">
        <f>MIN(B84:B90)-1</f>
        <v>-11.681930325230965</v>
      </c>
      <c r="G126" s="4">
        <f>B125</f>
        <v>1.3342898126627674</v>
      </c>
    </row>
    <row r="127" spans="1:25" x14ac:dyDescent="0.25">
      <c r="F127" s="4">
        <f>MAX(B84:B90)+1</f>
        <v>11.681930325230962</v>
      </c>
      <c r="G127" s="4">
        <f>G126</f>
        <v>1.3342898126627674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10.681930325230962</v>
      </c>
      <c r="C132" s="4">
        <f>C84</f>
        <v>1.7474701863814737</v>
      </c>
      <c r="D132" s="4">
        <f t="shared" ref="D132:E139" si="88">B85</f>
        <v>6.3176173504213748</v>
      </c>
      <c r="E132" s="4">
        <f t="shared" si="88"/>
        <v>8.7889133878446977</v>
      </c>
      <c r="F132" s="4">
        <f t="shared" ref="F132:F139" si="89">($B$66/$B$65)*(C132-$B$125)</f>
        <v>8.918315192720673E-2</v>
      </c>
      <c r="G132" s="4">
        <f t="shared" ref="G132:G139" si="90">($B$66/$B$65)*(E132-$B$125)</f>
        <v>1.6090474503471988</v>
      </c>
      <c r="H132" s="4">
        <f>IF(B132=D132,"V",(C132-E132)/(B132-D132))</f>
        <v>-1.6134138963236109</v>
      </c>
      <c r="I132" s="4">
        <f>IF(H132="V",0,(-1*B132*H132)+C132)</f>
        <v>18.981845012669694</v>
      </c>
      <c r="J132" s="4">
        <f>IF($F132&gt;=0,B132,IF(AND($F132&lt;0,$G132&gt;=0),IF(H132="V",B132,($B$125-I132)/H132),0))</f>
        <v>10.681930325230962</v>
      </c>
      <c r="K132" s="4">
        <f>IF($F132&gt;=0,C132,IF(AND($F132&lt;0,$G132&gt;=0),$B$125,0))</f>
        <v>1.7474701863814737</v>
      </c>
      <c r="L132" s="4">
        <f>IF($G132&gt;=0,D132,IF(AND($G132&lt;0,$F132&gt;=0),IF(H132="V",D132,($B$125-I132)/H132),0))</f>
        <v>6.3176173504213748</v>
      </c>
      <c r="M132" s="4">
        <f>IF($G132&gt;=0,E132,IF(AND($G132&lt;0,$F132&gt;=0),$B$125,0))</f>
        <v>8.7889133878446977</v>
      </c>
      <c r="N132" s="4">
        <f>IF(F132&lt;0,0,F132)</f>
        <v>8.918315192720673E-2</v>
      </c>
      <c r="O132" s="4">
        <f>IF(G132&lt;0,0,G132)</f>
        <v>1.6090474503471988</v>
      </c>
      <c r="P132" s="4">
        <f>(1/6)*(M132-K132)*((N132*((2*J132)+L132))+(O132*(J132+(2*L132))))</f>
        <v>46.927870018741395</v>
      </c>
      <c r="Q132" s="4">
        <f>((1/12)*(M132-K132)*(N132*J132*((3*K132)+M132)+N132*L132*(K132+M132)+O132*J132*(K132+M132)+O132*L132*(K132+(3*M132))))</f>
        <v>285.29029198226846</v>
      </c>
      <c r="R132" s="4">
        <f>((-1/24)*(M132-K132)*(J132*J132*((3*N132)+O132)+2*J132*L132*(N132+O132)+L132*L132*(N132+(3*O132))))</f>
        <v>-187.64164138782894</v>
      </c>
    </row>
    <row r="133" spans="1:18" x14ac:dyDescent="0.25">
      <c r="A133" t="s">
        <v>70</v>
      </c>
      <c r="B133" s="4">
        <f t="shared" ref="B133:C138" si="91">D132</f>
        <v>6.3176173504213748</v>
      </c>
      <c r="C133" s="4">
        <f t="shared" si="91"/>
        <v>8.7889133878446977</v>
      </c>
      <c r="D133" s="4">
        <f t="shared" si="88"/>
        <v>-1.7474701863814768</v>
      </c>
      <c r="E133" s="4">
        <f t="shared" si="88"/>
        <v>10.681930325230963</v>
      </c>
      <c r="F133" s="4">
        <f t="shared" si="89"/>
        <v>1.6090474503471988</v>
      </c>
      <c r="G133" s="4">
        <f t="shared" si="90"/>
        <v>2.0176467640276479</v>
      </c>
      <c r="H133" s="4">
        <f t="shared" ref="H133:H139" si="92">IF(B133=D133,"V",(C133-E133)/(B133-D133))</f>
        <v>-0.23471746943204194</v>
      </c>
      <c r="I133" s="4">
        <f t="shared" ref="I133:I139" si="93">IF(H133="V",0,(-1*B133*H133)+C133)</f>
        <v>10.271768545175565</v>
      </c>
      <c r="J133" s="4">
        <f t="shared" ref="J133:J139" si="94">IF($F133&gt;=0,B133,IF(AND($F133&lt;0,$G133&gt;=0),IF(H133="V",B133,($B$125-I133)/H133),0))</f>
        <v>6.3176173504213748</v>
      </c>
      <c r="K133" s="4">
        <f t="shared" ref="K133:K139" si="95">IF($F133&gt;=0,C133,IF(AND($F133&lt;0,$G133&gt;=0),$B$125,0))</f>
        <v>8.7889133878446977</v>
      </c>
      <c r="L133" s="4">
        <f t="shared" ref="L133:L139" si="96">IF($G133&gt;=0,D133,IF(AND($G133&lt;0,$F133&gt;=0),IF(H133="V",D133,($B$125-I133)/H133),0))</f>
        <v>-1.7474701863814768</v>
      </c>
      <c r="M133" s="4">
        <f t="shared" ref="M133:M139" si="97">IF($G133&gt;=0,E133,IF(AND($G133&lt;0,$F133&gt;=0),$B$125,0))</f>
        <v>10.681930325230963</v>
      </c>
      <c r="N133" s="4">
        <f t="shared" ref="N133:N139" si="98">IF(F133&lt;0,0,F133)</f>
        <v>1.6090474503471988</v>
      </c>
      <c r="O133" s="4">
        <f t="shared" ref="O133:O139" si="99">IF(G133&lt;0,0,G133)</f>
        <v>2.0176467640276479</v>
      </c>
      <c r="P133" s="4">
        <f t="shared" ref="P133:P139" si="100">(1/6)*(M133-K133)*((N133*((2*J133)+L133))+(O133*(J133+(2*L133))))</f>
        <v>7.3241124409963767</v>
      </c>
      <c r="Q133" s="4">
        <f t="shared" ref="Q133:Q139" si="101">((1/12)*(M133-K133)*(N133*J133*((3*K133)+M133)+N133*L133*(K133+M133)+O133*J133*(K133+M133)+O133*L133*(K133+(3*M133))))</f>
        <v>67.214797560888798</v>
      </c>
      <c r="R133" s="4">
        <f t="shared" ref="R133:R139" si="102">((-1/24)*(M133-K133)*(J133*J133*((3*N133)+O133)+2*J133*L133*(N133+O133)+L133*L133*(N133+(3*O133))))</f>
        <v>-17.077532088398556</v>
      </c>
    </row>
    <row r="134" spans="1:18" x14ac:dyDescent="0.25">
      <c r="A134" t="s">
        <v>71</v>
      </c>
      <c r="B134" s="4">
        <f t="shared" si="91"/>
        <v>-1.7474701863814768</v>
      </c>
      <c r="C134" s="4">
        <f t="shared" si="91"/>
        <v>10.681930325230963</v>
      </c>
      <c r="D134" s="4">
        <f t="shared" si="88"/>
        <v>-8.7889133878447012</v>
      </c>
      <c r="E134" s="4">
        <f t="shared" si="88"/>
        <v>6.3176173504213757</v>
      </c>
      <c r="F134" s="4">
        <f t="shared" si="89"/>
        <v>2.0176467640276479</v>
      </c>
      <c r="G134" s="4">
        <f t="shared" si="90"/>
        <v>1.0756291565908858</v>
      </c>
      <c r="H134" s="4">
        <f t="shared" si="92"/>
        <v>0.61980376038575102</v>
      </c>
      <c r="I134" s="4">
        <f t="shared" si="93"/>
        <v>11.765018917912192</v>
      </c>
      <c r="J134" s="4">
        <f t="shared" si="94"/>
        <v>-1.7474701863814768</v>
      </c>
      <c r="K134" s="4">
        <f t="shared" si="95"/>
        <v>10.681930325230963</v>
      </c>
      <c r="L134" s="4">
        <f t="shared" si="96"/>
        <v>-8.7889133878447012</v>
      </c>
      <c r="M134" s="4">
        <f t="shared" si="97"/>
        <v>6.3176173504213757</v>
      </c>
      <c r="N134" s="4">
        <f t="shared" si="98"/>
        <v>2.0176467640276479</v>
      </c>
      <c r="O134" s="4">
        <f t="shared" si="99"/>
        <v>1.0756291565908858</v>
      </c>
      <c r="P134" s="4">
        <f t="shared" si="100"/>
        <v>33.147924947960782</v>
      </c>
      <c r="Q134" s="4">
        <f t="shared" si="101"/>
        <v>272.34079834735365</v>
      </c>
      <c r="R134" s="4">
        <f t="shared" si="102"/>
        <v>94.905172632156095</v>
      </c>
    </row>
    <row r="135" spans="1:18" x14ac:dyDescent="0.25">
      <c r="A135" t="s">
        <v>72</v>
      </c>
      <c r="B135" s="4">
        <f t="shared" si="91"/>
        <v>-8.7889133878447012</v>
      </c>
      <c r="C135" s="4">
        <f t="shared" si="91"/>
        <v>6.3176173504213757</v>
      </c>
      <c r="D135" s="4">
        <f t="shared" si="88"/>
        <v>-10.681930325230965</v>
      </c>
      <c r="E135" s="4">
        <f t="shared" si="88"/>
        <v>-1.7474701863814754</v>
      </c>
      <c r="F135" s="4">
        <f t="shared" si="89"/>
        <v>1.0756291565908858</v>
      </c>
      <c r="G135" s="4">
        <f t="shared" si="90"/>
        <v>-0.66518423352088674</v>
      </c>
      <c r="H135" s="4">
        <f t="shared" si="92"/>
        <v>4.2604412974447659</v>
      </c>
      <c r="I135" s="4">
        <f t="shared" si="93"/>
        <v>43.762266907660134</v>
      </c>
      <c r="J135" s="4">
        <f t="shared" si="94"/>
        <v>-8.7889133878447012</v>
      </c>
      <c r="K135" s="4">
        <f t="shared" si="95"/>
        <v>6.3176173504213757</v>
      </c>
      <c r="L135" s="4">
        <f t="shared" si="96"/>
        <v>-9.9585874168584105</v>
      </c>
      <c r="M135" s="4">
        <f t="shared" si="97"/>
        <v>1.3342898126627674</v>
      </c>
      <c r="N135" s="4">
        <f t="shared" si="98"/>
        <v>1.0756291565908858</v>
      </c>
      <c r="O135" s="4">
        <f t="shared" si="99"/>
        <v>0</v>
      </c>
      <c r="P135" s="4">
        <f t="shared" si="100"/>
        <v>24.600171451470992</v>
      </c>
      <c r="Q135" s="4">
        <f t="shared" si="101"/>
        <v>113.68301118720888</v>
      </c>
      <c r="R135" s="4">
        <f t="shared" si="102"/>
        <v>113.00193930893477</v>
      </c>
    </row>
    <row r="136" spans="1:18" x14ac:dyDescent="0.25">
      <c r="A136" t="s">
        <v>73</v>
      </c>
      <c r="B136" s="4">
        <f t="shared" si="91"/>
        <v>-10.681930325230965</v>
      </c>
      <c r="C136" s="4">
        <f t="shared" si="91"/>
        <v>-1.7474701863814754</v>
      </c>
      <c r="D136" s="4">
        <f t="shared" si="88"/>
        <v>-6.3176173504213784</v>
      </c>
      <c r="E136" s="4">
        <f t="shared" si="88"/>
        <v>-8.7889133878446994</v>
      </c>
      <c r="F136" s="4">
        <f t="shared" si="89"/>
        <v>-0.66518423352088674</v>
      </c>
      <c r="G136" s="4">
        <f t="shared" si="90"/>
        <v>-2.1850485319408786</v>
      </c>
      <c r="H136" s="4">
        <f t="shared" si="92"/>
        <v>-1.6134138963236109</v>
      </c>
      <c r="I136" s="4">
        <f t="shared" si="93"/>
        <v>-18.981845012669702</v>
      </c>
      <c r="J136" s="4">
        <f t="shared" si="94"/>
        <v>0</v>
      </c>
      <c r="K136" s="4">
        <f t="shared" si="95"/>
        <v>0</v>
      </c>
      <c r="L136" s="4">
        <f t="shared" si="96"/>
        <v>0</v>
      </c>
      <c r="M136" s="4">
        <f t="shared" si="97"/>
        <v>0</v>
      </c>
      <c r="N136" s="4">
        <f t="shared" si="98"/>
        <v>0</v>
      </c>
      <c r="O136" s="4">
        <f t="shared" si="99"/>
        <v>0</v>
      </c>
      <c r="P136" s="4">
        <f t="shared" si="100"/>
        <v>0</v>
      </c>
      <c r="Q136" s="4">
        <f t="shared" si="101"/>
        <v>0</v>
      </c>
      <c r="R136" s="4">
        <f t="shared" si="102"/>
        <v>0</v>
      </c>
    </row>
    <row r="137" spans="1:18" x14ac:dyDescent="0.25">
      <c r="A137" t="s">
        <v>74</v>
      </c>
      <c r="B137" s="4">
        <f t="shared" si="91"/>
        <v>-6.3176173504213784</v>
      </c>
      <c r="C137" s="4">
        <f t="shared" si="91"/>
        <v>-8.7889133878446994</v>
      </c>
      <c r="D137" s="4">
        <f t="shared" si="88"/>
        <v>1.7474701863814728</v>
      </c>
      <c r="E137" s="4">
        <f t="shared" si="88"/>
        <v>-10.681930325230965</v>
      </c>
      <c r="F137" s="4">
        <f t="shared" si="89"/>
        <v>-2.1850485319408786</v>
      </c>
      <c r="G137" s="4">
        <f t="shared" si="90"/>
        <v>-2.5936478456213279</v>
      </c>
      <c r="H137" s="4">
        <f t="shared" si="92"/>
        <v>-0.23471746943204194</v>
      </c>
      <c r="I137" s="4">
        <f t="shared" si="93"/>
        <v>-10.271768545175567</v>
      </c>
      <c r="J137" s="4">
        <f t="shared" si="94"/>
        <v>0</v>
      </c>
      <c r="K137" s="4">
        <f t="shared" si="95"/>
        <v>0</v>
      </c>
      <c r="L137" s="4">
        <f t="shared" si="96"/>
        <v>0</v>
      </c>
      <c r="M137" s="4">
        <f t="shared" si="97"/>
        <v>0</v>
      </c>
      <c r="N137" s="4">
        <f t="shared" si="98"/>
        <v>0</v>
      </c>
      <c r="O137" s="4">
        <f t="shared" si="99"/>
        <v>0</v>
      </c>
      <c r="P137" s="4">
        <f t="shared" si="100"/>
        <v>0</v>
      </c>
      <c r="Q137" s="4">
        <f t="shared" si="101"/>
        <v>0</v>
      </c>
      <c r="R137" s="4">
        <f t="shared" si="102"/>
        <v>0</v>
      </c>
    </row>
    <row r="138" spans="1:18" x14ac:dyDescent="0.25">
      <c r="A138" t="s">
        <v>75</v>
      </c>
      <c r="B138" s="4">
        <f t="shared" si="91"/>
        <v>1.7474701863814728</v>
      </c>
      <c r="C138" s="4">
        <f t="shared" si="91"/>
        <v>-10.681930325230965</v>
      </c>
      <c r="D138" s="4">
        <f t="shared" si="88"/>
        <v>8.7889133878446959</v>
      </c>
      <c r="E138" s="4">
        <f t="shared" si="88"/>
        <v>-6.3176173504213775</v>
      </c>
      <c r="F138" s="4">
        <f t="shared" si="89"/>
        <v>-2.5936478456213279</v>
      </c>
      <c r="G138" s="4">
        <f t="shared" si="90"/>
        <v>-1.6516302381845656</v>
      </c>
      <c r="H138" s="4">
        <f t="shared" si="92"/>
        <v>0.61980376038575113</v>
      </c>
      <c r="I138" s="4">
        <f t="shared" si="93"/>
        <v>-11.765018917912192</v>
      </c>
      <c r="J138" s="4">
        <f t="shared" si="94"/>
        <v>0</v>
      </c>
      <c r="K138" s="4">
        <f t="shared" si="95"/>
        <v>0</v>
      </c>
      <c r="L138" s="4">
        <f t="shared" si="96"/>
        <v>0</v>
      </c>
      <c r="M138" s="4">
        <f t="shared" si="97"/>
        <v>0</v>
      </c>
      <c r="N138" s="4">
        <f t="shared" si="98"/>
        <v>0</v>
      </c>
      <c r="O138" s="4">
        <f t="shared" si="99"/>
        <v>0</v>
      </c>
      <c r="P138" s="30">
        <f t="shared" si="100"/>
        <v>0</v>
      </c>
      <c r="Q138" s="30">
        <f t="shared" si="101"/>
        <v>0</v>
      </c>
      <c r="R138" s="30">
        <f t="shared" si="102"/>
        <v>0</v>
      </c>
    </row>
    <row r="139" spans="1:18" ht="15.75" thickBot="1" x14ac:dyDescent="0.3">
      <c r="A139" t="s">
        <v>134</v>
      </c>
      <c r="B139" s="4">
        <f>D138</f>
        <v>8.7889133878446959</v>
      </c>
      <c r="C139" s="4">
        <f>E138</f>
        <v>-6.3176173504213775</v>
      </c>
      <c r="D139" s="4">
        <f t="shared" si="88"/>
        <v>10.681930325230962</v>
      </c>
      <c r="E139" s="4">
        <f t="shared" si="88"/>
        <v>1.7474701863814737</v>
      </c>
      <c r="F139" s="4">
        <f t="shared" si="89"/>
        <v>-1.6516302381845656</v>
      </c>
      <c r="G139" s="4">
        <f t="shared" si="90"/>
        <v>8.918315192720673E-2</v>
      </c>
      <c r="H139" s="4">
        <f t="shared" si="92"/>
        <v>4.2604412974447614</v>
      </c>
      <c r="I139" s="4">
        <f t="shared" si="93"/>
        <v>-43.76226690766007</v>
      </c>
      <c r="J139" s="4">
        <f t="shared" si="94"/>
        <v>10.584949673492723</v>
      </c>
      <c r="K139" s="4">
        <f t="shared" si="95"/>
        <v>1.3342898126627674</v>
      </c>
      <c r="L139" s="4">
        <f t="shared" si="96"/>
        <v>10.681930325230962</v>
      </c>
      <c r="M139" s="4">
        <f t="shared" si="97"/>
        <v>1.7474701863814737</v>
      </c>
      <c r="N139" s="4">
        <f t="shared" si="98"/>
        <v>0</v>
      </c>
      <c r="O139" s="4">
        <f t="shared" si="99"/>
        <v>8.918315192720673E-2</v>
      </c>
      <c r="P139" s="31">
        <f t="shared" si="100"/>
        <v>0.19621217048584419</v>
      </c>
      <c r="Q139" s="31">
        <f t="shared" si="101"/>
        <v>0.3158922606812703</v>
      </c>
      <c r="R139" s="31">
        <f t="shared" si="102"/>
        <v>-1.044795716508697</v>
      </c>
    </row>
    <row r="140" spans="1:18" ht="15.75" thickTop="1" x14ac:dyDescent="0.25">
      <c r="P140" s="4">
        <f>SUM(P132:P139)</f>
        <v>112.1962910296554</v>
      </c>
      <c r="Q140" s="4">
        <f>SUM(Q132:Q139)</f>
        <v>738.84479133840114</v>
      </c>
      <c r="R140" s="4">
        <f>SUM(R132:R139)</f>
        <v>2.1431427483546677</v>
      </c>
    </row>
    <row r="142" spans="1:18" x14ac:dyDescent="0.25">
      <c r="O142" t="s">
        <v>96</v>
      </c>
      <c r="P142" s="1">
        <f>-1*R140/P140</f>
        <v>-1.9101725455328986E-2</v>
      </c>
    </row>
    <row r="143" spans="1:18" x14ac:dyDescent="0.25">
      <c r="O143" t="s">
        <v>97</v>
      </c>
      <c r="P143" s="1">
        <f>Q140/P140</f>
        <v>6.5852871298848177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4.2727721300923855</v>
      </c>
      <c r="C146" s="9">
        <f>J84</f>
        <v>0.69898807455259004</v>
      </c>
      <c r="D146" s="9">
        <f t="shared" ref="D146:E153" si="103">I85</f>
        <v>3.5155653551378805</v>
      </c>
      <c r="E146">
        <f t="shared" si="103"/>
        <v>-2.52704694016855</v>
      </c>
      <c r="F146" s="4">
        <f>($B$66/$B$65)*(C146-$B$125)</f>
        <v>-0.13712706370722105</v>
      </c>
      <c r="G146" s="4">
        <f>($B$66/$B$65)*(E146-$B$125)</f>
        <v>-0.83345241975192996</v>
      </c>
      <c r="H146" s="4">
        <f>IF(B146=D146,"V",(C146-E146)/(B146-D146))</f>
        <v>4.2604412974447685</v>
      </c>
      <c r="I146" s="4">
        <f>IF(H146="V",0,(-1*B146*H146)+C146)</f>
        <v>-17.50490676306406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104">D146</f>
        <v>3.5155653551378805</v>
      </c>
      <c r="C147">
        <f t="shared" si="104"/>
        <v>-2.52704694016855</v>
      </c>
      <c r="D147" s="9">
        <f t="shared" si="103"/>
        <v>0.69898807455258893</v>
      </c>
      <c r="E147">
        <f t="shared" si="103"/>
        <v>-4.2727721300923864</v>
      </c>
      <c r="F147" s="4">
        <f t="shared" ref="F147:F153" si="105">($B$66/$B$65)*(C147-$B$125)</f>
        <v>-0.83345241975192996</v>
      </c>
      <c r="G147" s="4">
        <f t="shared" ref="G147:G153" si="106">($B$66/$B$65)*(E147-$B$125)</f>
        <v>-1.2102594627266352</v>
      </c>
      <c r="H147" s="4">
        <f t="shared" ref="H147:H153" si="107">IF(B147=D147,"V",(C147-E147)/(B147-D147))</f>
        <v>0.61980376038575102</v>
      </c>
      <c r="I147" s="4">
        <f t="shared" ref="I147:I153" si="108">IF(H147="V",0,(-1*B147*H147)+C147)</f>
        <v>-4.7060075671648764</v>
      </c>
      <c r="J147" s="4">
        <f t="shared" ref="J147:J153" si="109">IF($F147&gt;=0,B147,IF(AND($F147&lt;0,$G147&gt;=0),IF(H147="V",B147,($B$125-I147)/H147),0))</f>
        <v>0</v>
      </c>
      <c r="K147" s="4">
        <f t="shared" ref="K147:K153" si="110">IF($F147&gt;=0,C147,IF(AND($F147&lt;0,$G147&gt;=0),$B$125,0))</f>
        <v>0</v>
      </c>
      <c r="L147" s="4">
        <f t="shared" ref="L147:L153" si="111">IF($G147&gt;=0,D147,IF(AND($G147&lt;0,$F147&gt;=0),IF(H147="V",D147,($B$125-I147)/H147),0))</f>
        <v>0</v>
      </c>
      <c r="M147" s="4">
        <f t="shared" ref="M147:M153" si="112">IF($G147&gt;=0,E147,IF(AND($G147&lt;0,$F147&gt;=0),$B$125,0))</f>
        <v>0</v>
      </c>
      <c r="N147" s="4">
        <f t="shared" ref="N147:N153" si="113">IF(F147&lt;0,0,F147)</f>
        <v>0</v>
      </c>
      <c r="O147" s="4">
        <f t="shared" ref="O147:O153" si="114">IF(G147&lt;0,0,G147)</f>
        <v>0</v>
      </c>
      <c r="P147" s="4">
        <f t="shared" ref="P147:P153" si="115">(1/6)*(M147-K147)*((N147*((2*J147)+L147))+(O147*(J147+(2*L147))))</f>
        <v>0</v>
      </c>
      <c r="Q147" s="4">
        <f t="shared" ref="Q147:Q153" si="116">((1/12)*(M147-K147)*(N147*J147*((3*K147)+M147)+N147*L147*(K147+M147)+O147*J147*(K147+M147)+O147*L147*(K147+(3*M147))))</f>
        <v>0</v>
      </c>
      <c r="R147" s="4">
        <f t="shared" ref="R147:R153" si="117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104"/>
        <v>0.69898807455258893</v>
      </c>
      <c r="C148">
        <f t="shared" si="104"/>
        <v>-4.2727721300923864</v>
      </c>
      <c r="D148" s="9">
        <f t="shared" si="103"/>
        <v>-2.5270469401685505</v>
      </c>
      <c r="E148">
        <f t="shared" si="103"/>
        <v>-3.5155653551378796</v>
      </c>
      <c r="F148" s="4">
        <f t="shared" si="105"/>
        <v>-1.2102594627266352</v>
      </c>
      <c r="G148" s="4">
        <f t="shared" si="106"/>
        <v>-1.0468197372544552</v>
      </c>
      <c r="H148" s="4">
        <f t="shared" si="107"/>
        <v>-0.23471746943204219</v>
      </c>
      <c r="I148" s="4">
        <f t="shared" si="108"/>
        <v>-4.1087074180702272</v>
      </c>
      <c r="J148" s="4">
        <f t="shared" si="109"/>
        <v>0</v>
      </c>
      <c r="K148" s="4">
        <f t="shared" si="110"/>
        <v>0</v>
      </c>
      <c r="L148" s="4">
        <f t="shared" si="111"/>
        <v>0</v>
      </c>
      <c r="M148" s="4">
        <f t="shared" si="112"/>
        <v>0</v>
      </c>
      <c r="N148" s="4">
        <f t="shared" si="113"/>
        <v>0</v>
      </c>
      <c r="O148" s="4">
        <f t="shared" si="114"/>
        <v>0</v>
      </c>
      <c r="P148" s="4">
        <f t="shared" si="115"/>
        <v>0</v>
      </c>
      <c r="Q148" s="4">
        <f t="shared" si="116"/>
        <v>0</v>
      </c>
      <c r="R148" s="4">
        <f t="shared" si="117"/>
        <v>0</v>
      </c>
    </row>
    <row r="149" spans="1:18" x14ac:dyDescent="0.25">
      <c r="A149" t="s">
        <v>72</v>
      </c>
      <c r="B149" s="9">
        <f t="shared" si="104"/>
        <v>-2.5270469401685505</v>
      </c>
      <c r="C149">
        <f t="shared" si="104"/>
        <v>-3.5155653551378796</v>
      </c>
      <c r="D149" s="9">
        <f t="shared" si="103"/>
        <v>-4.2727721300923855</v>
      </c>
      <c r="E149">
        <f t="shared" si="103"/>
        <v>-0.6989880745525896</v>
      </c>
      <c r="F149" s="4">
        <f t="shared" si="105"/>
        <v>-1.0468197372544552</v>
      </c>
      <c r="G149" s="4">
        <f t="shared" si="106"/>
        <v>-0.43887401788645847</v>
      </c>
      <c r="H149" s="4">
        <f t="shared" si="107"/>
        <v>-1.6134138963236107</v>
      </c>
      <c r="I149" s="4">
        <f t="shared" si="108"/>
        <v>-7.5927380050678792</v>
      </c>
      <c r="J149" s="4">
        <f t="shared" si="109"/>
        <v>0</v>
      </c>
      <c r="K149" s="4">
        <f t="shared" si="110"/>
        <v>0</v>
      </c>
      <c r="L149" s="4">
        <f t="shared" si="111"/>
        <v>0</v>
      </c>
      <c r="M149" s="4">
        <f t="shared" si="112"/>
        <v>0</v>
      </c>
      <c r="N149" s="4">
        <f t="shared" si="113"/>
        <v>0</v>
      </c>
      <c r="O149" s="4">
        <f t="shared" si="114"/>
        <v>0</v>
      </c>
      <c r="P149" s="4">
        <f t="shared" si="115"/>
        <v>0</v>
      </c>
      <c r="Q149" s="4">
        <f t="shared" si="116"/>
        <v>0</v>
      </c>
      <c r="R149" s="4">
        <f t="shared" si="117"/>
        <v>0</v>
      </c>
    </row>
    <row r="150" spans="1:18" x14ac:dyDescent="0.25">
      <c r="A150" t="s">
        <v>73</v>
      </c>
      <c r="B150" s="9">
        <f t="shared" si="104"/>
        <v>-4.2727721300923855</v>
      </c>
      <c r="C150">
        <f t="shared" si="104"/>
        <v>-0.6989880745525896</v>
      </c>
      <c r="D150" s="9">
        <f t="shared" si="103"/>
        <v>-3.5155653551378805</v>
      </c>
      <c r="E150">
        <f t="shared" si="103"/>
        <v>2.52704694016855</v>
      </c>
      <c r="F150" s="4">
        <f t="shared" si="105"/>
        <v>-0.43887401788645847</v>
      </c>
      <c r="G150" s="4">
        <f t="shared" si="106"/>
        <v>0.25745133815825033</v>
      </c>
      <c r="H150" s="4">
        <f t="shared" si="107"/>
        <v>4.2604412974447676</v>
      </c>
      <c r="I150" s="4">
        <f t="shared" si="108"/>
        <v>17.50490676306406</v>
      </c>
      <c r="J150" s="4">
        <f t="shared" si="109"/>
        <v>-3.7955262897530697</v>
      </c>
      <c r="K150" s="4">
        <f t="shared" si="110"/>
        <v>1.3342898126627674</v>
      </c>
      <c r="L150" s="4">
        <f t="shared" si="111"/>
        <v>-3.5155653551378805</v>
      </c>
      <c r="M150" s="4">
        <f t="shared" si="112"/>
        <v>2.52704694016855</v>
      </c>
      <c r="N150" s="4">
        <f t="shared" si="113"/>
        <v>0</v>
      </c>
      <c r="O150" s="4">
        <f t="shared" si="114"/>
        <v>0.25745133815825033</v>
      </c>
      <c r="P150" s="4">
        <f t="shared" si="115"/>
        <v>-0.55410274500469225</v>
      </c>
      <c r="Q150" s="4">
        <f t="shared" si="116"/>
        <v>-1.1770919583969637</v>
      </c>
      <c r="R150" s="4">
        <f t="shared" si="117"/>
        <v>-1.0001810065050565</v>
      </c>
    </row>
    <row r="151" spans="1:18" x14ac:dyDescent="0.25">
      <c r="A151" t="s">
        <v>74</v>
      </c>
      <c r="B151" s="9">
        <f t="shared" si="104"/>
        <v>-3.5155653551378805</v>
      </c>
      <c r="C151">
        <f t="shared" si="104"/>
        <v>2.52704694016855</v>
      </c>
      <c r="D151" s="9">
        <f t="shared" si="103"/>
        <v>-0.69898807455259049</v>
      </c>
      <c r="E151">
        <f t="shared" si="103"/>
        <v>4.2727721300923855</v>
      </c>
      <c r="F151" s="4">
        <f t="shared" si="105"/>
        <v>0.25745133815825033</v>
      </c>
      <c r="G151" s="4">
        <f t="shared" si="106"/>
        <v>0.6342583811329553</v>
      </c>
      <c r="H151" s="4">
        <f t="shared" si="107"/>
        <v>0.61980376038575113</v>
      </c>
      <c r="I151" s="4">
        <f t="shared" si="108"/>
        <v>4.7060075671648764</v>
      </c>
      <c r="J151" s="4">
        <f t="shared" si="109"/>
        <v>-3.5155653551378805</v>
      </c>
      <c r="K151" s="4">
        <f t="shared" si="110"/>
        <v>2.52704694016855</v>
      </c>
      <c r="L151" s="4">
        <f t="shared" si="111"/>
        <v>-0.69898807455259049</v>
      </c>
      <c r="M151" s="4">
        <f t="shared" si="112"/>
        <v>4.2727721300923855</v>
      </c>
      <c r="N151" s="4">
        <f t="shared" si="113"/>
        <v>0.25745133815825033</v>
      </c>
      <c r="O151" s="4">
        <f t="shared" si="114"/>
        <v>0.6342583811329553</v>
      </c>
      <c r="P151" s="4">
        <f t="shared" si="115"/>
        <v>-1.4857821427306555</v>
      </c>
      <c r="Q151" s="4">
        <f t="shared" si="116"/>
        <v>-4.9342579600306236</v>
      </c>
      <c r="R151" s="4">
        <f t="shared" si="117"/>
        <v>-1.6600770908017193</v>
      </c>
    </row>
    <row r="152" spans="1:18" x14ac:dyDescent="0.25">
      <c r="A152" t="s">
        <v>75</v>
      </c>
      <c r="B152" s="9">
        <f t="shared" si="104"/>
        <v>-0.69898807455259049</v>
      </c>
      <c r="C152">
        <f t="shared" si="104"/>
        <v>4.2727721300923855</v>
      </c>
      <c r="D152" s="9">
        <f t="shared" si="103"/>
        <v>2.5270469401685505</v>
      </c>
      <c r="E152">
        <f t="shared" si="103"/>
        <v>3.5155653551378796</v>
      </c>
      <c r="F152" s="4">
        <f t="shared" si="105"/>
        <v>0.6342583811329553</v>
      </c>
      <c r="G152" s="4">
        <f t="shared" si="106"/>
        <v>0.47081865566077574</v>
      </c>
      <c r="H152" s="4">
        <f t="shared" si="107"/>
        <v>-0.2347174694320418</v>
      </c>
      <c r="I152" s="4">
        <f t="shared" si="108"/>
        <v>4.1087074180702263</v>
      </c>
      <c r="J152" s="4">
        <f t="shared" si="109"/>
        <v>-0.69898807455259049</v>
      </c>
      <c r="K152" s="4">
        <f t="shared" si="110"/>
        <v>4.2727721300923855</v>
      </c>
      <c r="L152" s="4">
        <f t="shared" si="111"/>
        <v>2.5270469401685505</v>
      </c>
      <c r="M152" s="4">
        <f t="shared" si="112"/>
        <v>3.5155653551378796</v>
      </c>
      <c r="N152" s="4">
        <f t="shared" si="113"/>
        <v>0.6342583811329553</v>
      </c>
      <c r="O152" s="4">
        <f t="shared" si="114"/>
        <v>0.47081865566077574</v>
      </c>
      <c r="P152" s="4">
        <f t="shared" si="115"/>
        <v>-0.34914648823307304</v>
      </c>
      <c r="Q152" s="4">
        <f t="shared" si="116"/>
        <v>-1.2816045870329433</v>
      </c>
      <c r="R152" s="4">
        <f t="shared" si="117"/>
        <v>0.3257878067906928</v>
      </c>
    </row>
    <row r="153" spans="1:18" ht="15.75" thickBot="1" x14ac:dyDescent="0.3">
      <c r="A153" t="s">
        <v>134</v>
      </c>
      <c r="B153" s="9">
        <f t="shared" si="104"/>
        <v>2.5270469401685505</v>
      </c>
      <c r="C153">
        <f t="shared" si="104"/>
        <v>3.5155653551378796</v>
      </c>
      <c r="D153" s="9">
        <f t="shared" si="103"/>
        <v>4.2727721300923855</v>
      </c>
      <c r="E153">
        <f t="shared" si="103"/>
        <v>0.69898807455259004</v>
      </c>
      <c r="F153" s="4">
        <f t="shared" si="105"/>
        <v>0.47081865566077574</v>
      </c>
      <c r="G153" s="4">
        <f t="shared" si="106"/>
        <v>-0.13712706370722105</v>
      </c>
      <c r="H153" s="4">
        <f t="shared" si="107"/>
        <v>-1.6134138963236107</v>
      </c>
      <c r="I153" s="4">
        <f t="shared" si="108"/>
        <v>7.5927380050678792</v>
      </c>
      <c r="J153" s="4">
        <f t="shared" si="109"/>
        <v>2.5270469401685505</v>
      </c>
      <c r="K153" s="4">
        <f t="shared" si="110"/>
        <v>3.5155653551378796</v>
      </c>
      <c r="L153" s="4">
        <f t="shared" si="111"/>
        <v>3.8790097238320942</v>
      </c>
      <c r="M153" s="4">
        <f t="shared" si="112"/>
        <v>1.3342898126627674</v>
      </c>
      <c r="N153" s="4">
        <f t="shared" si="113"/>
        <v>0.47081865566077574</v>
      </c>
      <c r="O153" s="4">
        <f t="shared" si="114"/>
        <v>0</v>
      </c>
      <c r="P153" s="22">
        <f t="shared" si="115"/>
        <v>-1.529027559518888</v>
      </c>
      <c r="Q153" s="22">
        <f t="shared" si="116"/>
        <v>-4.1795255406705305</v>
      </c>
      <c r="R153" s="22">
        <f t="shared" si="117"/>
        <v>2.3025648093818232</v>
      </c>
    </row>
    <row r="154" spans="1:18" ht="15.75" thickTop="1" x14ac:dyDescent="0.25">
      <c r="P154" s="4">
        <f>SUM(P146:P153)</f>
        <v>-3.9180589354873092</v>
      </c>
      <c r="Q154" s="4">
        <f t="shared" ref="Q154:R154" si="118">SUM(Q146:Q153)</f>
        <v>-11.57248004613106</v>
      </c>
      <c r="R154" s="4">
        <f t="shared" si="118"/>
        <v>-3.1905481134259617E-2</v>
      </c>
    </row>
    <row r="156" spans="1:18" x14ac:dyDescent="0.25">
      <c r="O156" t="s">
        <v>96</v>
      </c>
      <c r="P156" s="1">
        <f>-1*R154/P154</f>
        <v>-8.1431856078732941E-3</v>
      </c>
    </row>
    <row r="157" spans="1:18" x14ac:dyDescent="0.25">
      <c r="O157" t="s">
        <v>97</v>
      </c>
      <c r="P157" s="1">
        <f>Q154/P154</f>
        <v>2.9536258225507606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90.000000000000014</v>
      </c>
      <c r="C159" t="s">
        <v>36</v>
      </c>
    </row>
    <row r="160" spans="1:18" x14ac:dyDescent="0.25">
      <c r="A160" s="1" t="s">
        <v>106</v>
      </c>
      <c r="B160" s="4">
        <f>Q140+I122+Q154-O122</f>
        <v>843.78415495646038</v>
      </c>
      <c r="C160" t="s">
        <v>102</v>
      </c>
    </row>
    <row r="161" spans="1:9" x14ac:dyDescent="0.25">
      <c r="A161" s="1" t="s">
        <v>107</v>
      </c>
      <c r="B161" s="4">
        <f>R140+J122+R154-P122</f>
        <v>5.3197598077905486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90.000000000000014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-440.00000000000034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-720.00000000000011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2.0176467640276479</v>
      </c>
      <c r="B169" s="1">
        <f>IF(E122=0,0,(MIN(H110:H121)*B65)/(B55*B56*E122))</f>
        <v>-2.0176467640276474</v>
      </c>
      <c r="C169" s="3">
        <f>A169+B169</f>
        <v>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-3.1528488944641722E-8</v>
      </c>
      <c r="C175" s="27">
        <f>B65*SQRT(I175)</f>
        <v>1.3864791485444477E-7</v>
      </c>
      <c r="D175" s="27">
        <f>B66*SQRT(I175)</f>
        <v>2.9926537757750601E-8</v>
      </c>
      <c r="E175" s="27">
        <f>IF(B67=0,SQRT(I175),B67*SQRT(I175))</f>
        <v>9.5578030645205034E-8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-2.1256503225436187</v>
      </c>
      <c r="C176" s="3">
        <f>B65+C175</f>
        <v>9.3476406512161105</v>
      </c>
      <c r="D176" s="3">
        <f>D175+B66</f>
        <v>2.0176467939541856</v>
      </c>
      <c r="E176" s="3">
        <f>B67+E175</f>
        <v>6.4438696071285078</v>
      </c>
      <c r="F176" s="16" t="s">
        <v>125</v>
      </c>
    </row>
    <row r="177" spans="1:14" x14ac:dyDescent="0.25">
      <c r="B177" s="27">
        <f>B176-B64</f>
        <v>-3.1528489152776729E-8</v>
      </c>
      <c r="C177" s="27">
        <f>C176-B65</f>
        <v>1.3864791448270353E-7</v>
      </c>
      <c r="D177" s="27">
        <f>D176-B66</f>
        <v>2.9926537692404054E-8</v>
      </c>
      <c r="E177" s="27">
        <f>E176-B67</f>
        <v>9.5578030823162408E-8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19">C177=C175</f>
        <v>0</v>
      </c>
      <c r="D178" t="b">
        <f t="shared" si="119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-53.665603716903213</v>
      </c>
      <c r="B180" s="25">
        <f>(d_sigma_p!E165-d_sigma_m!E165)/(2*'Rigid Bearing Plate Analysis'!D177)</f>
        <v>-189.00558272699413</v>
      </c>
      <c r="C180" s="25">
        <f>(d_sigma_p!E166-d_sigma_m!E166)/(2*'Rigid Bearing Plate Analysis'!D177)</f>
        <v>-306.93046910090334</v>
      </c>
      <c r="D180" s="25">
        <f>(d_sigma_p!C169-d_sigma_m!C169)/(2*D177)</f>
        <v>1</v>
      </c>
    </row>
    <row r="181" spans="1:14" x14ac:dyDescent="0.25">
      <c r="A181" s="25">
        <f>(d_alpha_p!E164-d_alpha_m!E164)/(2*B177)</f>
        <v>54.769517641919499</v>
      </c>
      <c r="B181" s="25">
        <f>(d_alpha_p!E165-d_alpha_m!E165)/(2*B177)</f>
        <v>821.26414618680644</v>
      </c>
      <c r="C181" s="25">
        <f>(d_alpha_p!E166-d_alpha_m!E166)/(2*B177)</f>
        <v>-247.63442931576589</v>
      </c>
      <c r="D181" s="25">
        <f>(d_alpha_p!C169-d_alpha_m!C169)/(2*B177)</f>
        <v>-4.0910266778143613E-2</v>
      </c>
    </row>
    <row r="182" spans="1:14" x14ac:dyDescent="0.25">
      <c r="A182" s="25">
        <f>(d_Y_p!E164-d_Y_m!E164)/(2*C177)</f>
        <v>-15.650035142670633</v>
      </c>
      <c r="B182" s="25">
        <f>(d_Y_p!E165-d_Y_m!E165)/(2*C177)</f>
        <v>-36.164151985301771</v>
      </c>
      <c r="C182" s="25">
        <f>(d_Y_p!E166-d_Y_m!E166)/(2*C177)</f>
        <v>-51.937179338905246</v>
      </c>
      <c r="D182" s="25">
        <f>(d_Y_p!C169-d_Y_m!C169)/(2*C177)</f>
        <v>-0.42581154752321843</v>
      </c>
    </row>
    <row r="183" spans="1:14" x14ac:dyDescent="0.25">
      <c r="A183" s="25">
        <f>(d_T_p!E164-d_T_m!E164)/(2*E177)</f>
        <v>2.8365304698123883</v>
      </c>
      <c r="B183" s="25">
        <f>(d_T_p!E165-d_T_m!E165)/(2*E177)</f>
        <v>-9.1022173731649882</v>
      </c>
      <c r="C183" s="25">
        <f>(d_T_p!E166-d_T_m!E166)/(2*E177)</f>
        <v>-15.630785526456256</v>
      </c>
      <c r="D183" s="25">
        <f>(d_T_p!C169-d_T_m!C169)/(2*E177)</f>
        <v>-0.31311105341580497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ref="A185:D188">MINVERSE(A180:D183)</f>
        <v>5.8784383221285952E-3</v>
      </c>
      <c r="B185" s="25">
        <v>-3.4000362405279844E-4</v>
      </c>
      <c r="C185" s="25">
        <v>-6.5652148389573561E-2</v>
      </c>
      <c r="D185" s="25">
        <v>0.10810155213566754</v>
      </c>
      <c r="F185" s="8">
        <f>-1*E164</f>
        <v>0</v>
      </c>
      <c r="H185">
        <f t="array" ref="H185:H188">MMULT(A185:D188,F185:F188)</f>
        <v>0</v>
      </c>
      <c r="J185" s="8">
        <f>$B$66+H185</f>
        <v>2.0176467640276479</v>
      </c>
      <c r="K185" s="11" t="s">
        <v>115</v>
      </c>
      <c r="L185" s="8">
        <f>J186</f>
        <v>-2.1256502910151296</v>
      </c>
      <c r="M185" s="11" t="s">
        <v>116</v>
      </c>
      <c r="N185" t="s">
        <v>143</v>
      </c>
    </row>
    <row r="186" spans="1:14" x14ac:dyDescent="0.25">
      <c r="A186" s="25">
        <v>-1.2220223941997788E-3</v>
      </c>
      <c r="B186" s="25">
        <v>1.0579886035695278E-3</v>
      </c>
      <c r="C186" s="25">
        <v>5.7446230871350326E-3</v>
      </c>
      <c r="D186" s="25">
        <v>-1.1853404076290838E-2</v>
      </c>
      <c r="F186" s="8">
        <f>-1*E165</f>
        <v>0</v>
      </c>
      <c r="H186">
        <v>0</v>
      </c>
      <c r="J186" s="8">
        <f>$B$64+H186</f>
        <v>-2.1256502910151296</v>
      </c>
      <c r="K186" s="11" t="s">
        <v>116</v>
      </c>
      <c r="L186" s="8">
        <f>J187</f>
        <v>9.3476405125681961</v>
      </c>
      <c r="M186" s="1" t="s">
        <v>117</v>
      </c>
    </row>
    <row r="187" spans="1:14" x14ac:dyDescent="0.25">
      <c r="A187" s="25">
        <v>-2.7903004524656534E-3</v>
      </c>
      <c r="B187" s="25">
        <v>-6.0404813482486767E-4</v>
      </c>
      <c r="C187" s="25">
        <v>4.6959154190740222E-3</v>
      </c>
      <c r="D187" s="25">
        <v>-1.5218765488387733E-2</v>
      </c>
      <c r="F187" s="8">
        <f>-1*E166</f>
        <v>0</v>
      </c>
      <c r="H187">
        <v>0</v>
      </c>
      <c r="J187" s="8">
        <f>$B$65+H187</f>
        <v>9.3476405125681961</v>
      </c>
      <c r="K187" s="1" t="s">
        <v>117</v>
      </c>
      <c r="L187" s="8">
        <f>J185</f>
        <v>2.0176467640276479</v>
      </c>
      <c r="M187" s="11" t="s">
        <v>115</v>
      </c>
    </row>
    <row r="188" spans="1:14" x14ac:dyDescent="0.25">
      <c r="A188" s="25">
        <v>0.2280726599406992</v>
      </c>
      <c r="B188" s="25">
        <v>-3.6815245958732971E-3</v>
      </c>
      <c r="C188" s="25">
        <v>-0.99617682207272518</v>
      </c>
      <c r="D188" s="25">
        <v>-1.1101273171304751</v>
      </c>
      <c r="F188">
        <f>-1*C169</f>
        <v>0</v>
      </c>
      <c r="H188">
        <v>0</v>
      </c>
      <c r="J188" s="8">
        <f>$B$67+H188</f>
        <v>6.4438695115504769</v>
      </c>
      <c r="K188" s="1" t="s">
        <v>118</v>
      </c>
      <c r="L188" s="8">
        <f>J188</f>
        <v>6.4438695115504769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-53.665603716903213</v>
      </c>
      <c r="B190" s="25">
        <f>A181</f>
        <v>54.769517641919499</v>
      </c>
      <c r="C190" s="25">
        <f>A182</f>
        <v>-15.650035142670633</v>
      </c>
      <c r="D190" s="25">
        <f>A183</f>
        <v>2.8365304698123883</v>
      </c>
      <c r="F190" t="s">
        <v>119</v>
      </c>
    </row>
    <row r="191" spans="1:14" x14ac:dyDescent="0.25">
      <c r="A191" s="25">
        <f>B180</f>
        <v>-189.00558272699413</v>
      </c>
      <c r="B191" s="25">
        <f>B181</f>
        <v>821.26414618680644</v>
      </c>
      <c r="C191" s="25">
        <f>B182</f>
        <v>-36.164151985301771</v>
      </c>
      <c r="D191" s="25">
        <f>B183</f>
        <v>-9.1022173731649882</v>
      </c>
      <c r="F191" t="s">
        <v>120</v>
      </c>
    </row>
    <row r="192" spans="1:14" x14ac:dyDescent="0.25">
      <c r="A192" s="25">
        <f>C180</f>
        <v>-306.93046910090334</v>
      </c>
      <c r="B192" s="25">
        <f>C181</f>
        <v>-247.63442931576589</v>
      </c>
      <c r="C192" s="25">
        <f>C182</f>
        <v>-51.937179338905246</v>
      </c>
      <c r="D192" s="25">
        <f>C183</f>
        <v>-15.630785526456256</v>
      </c>
      <c r="F192" t="s">
        <v>121</v>
      </c>
    </row>
    <row r="193" spans="1:14" x14ac:dyDescent="0.25">
      <c r="A193" s="25">
        <f>D180</f>
        <v>1</v>
      </c>
      <c r="B193" s="25">
        <f>D181</f>
        <v>-4.0910266778143613E-2</v>
      </c>
      <c r="C193" s="25">
        <f>D182</f>
        <v>-0.42581154752321843</v>
      </c>
      <c r="D193" s="25">
        <f>D183</f>
        <v>-0.31311105341580497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ref="A195:D198">MINVERSE(A190:D193)</f>
        <v>5.8784383221286022E-3</v>
      </c>
      <c r="B195" s="25">
        <v>-1.2220223941997795E-3</v>
      </c>
      <c r="C195" s="25">
        <v>-2.7903004524656534E-3</v>
      </c>
      <c r="D195" s="25">
        <v>0.22807265994069925</v>
      </c>
      <c r="H195">
        <f t="array" ref="H195:H198">MMULT(A195:D198,F185:F188)</f>
        <v>0</v>
      </c>
      <c r="J195" s="8">
        <f>$B$66+H195</f>
        <v>2.0176467640276479</v>
      </c>
      <c r="K195" s="11" t="s">
        <v>115</v>
      </c>
      <c r="L195" s="36">
        <f>J196</f>
        <v>-2.1256502910151296</v>
      </c>
      <c r="M195" s="37" t="s">
        <v>116</v>
      </c>
      <c r="N195" t="s">
        <v>146</v>
      </c>
    </row>
    <row r="196" spans="1:14" x14ac:dyDescent="0.25">
      <c r="A196" s="25">
        <v>-3.4000362405279595E-4</v>
      </c>
      <c r="B196" s="25">
        <v>1.0579886035695276E-3</v>
      </c>
      <c r="C196" s="25">
        <v>-6.0404813482486778E-4</v>
      </c>
      <c r="D196" s="25">
        <v>-3.6815245958732629E-3</v>
      </c>
      <c r="H196">
        <v>0</v>
      </c>
      <c r="J196" s="8">
        <f>$B$64+H196</f>
        <v>-2.1256502910151296</v>
      </c>
      <c r="K196" s="11" t="s">
        <v>116</v>
      </c>
      <c r="L196" s="38">
        <f>J197</f>
        <v>9.3476405125681961</v>
      </c>
      <c r="M196" s="39" t="s">
        <v>117</v>
      </c>
    </row>
    <row r="197" spans="1:14" x14ac:dyDescent="0.25">
      <c r="A197" s="25">
        <v>-6.5652148389573575E-2</v>
      </c>
      <c r="B197" s="25">
        <v>5.7446230871350343E-3</v>
      </c>
      <c r="C197" s="25">
        <v>4.6959154190740196E-3</v>
      </c>
      <c r="D197" s="25">
        <v>-0.99617682207272562</v>
      </c>
      <c r="H197">
        <v>0</v>
      </c>
      <c r="J197" s="8">
        <f>$B$65+H197</f>
        <v>9.3476405125681961</v>
      </c>
      <c r="K197" s="1" t="s">
        <v>117</v>
      </c>
      <c r="L197" s="38">
        <f>J195</f>
        <v>2.0176467640276479</v>
      </c>
      <c r="M197" s="43" t="s">
        <v>115</v>
      </c>
    </row>
    <row r="198" spans="1:14" ht="15.75" thickBot="1" x14ac:dyDescent="0.3">
      <c r="A198" s="25">
        <v>0.10810155213566758</v>
      </c>
      <c r="B198" s="25">
        <v>-1.1853404076290841E-2</v>
      </c>
      <c r="C198" s="25">
        <v>-1.5218765488387733E-2</v>
      </c>
      <c r="D198" s="25">
        <v>-1.1101273171304751</v>
      </c>
      <c r="H198">
        <v>0</v>
      </c>
      <c r="J198" s="8">
        <f>$B$67+H198</f>
        <v>6.4438695115504769</v>
      </c>
      <c r="K198" s="1" t="s">
        <v>118</v>
      </c>
      <c r="L198" s="41">
        <f>J198</f>
        <v>6.4438695115504769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-53.665603716903213</v>
      </c>
      <c r="B201" s="25">
        <f t="shared" ref="B201:C201" si="120">B190</f>
        <v>54.769517641919499</v>
      </c>
      <c r="C201" s="25">
        <f t="shared" si="120"/>
        <v>-15.650035142670633</v>
      </c>
      <c r="D201" s="25"/>
    </row>
    <row r="202" spans="1:14" x14ac:dyDescent="0.25">
      <c r="A202" s="25">
        <f t="shared" ref="A202:C202" si="121">A191</f>
        <v>-189.00558272699413</v>
      </c>
      <c r="B202" s="25">
        <f t="shared" si="121"/>
        <v>821.26414618680644</v>
      </c>
      <c r="C202" s="25">
        <f t="shared" si="121"/>
        <v>-36.164151985301771</v>
      </c>
      <c r="D202" s="25"/>
    </row>
    <row r="203" spans="1:14" x14ac:dyDescent="0.25">
      <c r="A203" s="25">
        <f t="shared" ref="A203:C203" si="122">A192</f>
        <v>-306.93046910090334</v>
      </c>
      <c r="B203" s="25">
        <f t="shared" si="122"/>
        <v>-247.63442931576589</v>
      </c>
      <c r="C203" s="25">
        <f t="shared" si="122"/>
        <v>-51.937179338905246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2.8087610332263129E-2</v>
      </c>
      <c r="B205" s="25">
        <v>-3.65727225726917E-3</v>
      </c>
      <c r="C205" s="25">
        <v>-5.9169547311139067E-3</v>
      </c>
      <c r="D205" s="25"/>
      <c r="H205">
        <f t="array" ref="H205:H207">MMULT(A205:C207,F185:F187)</f>
        <v>0</v>
      </c>
      <c r="J205" s="8">
        <f>$B$66+H205</f>
        <v>2.0176467640276479</v>
      </c>
      <c r="K205" s="11" t="s">
        <v>115</v>
      </c>
      <c r="L205" s="8">
        <f>J206</f>
        <v>-2.1256502910151296</v>
      </c>
      <c r="M205" s="11" t="s">
        <v>116</v>
      </c>
      <c r="N205" t="s">
        <v>145</v>
      </c>
    </row>
    <row r="206" spans="1:14" x14ac:dyDescent="0.25">
      <c r="A206" s="25">
        <v>-6.9850171422524148E-4</v>
      </c>
      <c r="B206" s="25">
        <v>1.0972981475995665E-3</v>
      </c>
      <c r="C206" s="25">
        <v>-5.5357801432630012E-4</v>
      </c>
      <c r="D206" s="25"/>
      <c r="H206">
        <v>0</v>
      </c>
      <c r="J206" s="8">
        <f>$B$64+H206</f>
        <v>-2.1256502910151296</v>
      </c>
      <c r="K206" s="11" t="s">
        <v>116</v>
      </c>
      <c r="L206" s="8">
        <f>J207</f>
        <v>9.3476405125681961</v>
      </c>
      <c r="M206" s="1" t="s">
        <v>117</v>
      </c>
      <c r="N206" t="s">
        <v>147</v>
      </c>
    </row>
    <row r="207" spans="1:14" x14ac:dyDescent="0.25">
      <c r="A207" s="25">
        <v>-0.16265747291937399</v>
      </c>
      <c r="B207" s="25">
        <v>1.6381318735689619E-2</v>
      </c>
      <c r="C207" s="25">
        <v>1.8352530481281625E-2</v>
      </c>
      <c r="D207" s="25"/>
      <c r="H207">
        <v>0</v>
      </c>
      <c r="J207" s="8">
        <f>$B$65+H207</f>
        <v>9.3476405125681961</v>
      </c>
      <c r="K207" s="1" t="s">
        <v>117</v>
      </c>
      <c r="L207" s="8">
        <f>J205</f>
        <v>2.0176467640276479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54.769517641919499</v>
      </c>
      <c r="B212" s="25">
        <f>A182</f>
        <v>-15.650035142670633</v>
      </c>
      <c r="C212" s="25">
        <f>A183</f>
        <v>2.8365304698123883</v>
      </c>
    </row>
    <row r="213" spans="1:14" x14ac:dyDescent="0.25">
      <c r="A213" s="25">
        <f>B181</f>
        <v>821.26414618680644</v>
      </c>
      <c r="B213" s="25">
        <f>B182</f>
        <v>-36.164151985301771</v>
      </c>
      <c r="C213" s="25">
        <f>B183</f>
        <v>-9.1022173731649882</v>
      </c>
    </row>
    <row r="214" spans="1:14" x14ac:dyDescent="0.25">
      <c r="A214" s="25">
        <f>C181</f>
        <v>-247.63442931576589</v>
      </c>
      <c r="B214" s="25">
        <f>C182</f>
        <v>-51.937179338905246</v>
      </c>
      <c r="C214" s="25">
        <f>C183</f>
        <v>-15.630785526456256</v>
      </c>
    </row>
    <row r="215" spans="1:14" ht="15.75" thickBot="1" x14ac:dyDescent="0.3"/>
    <row r="216" spans="1:14" x14ac:dyDescent="0.25">
      <c r="A216">
        <f t="array" ref="A216:C218">MINVERSE(A212:C214)</f>
        <v>-2.4511449848260534E-4</v>
      </c>
      <c r="B216">
        <v>1.0382628481803277E-3</v>
      </c>
      <c r="C216">
        <v>-6.4908886766982838E-4</v>
      </c>
      <c r="H216" cm="1">
        <f t="array" ref="H216:H218">MMULT(A216:C218,F185:F187)</f>
        <v>0</v>
      </c>
      <c r="J216" s="8">
        <f>$B$64+H216</f>
        <v>-2.1256502910151296</v>
      </c>
      <c r="K216" s="11" t="s">
        <v>116</v>
      </c>
      <c r="L216" s="36">
        <f>J216</f>
        <v>-2.1256502910151296</v>
      </c>
      <c r="M216" s="37" t="s">
        <v>116</v>
      </c>
      <c r="N216" t="s">
        <v>144</v>
      </c>
    </row>
    <row r="217" spans="1:14" x14ac:dyDescent="0.25">
      <c r="A217">
        <v>-3.9976278217273245E-2</v>
      </c>
      <c r="B217">
        <v>4.070680050302295E-4</v>
      </c>
      <c r="C217">
        <v>-7.4915718408546808E-3</v>
      </c>
      <c r="H217">
        <v>0</v>
      </c>
      <c r="J217" s="8">
        <f>$B$65+H217</f>
        <v>9.3476405125681961</v>
      </c>
      <c r="K217" s="1" t="s">
        <v>117</v>
      </c>
      <c r="L217" s="38">
        <f>J217</f>
        <v>9.3476405125681961</v>
      </c>
      <c r="M217" s="39" t="s">
        <v>117</v>
      </c>
    </row>
    <row r="218" spans="1:14" x14ac:dyDescent="0.25">
      <c r="A218">
        <v>0.1367144291247743</v>
      </c>
      <c r="B218">
        <v>-1.7801510448615727E-2</v>
      </c>
      <c r="C218">
        <v>-2.8800352847824173E-2</v>
      </c>
      <c r="H218">
        <v>0</v>
      </c>
      <c r="J218" s="8">
        <f>$B$67+H218</f>
        <v>6.4438695115504769</v>
      </c>
      <c r="K218" s="1" t="s">
        <v>118</v>
      </c>
      <c r="L218" s="38">
        <f>B66</f>
        <v>2.0176467640276479</v>
      </c>
      <c r="M218" s="40"/>
    </row>
    <row r="219" spans="1:14" ht="15.75" thickBot="1" x14ac:dyDescent="0.3">
      <c r="L219" s="41">
        <f>J218</f>
        <v>6.4438695115504769</v>
      </c>
      <c r="M219" s="42" t="s">
        <v>118</v>
      </c>
    </row>
  </sheetData>
  <conditionalFormatting sqref="M57">
    <cfRule type="expression" dxfId="1" priority="2">
      <formula>IF($M$59=TRUE,TRUE,FALSE)</formula>
    </cfRule>
    <cfRule type="expression" dxfId="0" priority="1">
      <formula>IF($M$59=FALSE,TRUE,FALSE)</formula>
    </cfRule>
  </conditionalFormatting>
  <dataValidations count="3">
    <dataValidation type="list" allowBlank="1" showInputMessage="1" showErrorMessage="1" sqref="D37:D48 E60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51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720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0.82210018496084025</v>
      </c>
      <c r="J4" t="s">
        <v>11</v>
      </c>
    </row>
    <row r="5" spans="1:29" x14ac:dyDescent="0.25">
      <c r="A5" s="10" t="s">
        <v>104</v>
      </c>
      <c r="B5" s="20">
        <f>ATAN2(B3,B4)</f>
        <v>1.0222469243443686</v>
      </c>
      <c r="C5" t="s">
        <v>19</v>
      </c>
      <c r="I5">
        <f>SUM(I2:I4)</f>
        <v>1.5960937682038825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0.34052504624021007</v>
      </c>
      <c r="AC14">
        <f>$I$2+AA14+AB14</f>
        <v>0.10972951453111424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0.82210018496084025</v>
      </c>
      <c r="AC15">
        <f t="shared" ref="AC15:AC20" si="12">$I$2+AA15+AB15</f>
        <v>0.88560057135879622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0.82210018496084025</v>
      </c>
      <c r="AC16">
        <f t="shared" si="12"/>
        <v>1.3017978500968308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0.34052504624021007</v>
      </c>
      <c r="AC17">
        <f t="shared" si="12"/>
        <v>1.1145186294832525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-0.34052504624021007</v>
      </c>
      <c r="AC18">
        <f t="shared" si="12"/>
        <v>0.43346853700283228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-0.82210018496084025</v>
      </c>
      <c r="AC19">
        <f t="shared" si="12"/>
        <v>-0.34240251982484976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-0.82210018496084025</v>
      </c>
      <c r="AC20">
        <f t="shared" si="12"/>
        <v>-0.75859979856288429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-0.34052504624021007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2.4852813742385709</v>
      </c>
      <c r="C33" s="17">
        <f>'Rigid Bearing Plate Analysis'!C33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Analysis'!E55</f>
        <v>10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-2.1256502910151296</v>
      </c>
      <c r="C64" t="s">
        <v>19</v>
      </c>
      <c r="D64" t="s">
        <v>34</v>
      </c>
      <c r="H64" s="17">
        <f>DEGREES(B64)</f>
        <v>-121.79079039592214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9.3476405125681961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2.0176467939541856</v>
      </c>
      <c r="C66" t="s">
        <v>11</v>
      </c>
      <c r="D66">
        <f>B66/B53</f>
        <v>6.4626322454186167E-4</v>
      </c>
      <c r="I66" s="20"/>
    </row>
    <row r="67" spans="1:18" x14ac:dyDescent="0.25">
      <c r="A67" s="1" t="s">
        <v>37</v>
      </c>
      <c r="B67" s="17">
        <f>'Rigid Bearing Plate Analysis'!B67</f>
        <v>6.4438695115504769</v>
      </c>
      <c r="C67" t="s">
        <v>36</v>
      </c>
      <c r="D67" t="s">
        <v>122</v>
      </c>
      <c r="G67" s="20">
        <f>($B$56*$B$66*$B$55*$E$122)/$B$65</f>
        <v>6.4438696071285086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-11.681930325230965</v>
      </c>
      <c r="R76">
        <f>Q76</f>
        <v>-11.681930325230965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11.681930325230965</v>
      </c>
      <c r="R77">
        <f>Q77</f>
        <v>11.681930325230965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10.681930325230962</v>
      </c>
      <c r="C84" s="1">
        <f t="shared" ref="C84:C92" si="23">(-1*B73*SIN($B$64))+(C73*COS($B$64))</f>
        <v>1.7474701863814737</v>
      </c>
      <c r="H84" s="1">
        <f t="shared" ref="H84:H92" si="24">H73</f>
        <v>1</v>
      </c>
      <c r="I84" s="4">
        <f>(I73*COS($B$64))+(J73*SIN($B$64))</f>
        <v>4.2727721300923855</v>
      </c>
      <c r="J84" s="1">
        <f>(-1*I73*SIN($B$64))+(J73*COS($B$64))</f>
        <v>0.69898807455259004</v>
      </c>
    </row>
    <row r="85" spans="1:10" x14ac:dyDescent="0.25">
      <c r="A85" s="1">
        <f t="shared" si="21"/>
        <v>2</v>
      </c>
      <c r="B85" s="4">
        <f t="shared" si="22"/>
        <v>6.3176173504213748</v>
      </c>
      <c r="C85" s="1">
        <f t="shared" si="23"/>
        <v>8.7889133878446977</v>
      </c>
      <c r="H85" s="1">
        <f t="shared" si="24"/>
        <v>2</v>
      </c>
      <c r="I85" s="4">
        <f t="shared" ref="I85:I92" si="25">(I74*COS($B$64))+(J74*SIN($B$64))</f>
        <v>3.5155653551378805</v>
      </c>
      <c r="J85" s="1">
        <f t="shared" ref="J85:J92" si="26">(-1*I74*SIN($B$64))+(J74*COS($B$64))</f>
        <v>-2.52704694016855</v>
      </c>
    </row>
    <row r="86" spans="1:10" x14ac:dyDescent="0.25">
      <c r="A86" s="1">
        <f t="shared" si="21"/>
        <v>3</v>
      </c>
      <c r="B86" s="4">
        <f t="shared" si="22"/>
        <v>-1.7474701863814768</v>
      </c>
      <c r="C86" s="1">
        <f t="shared" si="23"/>
        <v>10.681930325230963</v>
      </c>
      <c r="H86" s="1">
        <f t="shared" si="24"/>
        <v>3</v>
      </c>
      <c r="I86" s="4">
        <f t="shared" si="25"/>
        <v>0.69898807455258893</v>
      </c>
      <c r="J86" s="1">
        <f t="shared" si="26"/>
        <v>-4.2727721300923864</v>
      </c>
    </row>
    <row r="87" spans="1:10" x14ac:dyDescent="0.25">
      <c r="A87" s="1">
        <f t="shared" si="21"/>
        <v>4</v>
      </c>
      <c r="B87" s="4">
        <f t="shared" si="22"/>
        <v>-8.7889133878447012</v>
      </c>
      <c r="C87" s="1">
        <f t="shared" si="23"/>
        <v>6.3176173504213757</v>
      </c>
      <c r="H87" s="1">
        <f t="shared" si="24"/>
        <v>4</v>
      </c>
      <c r="I87" s="4">
        <f t="shared" si="25"/>
        <v>-2.5270469401685505</v>
      </c>
      <c r="J87" s="1">
        <f t="shared" si="26"/>
        <v>-3.5155653551378796</v>
      </c>
    </row>
    <row r="88" spans="1:10" x14ac:dyDescent="0.25">
      <c r="A88" s="1">
        <f t="shared" si="21"/>
        <v>5</v>
      </c>
      <c r="B88" s="4">
        <f t="shared" si="22"/>
        <v>-10.681930325230965</v>
      </c>
      <c r="C88" s="1">
        <f t="shared" si="23"/>
        <v>-1.7474701863814754</v>
      </c>
      <c r="H88" s="1">
        <f t="shared" si="24"/>
        <v>5</v>
      </c>
      <c r="I88" s="4">
        <f t="shared" si="25"/>
        <v>-4.2727721300923855</v>
      </c>
      <c r="J88" s="1">
        <f t="shared" si="26"/>
        <v>-0.6989880745525896</v>
      </c>
    </row>
    <row r="89" spans="1:10" x14ac:dyDescent="0.25">
      <c r="A89" s="1">
        <f t="shared" si="21"/>
        <v>6</v>
      </c>
      <c r="B89" s="4">
        <f t="shared" si="22"/>
        <v>-6.3176173504213784</v>
      </c>
      <c r="C89" s="1">
        <f t="shared" si="23"/>
        <v>-8.7889133878446994</v>
      </c>
      <c r="H89" s="1">
        <f t="shared" si="24"/>
        <v>6</v>
      </c>
      <c r="I89" s="4">
        <f t="shared" si="25"/>
        <v>-3.5155653551378805</v>
      </c>
      <c r="J89" s="1">
        <f t="shared" si="26"/>
        <v>2.52704694016855</v>
      </c>
    </row>
    <row r="90" spans="1:10" x14ac:dyDescent="0.25">
      <c r="A90" s="1">
        <f t="shared" si="21"/>
        <v>7</v>
      </c>
      <c r="B90" s="4">
        <f t="shared" si="22"/>
        <v>1.7474701863814728</v>
      </c>
      <c r="C90" s="1">
        <f t="shared" si="23"/>
        <v>-10.681930325230965</v>
      </c>
      <c r="H90" s="1">
        <f t="shared" si="24"/>
        <v>7</v>
      </c>
      <c r="I90" s="4">
        <f t="shared" si="25"/>
        <v>-0.69898807455259049</v>
      </c>
      <c r="J90" s="1">
        <f t="shared" si="26"/>
        <v>4.2727721300923855</v>
      </c>
    </row>
    <row r="91" spans="1:10" x14ac:dyDescent="0.25">
      <c r="A91" s="1">
        <f t="shared" si="21"/>
        <v>8</v>
      </c>
      <c r="B91" s="4">
        <f t="shared" si="22"/>
        <v>8.7889133878446959</v>
      </c>
      <c r="C91" s="1">
        <f t="shared" si="23"/>
        <v>-6.3176173504213775</v>
      </c>
      <c r="H91" s="1">
        <f t="shared" si="24"/>
        <v>8</v>
      </c>
      <c r="I91" s="4">
        <f t="shared" si="25"/>
        <v>2.5270469401685505</v>
      </c>
      <c r="J91" s="1">
        <f t="shared" si="26"/>
        <v>3.5155653551378796</v>
      </c>
    </row>
    <row r="92" spans="1:10" x14ac:dyDescent="0.25">
      <c r="A92" s="1">
        <f t="shared" si="21"/>
        <v>9</v>
      </c>
      <c r="B92" s="4">
        <f t="shared" si="22"/>
        <v>10.681930325230962</v>
      </c>
      <c r="C92" s="1">
        <f t="shared" si="23"/>
        <v>1.7474701863814737</v>
      </c>
      <c r="H92" s="1">
        <f t="shared" si="24"/>
        <v>9</v>
      </c>
      <c r="I92" s="4">
        <f t="shared" si="25"/>
        <v>4.2727721300923855</v>
      </c>
      <c r="J92" s="1">
        <f t="shared" si="26"/>
        <v>0.69898807455259004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160</v>
      </c>
      <c r="O109" t="s">
        <v>158</v>
      </c>
      <c r="P109" t="s">
        <v>159</v>
      </c>
    </row>
    <row r="110" spans="1:16" x14ac:dyDescent="0.25">
      <c r="A110">
        <f>A95</f>
        <v>1</v>
      </c>
      <c r="B110" s="1">
        <f>(B95*COS($B$64))+(C95*SIN($B$64))</f>
        <v>-4.4779630190461237</v>
      </c>
      <c r="C110" s="1">
        <f>(-1*B95*SIN($B$64))+(C95*COS($B$64))</f>
        <v>7.2248077621522446</v>
      </c>
      <c r="D110" t="str">
        <f t="shared" ref="D110" si="31">D95</f>
        <v>y</v>
      </c>
      <c r="E110" s="4">
        <f t="shared" ref="E110:E121" si="32">IF($D110="y",$B$125-C110,0)</f>
        <v>-5.8905179494894773</v>
      </c>
      <c r="F110" s="1">
        <f>IF($D110="y",B110,NA())</f>
        <v>-4.4779630190461237</v>
      </c>
      <c r="G110" s="1">
        <f>IF($D110="y",C110,NA())</f>
        <v>7.2248077621522446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>H110/$B$55</f>
        <v>0</v>
      </c>
      <c r="L110">
        <f>K110/$B$54</f>
        <v>0</v>
      </c>
      <c r="M110">
        <f t="shared" ref="M110:M121" si="34">IFERROR(($D$66/$B$65)*(G110-$B$125),0)</f>
        <v>4.0724984226130523E-4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-8.2751085780571572</v>
      </c>
      <c r="C111" s="1">
        <f t="shared" ref="C111:C121" si="37">(-1*B96*SIN($B$64))+(C96*COS($B$64))</f>
        <v>1.9423125447169585</v>
      </c>
      <c r="D111" t="str">
        <f t="shared" si="35"/>
        <v>y</v>
      </c>
      <c r="E111" s="4">
        <f t="shared" si="32"/>
        <v>-0.60802273205419111</v>
      </c>
      <c r="F111" s="1">
        <f t="shared" ref="F111:G121" si="38">IF($D111="y",B111,NA())</f>
        <v>-8.2751085780571572</v>
      </c>
      <c r="G111" s="1">
        <f t="shared" si="38"/>
        <v>1.9423125447169585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>H111/$B$55</f>
        <v>0</v>
      </c>
      <c r="L111">
        <f t="shared" ref="L111:L121" si="41">K111/$B$54</f>
        <v>0</v>
      </c>
      <c r="M111">
        <f t="shared" si="34"/>
        <v>4.2036568574044971E-5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-7.2248077621522464</v>
      </c>
      <c r="C112" s="1">
        <f t="shared" si="37"/>
        <v>-4.4779630190461246</v>
      </c>
      <c r="D112" t="str">
        <f t="shared" si="35"/>
        <v>y</v>
      </c>
      <c r="E112" s="4">
        <f t="shared" si="32"/>
        <v>5.812252831708892</v>
      </c>
      <c r="F112" s="1">
        <f t="shared" si="38"/>
        <v>-7.2248077621522464</v>
      </c>
      <c r="G112" s="1">
        <f t="shared" si="38"/>
        <v>-4.4779630190461246</v>
      </c>
      <c r="H112">
        <f t="shared" si="33"/>
        <v>-3.8975799829302207</v>
      </c>
      <c r="I112">
        <f t="shared" si="39"/>
        <v>17.453219027335955</v>
      </c>
      <c r="J112">
        <f t="shared" si="40"/>
        <v>-28.159266114283479</v>
      </c>
      <c r="K112">
        <f t="shared" ref="K112:K121" si="45">H112/$B$55</f>
        <v>-11.653326921070519</v>
      </c>
      <c r="L112">
        <f t="shared" si="41"/>
        <v>-4.0183885934725927E-4</v>
      </c>
      <c r="M112">
        <f t="shared" si="34"/>
        <v>-4.0183886530749282E-4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-1.9423125447169589</v>
      </c>
      <c r="C113" s="1">
        <f t="shared" si="37"/>
        <v>-8.2751085780571572</v>
      </c>
      <c r="D113" t="str">
        <f t="shared" si="35"/>
        <v>y</v>
      </c>
      <c r="E113" s="4">
        <f t="shared" si="32"/>
        <v>9.6093983907199245</v>
      </c>
      <c r="F113" s="1">
        <f t="shared" si="38"/>
        <v>-1.9423125447169589</v>
      </c>
      <c r="G113" s="1">
        <f t="shared" si="38"/>
        <v>-8.2751085780571572</v>
      </c>
      <c r="H113">
        <f t="shared" si="33"/>
        <v>-6.4438695115504769</v>
      </c>
      <c r="I113">
        <f t="shared" si="39"/>
        <v>53.323719870912335</v>
      </c>
      <c r="J113">
        <f t="shared" si="40"/>
        <v>-12.516008588803635</v>
      </c>
      <c r="K113">
        <f t="shared" si="45"/>
        <v>-19.266446970605021</v>
      </c>
      <c r="L113">
        <f t="shared" si="41"/>
        <v>-6.6436024036569037E-4</v>
      </c>
      <c r="M113">
        <f t="shared" si="34"/>
        <v>-6.6436025021974522E-4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4.4779630190461237</v>
      </c>
      <c r="C114" s="1">
        <f t="shared" si="37"/>
        <v>-7.2248077621522446</v>
      </c>
      <c r="D114" t="str">
        <f t="shared" si="35"/>
        <v>y</v>
      </c>
      <c r="E114" s="4">
        <f t="shared" si="32"/>
        <v>8.5590975748150129</v>
      </c>
      <c r="F114" s="1">
        <f t="shared" si="38"/>
        <v>4.4779630190461237</v>
      </c>
      <c r="G114" s="1">
        <f t="shared" si="38"/>
        <v>-7.2248077621522446</v>
      </c>
      <c r="H114">
        <f t="shared" si="33"/>
        <v>-5.73955888456031</v>
      </c>
      <c r="I114">
        <f t="shared" si="39"/>
        <v>41.467209580501205</v>
      </c>
      <c r="J114">
        <f t="shared" si="40"/>
        <v>25.701532430698688</v>
      </c>
      <c r="K114">
        <f t="shared" si="45"/>
        <v>-17.160637204995005</v>
      </c>
      <c r="L114">
        <f t="shared" si="41"/>
        <v>-5.9174611051706911E-4</v>
      </c>
      <c r="M114">
        <f t="shared" si="34"/>
        <v>-5.9174611929408241E-4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8.2751085780571572</v>
      </c>
      <c r="C115" s="1">
        <f t="shared" si="37"/>
        <v>-1.9423125447169598</v>
      </c>
      <c r="D115" t="str">
        <f t="shared" si="35"/>
        <v>y</v>
      </c>
      <c r="E115" s="4">
        <f t="shared" si="32"/>
        <v>3.2766023573797272</v>
      </c>
      <c r="F115" s="1">
        <f t="shared" si="38"/>
        <v>8.2751085780571572</v>
      </c>
      <c r="G115" s="1">
        <f t="shared" si="38"/>
        <v>-1.9423125447169598</v>
      </c>
      <c r="H115">
        <f t="shared" si="33"/>
        <v>-2.1972237151270617</v>
      </c>
      <c r="I115">
        <f t="shared" si="39"/>
        <v>4.2676951854408953</v>
      </c>
      <c r="J115">
        <f t="shared" si="40"/>
        <v>18.182264812958564</v>
      </c>
      <c r="K115">
        <f t="shared" si="45"/>
        <v>-6.5694524251571167</v>
      </c>
      <c r="L115">
        <f t="shared" si="41"/>
        <v>-2.2653284224679712E-4</v>
      </c>
      <c r="M115">
        <f t="shared" si="34"/>
        <v>-2.2653284560682221E-4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7.2248077621522446</v>
      </c>
      <c r="C116" s="1">
        <f t="shared" si="37"/>
        <v>4.4779630190461237</v>
      </c>
      <c r="D116" t="str">
        <f t="shared" si="35"/>
        <v>y</v>
      </c>
      <c r="E116" s="4">
        <f t="shared" si="32"/>
        <v>-3.1436732063833563</v>
      </c>
      <c r="F116" s="1">
        <f t="shared" si="38"/>
        <v>7.2248077621522446</v>
      </c>
      <c r="G116" s="1">
        <f t="shared" si="38"/>
        <v>4.4779630190461237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si="45"/>
        <v>0</v>
      </c>
      <c r="L116">
        <f t="shared" si="41"/>
        <v>0</v>
      </c>
      <c r="M116">
        <f t="shared" si="34"/>
        <v>2.1734258827471562E-4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1.9423125447169602</v>
      </c>
      <c r="C117" s="1">
        <f t="shared" si="37"/>
        <v>8.2751085780571572</v>
      </c>
      <c r="D117" t="str">
        <f t="shared" si="35"/>
        <v>y</v>
      </c>
      <c r="E117" s="4">
        <f t="shared" si="32"/>
        <v>-6.9408187653943898</v>
      </c>
      <c r="F117" s="1">
        <f t="shared" si="38"/>
        <v>1.9423125447169602</v>
      </c>
      <c r="G117" s="1">
        <f t="shared" si="38"/>
        <v>8.2751085780571572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si="45"/>
        <v>0</v>
      </c>
      <c r="L117">
        <f t="shared" si="41"/>
        <v>0</v>
      </c>
      <c r="M117">
        <f t="shared" si="34"/>
        <v>4.7986397318696805E-4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10.681930325230962</v>
      </c>
      <c r="C118" s="1">
        <f t="shared" si="37"/>
        <v>1.7474701863814737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si="45"/>
        <v>0</v>
      </c>
      <c r="L118">
        <f t="shared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10.681930325230962</v>
      </c>
      <c r="C119" s="1">
        <f t="shared" si="37"/>
        <v>1.7474701863814737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si="45"/>
        <v>0</v>
      </c>
      <c r="L119">
        <f t="shared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10.681930325230962</v>
      </c>
      <c r="C120" s="1">
        <f t="shared" si="37"/>
        <v>1.7474701863814737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si="45"/>
        <v>0</v>
      </c>
      <c r="L120">
        <f t="shared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10.681930325230962</v>
      </c>
      <c r="C121" s="1">
        <f t="shared" si="37"/>
        <v>1.7474701863814737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si="45"/>
        <v>0</v>
      </c>
      <c r="L121">
        <f t="shared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9.6093983907199245</v>
      </c>
      <c r="H122">
        <f>SUM(H110:H121)</f>
        <v>-18.278232094168072</v>
      </c>
      <c r="I122">
        <f t="shared" ref="I122:J122" si="46">SUM(I110:I121)</f>
        <v>116.51184366419039</v>
      </c>
      <c r="J122">
        <f t="shared" si="46"/>
        <v>3.2085225405701401</v>
      </c>
      <c r="L122">
        <f>MIN(L110:L121)</f>
        <v>-6.6436024036569037E-4</v>
      </c>
      <c r="M122">
        <f>MIN(M110:M121)</f>
        <v>-6.6436025021974522E-4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1.3342898126627674</v>
      </c>
      <c r="F125" s="1" t="s">
        <v>27</v>
      </c>
      <c r="G125" s="1" t="s">
        <v>28</v>
      </c>
    </row>
    <row r="126" spans="1:16" x14ac:dyDescent="0.25">
      <c r="F126" s="4">
        <f>MIN(B84:B90)-1</f>
        <v>-11.681930325230965</v>
      </c>
      <c r="G126" s="4">
        <f>B125</f>
        <v>1.3342898126627674</v>
      </c>
    </row>
    <row r="127" spans="1:16" x14ac:dyDescent="0.25">
      <c r="F127" s="4">
        <f>MAX(B84:B90)+1</f>
        <v>11.681930325230962</v>
      </c>
      <c r="G127" s="4">
        <f>G126</f>
        <v>1.3342898126627674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10.681930325230962</v>
      </c>
      <c r="C132" s="4">
        <f>C84</f>
        <v>1.7474701863814737</v>
      </c>
      <c r="D132" s="4">
        <f t="shared" ref="D132:E139" si="47">B85</f>
        <v>6.3176173504213748</v>
      </c>
      <c r="E132" s="4">
        <f t="shared" si="47"/>
        <v>8.7889133878446977</v>
      </c>
      <c r="F132" s="4">
        <f t="shared" ref="F132:F139" si="48">($B$66/$B$65)*(C132-$B$125)</f>
        <v>8.9183153250006642E-2</v>
      </c>
      <c r="G132" s="4">
        <f t="shared" ref="G132:G139" si="49">($B$66/$B$65)*(E132-$B$125)</f>
        <v>1.609047474213229</v>
      </c>
      <c r="H132" s="4">
        <f>IF(B132=D132,"V",(C132-E132)/(B132-D132))</f>
        <v>-1.6134138963236109</v>
      </c>
      <c r="I132" s="4">
        <f>IF(H132="V",0,(-1*B132*H132)+C132)</f>
        <v>18.981845012669694</v>
      </c>
      <c r="J132" s="4">
        <f>IF($F132&gt;=0,B132,IF(AND($F132&lt;0,$G132&gt;=0),IF(H132="V",B132,($B$125-I132)/H132),0))</f>
        <v>10.681930325230962</v>
      </c>
      <c r="K132" s="4">
        <f>IF($F132&gt;=0,C132,IF(AND($F132&lt;0,$G132&gt;=0),$B$125,0))</f>
        <v>1.7474701863814737</v>
      </c>
      <c r="L132" s="4">
        <f>IF($G132&gt;=0,D132,IF(AND($G132&lt;0,$F132&gt;=0),IF(H132="V",D132,($B$125-I132)/H132),0))</f>
        <v>6.3176173504213748</v>
      </c>
      <c r="M132" s="4">
        <f>IF($G132&gt;=0,E132,IF(AND($G132&lt;0,$F132&gt;=0),$B$125,0))</f>
        <v>8.7889133878446977</v>
      </c>
      <c r="N132" s="4">
        <f>IF(F132&lt;0,0,F132)</f>
        <v>8.9183153250006642E-2</v>
      </c>
      <c r="O132" s="4">
        <f>IF(G132&lt;0,0,G132)</f>
        <v>1.609047474213229</v>
      </c>
      <c r="P132" s="4">
        <f>(1/6)*(M132-K132)*((N132*((2*J132)+L132))+(O132*(J132+(2*L132))))</f>
        <v>46.927870714794182</v>
      </c>
      <c r="Q132" s="4">
        <f>((1/12)*(M132-K132)*(N132*J132*((3*K132)+M132)+N132*L132*(K132+M132)+O132*J132*(K132+M132)+O132*L132*(K132+(3*M132))))</f>
        <v>285.29029621380732</v>
      </c>
      <c r="R132" s="4">
        <f>((-1/24)*(M132-K132)*(J132*J132*((3*N132)+O132)+2*J132*L132*(N132+O132)+L132*L132*(N132+(3*O132))))</f>
        <v>-187.6416441710042</v>
      </c>
    </row>
    <row r="133" spans="1:18" x14ac:dyDescent="0.25">
      <c r="A133" t="s">
        <v>70</v>
      </c>
      <c r="B133" s="4">
        <f t="shared" ref="B133:C138" si="50">D132</f>
        <v>6.3176173504213748</v>
      </c>
      <c r="C133" s="4">
        <f t="shared" si="50"/>
        <v>8.7889133878446977</v>
      </c>
      <c r="D133" s="4">
        <f t="shared" si="47"/>
        <v>-1.7474701863814768</v>
      </c>
      <c r="E133" s="4">
        <f t="shared" si="47"/>
        <v>10.681930325230963</v>
      </c>
      <c r="F133" s="4">
        <f t="shared" si="48"/>
        <v>1.609047474213229</v>
      </c>
      <c r="G133" s="4">
        <f t="shared" si="49"/>
        <v>2.0176467939541856</v>
      </c>
      <c r="H133" s="4">
        <f t="shared" ref="H133:H139" si="51">IF(B133=D133,"V",(C133-E133)/(B133-D133))</f>
        <v>-0.23471746943204194</v>
      </c>
      <c r="I133" s="4">
        <f t="shared" ref="I133:I139" si="52">IF(H133="V",0,(-1*B133*H133)+C133)</f>
        <v>10.271768545175565</v>
      </c>
      <c r="J133" s="4">
        <f t="shared" ref="J133:J139" si="53">IF($F133&gt;=0,B133,IF(AND($F133&lt;0,$G133&gt;=0),IF(H133="V",B133,($B$125-I133)/H133),0))</f>
        <v>6.3176173504213748</v>
      </c>
      <c r="K133" s="4">
        <f t="shared" ref="K133:K139" si="54">IF($F133&gt;=0,C133,IF(AND($F133&lt;0,$G133&gt;=0),$B$125,0))</f>
        <v>8.7889133878446977</v>
      </c>
      <c r="L133" s="4">
        <f t="shared" ref="L133:L139" si="55">IF($G133&gt;=0,D133,IF(AND($G133&lt;0,$F133&gt;=0),IF(H133="V",D133,($B$125-I133)/H133),0))</f>
        <v>-1.7474701863814768</v>
      </c>
      <c r="M133" s="4">
        <f t="shared" ref="M133:M139" si="56">IF($G133&gt;=0,E133,IF(AND($G133&lt;0,$F133&gt;=0),$B$125,0))</f>
        <v>10.681930325230963</v>
      </c>
      <c r="N133" s="4">
        <f t="shared" ref="N133:O139" si="57">IF(F133&lt;0,0,F133)</f>
        <v>1.609047474213229</v>
      </c>
      <c r="O133" s="4">
        <f t="shared" si="57"/>
        <v>2.0176467939541856</v>
      </c>
      <c r="P133" s="4">
        <f t="shared" ref="P133:P139" si="58">(1/6)*(M133-K133)*((N133*((2*J133)+L133))+(O133*(J133+(2*L133))))</f>
        <v>7.3241125496305193</v>
      </c>
      <c r="Q133" s="4">
        <f t="shared" ref="Q133:Q139" si="59">((1/12)*(M133-K133)*(N133*J133*((3*K133)+M133)+N133*L133*(K133+M133)+O133*J133*(K133+M133)+O133*L133*(K133+(3*M133))))</f>
        <v>67.214798557845356</v>
      </c>
      <c r="R133" s="4">
        <f t="shared" ref="R133:R139" si="60">((-1/24)*(M133-K133)*(J133*J133*((3*N133)+O133)+2*J133*L133*(N133+O133)+L133*L133*(N133+(3*O133))))</f>
        <v>-17.077532341699293</v>
      </c>
    </row>
    <row r="134" spans="1:18" x14ac:dyDescent="0.25">
      <c r="A134" t="s">
        <v>71</v>
      </c>
      <c r="B134" s="4">
        <f t="shared" si="50"/>
        <v>-1.7474701863814768</v>
      </c>
      <c r="C134" s="4">
        <f t="shared" si="50"/>
        <v>10.681930325230963</v>
      </c>
      <c r="D134" s="4">
        <f t="shared" si="47"/>
        <v>-8.7889133878447012</v>
      </c>
      <c r="E134" s="4">
        <f t="shared" si="47"/>
        <v>6.3176173504213757</v>
      </c>
      <c r="F134" s="4">
        <f t="shared" si="48"/>
        <v>2.0176467939541856</v>
      </c>
      <c r="G134" s="4">
        <f t="shared" si="49"/>
        <v>1.0756291725450442</v>
      </c>
      <c r="H134" s="4">
        <f t="shared" si="51"/>
        <v>0.61980376038575102</v>
      </c>
      <c r="I134" s="4">
        <f t="shared" si="52"/>
        <v>11.765018917912192</v>
      </c>
      <c r="J134" s="4">
        <f t="shared" si="53"/>
        <v>-1.7474701863814768</v>
      </c>
      <c r="K134" s="4">
        <f t="shared" si="54"/>
        <v>10.681930325230963</v>
      </c>
      <c r="L134" s="4">
        <f t="shared" si="55"/>
        <v>-8.7889133878447012</v>
      </c>
      <c r="M134" s="4">
        <f t="shared" si="56"/>
        <v>6.3176173504213757</v>
      </c>
      <c r="N134" s="4">
        <f t="shared" si="57"/>
        <v>2.0176467939541856</v>
      </c>
      <c r="O134" s="4">
        <f t="shared" si="57"/>
        <v>1.0756291725450442</v>
      </c>
      <c r="P134" s="4">
        <f t="shared" si="58"/>
        <v>33.147925439623961</v>
      </c>
      <c r="Q134" s="4">
        <f t="shared" si="59"/>
        <v>272.34080238682049</v>
      </c>
      <c r="R134" s="4">
        <f t="shared" si="60"/>
        <v>94.905174039827287</v>
      </c>
    </row>
    <row r="135" spans="1:18" x14ac:dyDescent="0.25">
      <c r="A135" t="s">
        <v>72</v>
      </c>
      <c r="B135" s="4">
        <f t="shared" si="50"/>
        <v>-8.7889133878447012</v>
      </c>
      <c r="C135" s="4">
        <f t="shared" si="50"/>
        <v>6.3176173504213757</v>
      </c>
      <c r="D135" s="4">
        <f t="shared" si="47"/>
        <v>-10.681930325230965</v>
      </c>
      <c r="E135" s="4">
        <f t="shared" si="47"/>
        <v>-1.7474701863814754</v>
      </c>
      <c r="F135" s="4">
        <f t="shared" si="48"/>
        <v>1.0756291725450442</v>
      </c>
      <c r="G135" s="4">
        <f t="shared" si="49"/>
        <v>-0.66518424338716331</v>
      </c>
      <c r="H135" s="4">
        <f t="shared" si="51"/>
        <v>4.2604412974447659</v>
      </c>
      <c r="I135" s="4">
        <f t="shared" si="52"/>
        <v>43.762266907660134</v>
      </c>
      <c r="J135" s="4">
        <f t="shared" si="53"/>
        <v>-8.7889133878447012</v>
      </c>
      <c r="K135" s="4">
        <f t="shared" si="54"/>
        <v>6.3176173504213757</v>
      </c>
      <c r="L135" s="4">
        <f t="shared" si="55"/>
        <v>-9.9585874168584105</v>
      </c>
      <c r="M135" s="4">
        <f t="shared" si="56"/>
        <v>1.3342898126627674</v>
      </c>
      <c r="N135" s="4">
        <f t="shared" si="57"/>
        <v>1.0756291725450442</v>
      </c>
      <c r="O135" s="4">
        <f t="shared" si="57"/>
        <v>0</v>
      </c>
      <c r="P135" s="4">
        <f t="shared" si="58"/>
        <v>24.600171816350493</v>
      </c>
      <c r="Q135" s="4">
        <f t="shared" si="59"/>
        <v>113.68301287340043</v>
      </c>
      <c r="R135" s="4">
        <f t="shared" si="60"/>
        <v>113.00194098502436</v>
      </c>
    </row>
    <row r="136" spans="1:18" x14ac:dyDescent="0.25">
      <c r="A136" t="s">
        <v>73</v>
      </c>
      <c r="B136" s="4">
        <f t="shared" si="50"/>
        <v>-10.681930325230965</v>
      </c>
      <c r="C136" s="4">
        <f t="shared" si="50"/>
        <v>-1.7474701863814754</v>
      </c>
      <c r="D136" s="4">
        <f t="shared" si="47"/>
        <v>-6.3176173504213784</v>
      </c>
      <c r="E136" s="4">
        <f t="shared" si="47"/>
        <v>-8.7889133878446994</v>
      </c>
      <c r="F136" s="4">
        <f t="shared" si="48"/>
        <v>-0.66518424338716331</v>
      </c>
      <c r="G136" s="4">
        <f t="shared" si="49"/>
        <v>-2.1850485643503856</v>
      </c>
      <c r="H136" s="4">
        <f t="shared" si="51"/>
        <v>-1.6134138963236109</v>
      </c>
      <c r="I136" s="4">
        <f t="shared" si="52"/>
        <v>-18.981845012669702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-6.3176173504213784</v>
      </c>
      <c r="C137" s="4">
        <f t="shared" si="50"/>
        <v>-8.7889133878446994</v>
      </c>
      <c r="D137" s="4">
        <f t="shared" si="47"/>
        <v>1.7474701863814728</v>
      </c>
      <c r="E137" s="4">
        <f t="shared" si="47"/>
        <v>-10.681930325230965</v>
      </c>
      <c r="F137" s="4">
        <f t="shared" si="48"/>
        <v>-2.1850485643503856</v>
      </c>
      <c r="G137" s="4">
        <f t="shared" si="49"/>
        <v>-2.5936478840913422</v>
      </c>
      <c r="H137" s="4">
        <f t="shared" si="51"/>
        <v>-0.23471746943204194</v>
      </c>
      <c r="I137" s="4">
        <f t="shared" si="52"/>
        <v>-10.271768545175567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1.7474701863814728</v>
      </c>
      <c r="C138" s="4">
        <f t="shared" si="50"/>
        <v>-10.681930325230965</v>
      </c>
      <c r="D138" s="4">
        <f t="shared" si="47"/>
        <v>8.7889133878446959</v>
      </c>
      <c r="E138" s="4">
        <f t="shared" si="47"/>
        <v>-6.3176173504213775</v>
      </c>
      <c r="F138" s="4">
        <f t="shared" si="48"/>
        <v>-2.5936478840913422</v>
      </c>
      <c r="G138" s="4">
        <f t="shared" si="49"/>
        <v>-1.6516302626822008</v>
      </c>
      <c r="H138" s="4">
        <f t="shared" si="51"/>
        <v>0.61980376038575113</v>
      </c>
      <c r="I138" s="4">
        <f t="shared" si="52"/>
        <v>-11.765018917912192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8.7889133878446959</v>
      </c>
      <c r="C139" s="4">
        <f>E138</f>
        <v>-6.3176173504213775</v>
      </c>
      <c r="D139" s="4">
        <f t="shared" si="47"/>
        <v>10.681930325230962</v>
      </c>
      <c r="E139" s="4">
        <f t="shared" si="47"/>
        <v>1.7474701863814737</v>
      </c>
      <c r="F139" s="4">
        <f t="shared" si="48"/>
        <v>-1.6516302626822008</v>
      </c>
      <c r="G139" s="4">
        <f t="shared" si="49"/>
        <v>8.9183153250006642E-2</v>
      </c>
      <c r="H139" s="4">
        <f t="shared" si="51"/>
        <v>4.2604412974447614</v>
      </c>
      <c r="I139" s="4">
        <f t="shared" si="52"/>
        <v>-43.76226690766007</v>
      </c>
      <c r="J139" s="4">
        <f t="shared" si="53"/>
        <v>10.584949673492723</v>
      </c>
      <c r="K139" s="4">
        <f t="shared" si="54"/>
        <v>1.3342898126627674</v>
      </c>
      <c r="L139" s="4">
        <f t="shared" si="55"/>
        <v>10.681930325230962</v>
      </c>
      <c r="M139" s="4">
        <f t="shared" si="56"/>
        <v>1.7474701863814737</v>
      </c>
      <c r="N139" s="4">
        <f t="shared" si="57"/>
        <v>0</v>
      </c>
      <c r="O139" s="4">
        <f t="shared" si="57"/>
        <v>8.9183153250006642E-2</v>
      </c>
      <c r="P139" s="31">
        <f t="shared" si="58"/>
        <v>0.196212173396141</v>
      </c>
      <c r="Q139" s="31">
        <f t="shared" si="59"/>
        <v>0.31589226536670961</v>
      </c>
      <c r="R139" s="31">
        <f t="shared" si="60"/>
        <v>-1.0447957320055219</v>
      </c>
    </row>
    <row r="140" spans="1:18" ht="15.75" thickTop="1" x14ac:dyDescent="0.25">
      <c r="P140" s="4">
        <f>SUM(P132:P139)</f>
        <v>112.1962926937953</v>
      </c>
      <c r="Q140" s="4">
        <f>SUM(Q132:Q139)</f>
        <v>738.84480229724045</v>
      </c>
      <c r="R140" s="4">
        <f>SUM(R132:R139)</f>
        <v>2.143142780142643</v>
      </c>
    </row>
    <row r="142" spans="1:18" x14ac:dyDescent="0.25">
      <c r="O142" t="s">
        <v>96</v>
      </c>
      <c r="P142" s="1">
        <f>-1*R140/P140</f>
        <v>-1.9101725455329271E-2</v>
      </c>
    </row>
    <row r="143" spans="1:18" x14ac:dyDescent="0.25">
      <c r="O143" t="s">
        <v>97</v>
      </c>
      <c r="P143" s="1">
        <f>Q140/P140</f>
        <v>6.5852871298848203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4.2727721300923855</v>
      </c>
      <c r="C146" s="9">
        <f>J84</f>
        <v>0.69898807455259004</v>
      </c>
      <c r="D146" s="9">
        <f t="shared" ref="D146:E153" si="61">I85</f>
        <v>3.5155653551378805</v>
      </c>
      <c r="E146">
        <f t="shared" si="61"/>
        <v>-2.52704694016855</v>
      </c>
      <c r="F146" s="4">
        <f>($B$66/$B$65)*(C146-$B$125)</f>
        <v>-0.13712706574114408</v>
      </c>
      <c r="G146" s="4">
        <f>($B$66/$B$65)*(E146-$B$125)</f>
        <v>-0.83345243211402698</v>
      </c>
      <c r="H146" s="4">
        <f>IF(B146=D146,"V",(C146-E146)/(B146-D146))</f>
        <v>4.2604412974447685</v>
      </c>
      <c r="I146" s="4">
        <f>IF(H146="V",0,(-1*B146*H146)+C146)</f>
        <v>-17.50490676306406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3.5155653551378805</v>
      </c>
      <c r="C147">
        <f t="shared" si="62"/>
        <v>-2.52704694016855</v>
      </c>
      <c r="D147" s="9">
        <f t="shared" si="61"/>
        <v>0.69898807455258893</v>
      </c>
      <c r="E147">
        <f t="shared" si="61"/>
        <v>-4.2727721300923864</v>
      </c>
      <c r="F147" s="4">
        <f t="shared" ref="F147:F153" si="63">($B$66/$B$65)*(C147-$B$125)</f>
        <v>-0.83345243211402698</v>
      </c>
      <c r="G147" s="4">
        <f t="shared" ref="G147:G153" si="64">($B$66/$B$65)*(E147-$B$125)</f>
        <v>-1.2102594806776839</v>
      </c>
      <c r="H147" s="4">
        <f t="shared" ref="H147:H153" si="65">IF(B147=D147,"V",(C147-E147)/(B147-D147))</f>
        <v>0.61980376038575102</v>
      </c>
      <c r="I147" s="4">
        <f t="shared" ref="I147:I153" si="66">IF(H147="V",0,(-1*B147*H147)+C147)</f>
        <v>-4.7060075671648764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0.69898807455258893</v>
      </c>
      <c r="C148">
        <f t="shared" si="62"/>
        <v>-4.2727721300923864</v>
      </c>
      <c r="D148" s="9">
        <f t="shared" si="61"/>
        <v>-2.5270469401685505</v>
      </c>
      <c r="E148">
        <f t="shared" si="61"/>
        <v>-3.5155653551378796</v>
      </c>
      <c r="F148" s="4">
        <f t="shared" si="63"/>
        <v>-1.2102594806776839</v>
      </c>
      <c r="G148" s="4">
        <f t="shared" si="64"/>
        <v>-1.0468197527813012</v>
      </c>
      <c r="H148" s="4">
        <f t="shared" si="65"/>
        <v>-0.23471746943204219</v>
      </c>
      <c r="I148" s="4">
        <f t="shared" si="66"/>
        <v>-4.1087074180702272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-2.5270469401685505</v>
      </c>
      <c r="C149">
        <f t="shared" si="62"/>
        <v>-3.5155653551378796</v>
      </c>
      <c r="D149" s="9">
        <f t="shared" si="61"/>
        <v>-4.2727721300923855</v>
      </c>
      <c r="E149">
        <f t="shared" si="61"/>
        <v>-0.6989880745525896</v>
      </c>
      <c r="F149" s="4">
        <f t="shared" si="63"/>
        <v>-1.0468197527813012</v>
      </c>
      <c r="G149" s="4">
        <f t="shared" si="64"/>
        <v>-0.43887402439601209</v>
      </c>
      <c r="H149" s="4">
        <f t="shared" si="65"/>
        <v>-1.6134138963236107</v>
      </c>
      <c r="I149" s="4">
        <f t="shared" si="66"/>
        <v>-7.5927380050678792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-4.2727721300923855</v>
      </c>
      <c r="C150">
        <f t="shared" si="62"/>
        <v>-0.6989880745525896</v>
      </c>
      <c r="D150" s="9">
        <f t="shared" si="61"/>
        <v>-3.5155653551378805</v>
      </c>
      <c r="E150">
        <f t="shared" si="61"/>
        <v>2.52704694016855</v>
      </c>
      <c r="F150" s="4">
        <f t="shared" si="63"/>
        <v>-0.43887402439601209</v>
      </c>
      <c r="G150" s="4">
        <f t="shared" si="64"/>
        <v>0.25745134197687075</v>
      </c>
      <c r="H150" s="4">
        <f t="shared" si="65"/>
        <v>4.2604412974447676</v>
      </c>
      <c r="I150" s="4">
        <f t="shared" si="66"/>
        <v>17.50490676306406</v>
      </c>
      <c r="J150" s="4">
        <f t="shared" si="67"/>
        <v>-3.7955262897530697</v>
      </c>
      <c r="K150" s="4">
        <f t="shared" si="68"/>
        <v>1.3342898126627674</v>
      </c>
      <c r="L150" s="4">
        <f t="shared" si="69"/>
        <v>-3.5155653551378805</v>
      </c>
      <c r="M150" s="4">
        <f t="shared" si="70"/>
        <v>2.52704694016855</v>
      </c>
      <c r="N150" s="4">
        <f t="shared" si="71"/>
        <v>0</v>
      </c>
      <c r="O150" s="4">
        <f t="shared" si="71"/>
        <v>0.25745134197687075</v>
      </c>
      <c r="P150" s="4">
        <f t="shared" si="72"/>
        <v>-0.55410275322336411</v>
      </c>
      <c r="Q150" s="4">
        <f t="shared" si="73"/>
        <v>-1.1770919758560587</v>
      </c>
      <c r="R150" s="4">
        <f t="shared" si="74"/>
        <v>-1.0001810213401383</v>
      </c>
    </row>
    <row r="151" spans="1:18" x14ac:dyDescent="0.25">
      <c r="A151" t="s">
        <v>74</v>
      </c>
      <c r="B151" s="9">
        <f t="shared" si="62"/>
        <v>-3.5155653551378805</v>
      </c>
      <c r="C151">
        <f t="shared" si="62"/>
        <v>2.52704694016855</v>
      </c>
      <c r="D151" s="9">
        <f t="shared" si="61"/>
        <v>-0.69898807455259049</v>
      </c>
      <c r="E151">
        <f t="shared" si="61"/>
        <v>4.2727721300923855</v>
      </c>
      <c r="F151" s="4">
        <f t="shared" si="63"/>
        <v>0.25745134197687075</v>
      </c>
      <c r="G151" s="4">
        <f t="shared" si="64"/>
        <v>0.63425839054052735</v>
      </c>
      <c r="H151" s="4">
        <f t="shared" si="65"/>
        <v>0.61980376038575113</v>
      </c>
      <c r="I151" s="4">
        <f t="shared" si="66"/>
        <v>4.7060075671648764</v>
      </c>
      <c r="J151" s="4">
        <f t="shared" si="67"/>
        <v>-3.5155653551378805</v>
      </c>
      <c r="K151" s="4">
        <f t="shared" si="68"/>
        <v>2.52704694016855</v>
      </c>
      <c r="L151" s="4">
        <f t="shared" si="69"/>
        <v>-0.69898807455259049</v>
      </c>
      <c r="M151" s="4">
        <f t="shared" si="70"/>
        <v>4.2727721300923855</v>
      </c>
      <c r="N151" s="4">
        <f t="shared" si="71"/>
        <v>0.25745134197687075</v>
      </c>
      <c r="O151" s="4">
        <f t="shared" si="71"/>
        <v>0.63425839054052735</v>
      </c>
      <c r="P151" s="4">
        <f t="shared" si="72"/>
        <v>-1.485782164768366</v>
      </c>
      <c r="Q151" s="4">
        <f t="shared" si="73"/>
        <v>-4.9342580332174952</v>
      </c>
      <c r="R151" s="4">
        <f t="shared" si="74"/>
        <v>-1.6600771154246421</v>
      </c>
    </row>
    <row r="152" spans="1:18" x14ac:dyDescent="0.25">
      <c r="A152" t="s">
        <v>75</v>
      </c>
      <c r="B152" s="9">
        <f t="shared" si="62"/>
        <v>-0.69898807455259049</v>
      </c>
      <c r="C152">
        <f t="shared" si="62"/>
        <v>4.2727721300923855</v>
      </c>
      <c r="D152" s="9">
        <f t="shared" si="61"/>
        <v>2.5270469401685505</v>
      </c>
      <c r="E152">
        <f t="shared" si="61"/>
        <v>3.5155653551378796</v>
      </c>
      <c r="F152" s="4">
        <f t="shared" si="63"/>
        <v>0.63425839054052735</v>
      </c>
      <c r="G152" s="4">
        <f t="shared" si="64"/>
        <v>0.4708186626441449</v>
      </c>
      <c r="H152" s="4">
        <f t="shared" si="65"/>
        <v>-0.2347174694320418</v>
      </c>
      <c r="I152" s="4">
        <f t="shared" si="66"/>
        <v>4.1087074180702263</v>
      </c>
      <c r="J152" s="4">
        <f t="shared" si="67"/>
        <v>-0.69898807455259049</v>
      </c>
      <c r="K152" s="4">
        <f t="shared" si="68"/>
        <v>4.2727721300923855</v>
      </c>
      <c r="L152" s="4">
        <f t="shared" si="69"/>
        <v>2.5270469401685505</v>
      </c>
      <c r="M152" s="4">
        <f t="shared" si="70"/>
        <v>3.5155653551378796</v>
      </c>
      <c r="N152" s="4">
        <f t="shared" si="71"/>
        <v>0.63425839054052735</v>
      </c>
      <c r="O152" s="4">
        <f t="shared" si="71"/>
        <v>0.4708186626441449</v>
      </c>
      <c r="P152" s="4">
        <f t="shared" si="72"/>
        <v>-0.34914649341175236</v>
      </c>
      <c r="Q152" s="4">
        <f t="shared" si="73"/>
        <v>-1.2816046060422113</v>
      </c>
      <c r="R152" s="4">
        <f t="shared" si="74"/>
        <v>0.32578781162290682</v>
      </c>
    </row>
    <row r="153" spans="1:18" ht="15.75" thickBot="1" x14ac:dyDescent="0.3">
      <c r="A153" t="s">
        <v>134</v>
      </c>
      <c r="B153" s="9">
        <f t="shared" si="62"/>
        <v>2.5270469401685505</v>
      </c>
      <c r="C153">
        <f t="shared" si="62"/>
        <v>3.5155653551378796</v>
      </c>
      <c r="D153" s="9">
        <f t="shared" si="61"/>
        <v>4.2727721300923855</v>
      </c>
      <c r="E153">
        <f t="shared" si="61"/>
        <v>0.69898807455259004</v>
      </c>
      <c r="F153" s="4">
        <f t="shared" si="63"/>
        <v>0.4708186626441449</v>
      </c>
      <c r="G153" s="4">
        <f t="shared" si="64"/>
        <v>-0.13712706574114408</v>
      </c>
      <c r="H153" s="4">
        <f t="shared" si="65"/>
        <v>-1.6134138963236107</v>
      </c>
      <c r="I153" s="4">
        <f t="shared" si="66"/>
        <v>7.5927380050678792</v>
      </c>
      <c r="J153" s="4">
        <f t="shared" si="67"/>
        <v>2.5270469401685505</v>
      </c>
      <c r="K153" s="4">
        <f t="shared" si="68"/>
        <v>3.5155653551378796</v>
      </c>
      <c r="L153" s="4">
        <f t="shared" si="69"/>
        <v>3.8790097238320942</v>
      </c>
      <c r="M153" s="4">
        <f t="shared" si="70"/>
        <v>1.3342898126627674</v>
      </c>
      <c r="N153" s="4">
        <f t="shared" si="71"/>
        <v>0.4708186626441449</v>
      </c>
      <c r="O153" s="4">
        <f t="shared" si="71"/>
        <v>0</v>
      </c>
      <c r="P153" s="22">
        <f t="shared" si="72"/>
        <v>-1.5290275821980315</v>
      </c>
      <c r="Q153" s="22">
        <f t="shared" si="73"/>
        <v>-4.1795256026629124</v>
      </c>
      <c r="R153" s="22">
        <f t="shared" si="74"/>
        <v>2.3025648435343782</v>
      </c>
    </row>
    <row r="154" spans="1:18" ht="15.75" thickTop="1" x14ac:dyDescent="0.25">
      <c r="P154" s="4">
        <f>SUM(P146:P153)</f>
        <v>-3.9180589936015142</v>
      </c>
      <c r="Q154" s="4">
        <f t="shared" ref="Q154:R154" si="75">SUM(Q146:Q153)</f>
        <v>-11.572480217778679</v>
      </c>
      <c r="R154" s="4">
        <f t="shared" si="75"/>
        <v>-3.1905481607495734E-2</v>
      </c>
    </row>
    <row r="156" spans="1:18" x14ac:dyDescent="0.25">
      <c r="O156" t="s">
        <v>96</v>
      </c>
      <c r="P156" s="1">
        <f>-1*R154/P154</f>
        <v>-8.143185607873641E-3</v>
      </c>
    </row>
    <row r="157" spans="1:18" x14ac:dyDescent="0.25">
      <c r="O157" t="s">
        <v>97</v>
      </c>
      <c r="P157" s="1">
        <f>Q154/P154</f>
        <v>2.953625822550761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90.000001606025705</v>
      </c>
      <c r="C159" t="s">
        <v>36</v>
      </c>
    </row>
    <row r="160" spans="1:18" x14ac:dyDescent="0.25">
      <c r="A160" s="1" t="s">
        <v>106</v>
      </c>
      <c r="B160" s="4">
        <f>Q140+I122+Q154-O122</f>
        <v>843.78416574365212</v>
      </c>
      <c r="C160" t="s">
        <v>102</v>
      </c>
    </row>
    <row r="161" spans="1:9" x14ac:dyDescent="0.25">
      <c r="A161" s="1" t="s">
        <v>107</v>
      </c>
      <c r="B161" s="4">
        <f>R140+J122+R154-P122</f>
        <v>5.3197598391052878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90.000001606025705</v>
      </c>
      <c r="C164" t="s">
        <v>36</v>
      </c>
      <c r="E164" s="8">
        <f>B2-B164</f>
        <v>-1.6060257053140958E-6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-440.00000565628301</v>
      </c>
      <c r="C165" t="s">
        <v>102</v>
      </c>
      <c r="E165" s="8">
        <f>B3+B165</f>
        <v>-5.656283008192986E-6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-720.00000918536637</v>
      </c>
      <c r="C166" t="s">
        <v>102</v>
      </c>
      <c r="E166" s="8">
        <f>B4+B166</f>
        <v>-9.1853663661822793E-6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2.0176467939541856</v>
      </c>
      <c r="B169" s="1">
        <f>IF(E122=0,0,(MIN(H110:H121)*B65)/(B55*B56*E122))</f>
        <v>-2.0176467640276474</v>
      </c>
      <c r="C169" s="3">
        <f>A169+B169</f>
        <v>2.9926538136493264E-8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-3.1528488944641722E-8</v>
      </c>
      <c r="C175" s="27">
        <f>B65*SQRT(I175)</f>
        <v>1.3864791485444477E-7</v>
      </c>
      <c r="D175" s="27">
        <f>B66*SQRT(I175)</f>
        <v>2.992653820163289E-8</v>
      </c>
      <c r="E175" s="27">
        <f>B67*SQRT(I175)</f>
        <v>9.5578030645205034E-8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-2.1256503225436187</v>
      </c>
      <c r="C176" s="3">
        <f>B65+C175</f>
        <v>9.3476406512161105</v>
      </c>
      <c r="D176" s="3">
        <f>D175+B66</f>
        <v>2.0176468238807237</v>
      </c>
      <c r="E176" s="3">
        <f>B67+E175</f>
        <v>6.4438696071285078</v>
      </c>
      <c r="F176" s="16" t="s">
        <v>125</v>
      </c>
    </row>
    <row r="177" spans="1:13" x14ac:dyDescent="0.25">
      <c r="B177" s="27">
        <f>B176-B64</f>
        <v>-3.1528489152776729E-8</v>
      </c>
      <c r="C177" s="27">
        <f>C176-B65</f>
        <v>1.3864791448270353E-7</v>
      </c>
      <c r="D177" s="27">
        <f>D176-B66</f>
        <v>2.9926538136493264E-8</v>
      </c>
      <c r="E177" s="27">
        <f>E176-B67</f>
        <v>9.5578030823162408E-8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10.681930313218608</v>
      </c>
      <c r="B181" s="25">
        <f>(d_alpha_p!E136-d_alpha_m!E136)/(2*B177)</f>
        <v>6.317617343414712</v>
      </c>
      <c r="C181" s="25">
        <f>(d_alpha_p!E137-d_alpha_m!E137)/(2*B177)</f>
        <v>-1.7474701548031415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1.6060257053140958E-6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5.656283008192986E-6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9.1853663661822793E-6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-2.9926538136493264E-8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10.681930313218608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6.317617343414712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-1.7474701548031415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10.681930313218608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6.317617343414712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-1.7474701548031415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720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0.82210018496084025</v>
      </c>
      <c r="J4" t="s">
        <v>11</v>
      </c>
    </row>
    <row r="5" spans="1:29" x14ac:dyDescent="0.25">
      <c r="A5" s="10" t="s">
        <v>104</v>
      </c>
      <c r="B5" s="20">
        <f>ATAN2(B3,B4)</f>
        <v>1.0222469243443686</v>
      </c>
      <c r="C5" t="s">
        <v>19</v>
      </c>
      <c r="I5">
        <f>SUM(I2:I4)</f>
        <v>1.5960937682038825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0.34052504624021007</v>
      </c>
      <c r="AC14">
        <f>$I$2+AA14+AB14</f>
        <v>0.10972951453111424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0.82210018496084025</v>
      </c>
      <c r="AC15">
        <f t="shared" ref="AC15:AC20" si="12">$I$2+AA15+AB15</f>
        <v>0.88560057135879622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0.82210018496084025</v>
      </c>
      <c r="AC16">
        <f t="shared" si="12"/>
        <v>1.3017978500968308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0.34052504624021007</v>
      </c>
      <c r="AC17">
        <f t="shared" si="12"/>
        <v>1.1145186294832525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-0.34052504624021007</v>
      </c>
      <c r="AC18">
        <f t="shared" si="12"/>
        <v>0.43346853700283228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-0.82210018496084025</v>
      </c>
      <c r="AC19">
        <f t="shared" si="12"/>
        <v>-0.34240251982484976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-0.82210018496084025</v>
      </c>
      <c r="AC20">
        <f t="shared" si="12"/>
        <v>-0.75859979856288429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-0.34052504624021007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2.4852813742385709</v>
      </c>
      <c r="C33" s="17">
        <f>'Rigid Bearing Plate Analysis'!C33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Analysis'!E55</f>
        <v>10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-2.1256502910151296</v>
      </c>
      <c r="C64" t="s">
        <v>19</v>
      </c>
      <c r="D64" t="s">
        <v>34</v>
      </c>
      <c r="H64" s="17">
        <f>DEGREES(B64)</f>
        <v>-121.79079039592214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9.3476405125681961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2.0176467341011102</v>
      </c>
      <c r="C66" t="s">
        <v>11</v>
      </c>
      <c r="D66">
        <f>B66/B53</f>
        <v>6.4626320537059662E-4</v>
      </c>
      <c r="I66" s="20"/>
    </row>
    <row r="67" spans="1:18" x14ac:dyDescent="0.25">
      <c r="A67" s="1" t="s">
        <v>37</v>
      </c>
      <c r="B67" s="17">
        <f>'Rigid Bearing Plate Analysis'!B67</f>
        <v>6.4438695115504769</v>
      </c>
      <c r="C67" t="s">
        <v>36</v>
      </c>
      <c r="D67" t="s">
        <v>122</v>
      </c>
      <c r="G67" s="20">
        <f>($B$56*$B$66*$B$55*$E$122)/$B$65</f>
        <v>6.4438694159724488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-11.681930325230965</v>
      </c>
      <c r="R76">
        <f>Q76</f>
        <v>-11.681930325230965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11.681930325230965</v>
      </c>
      <c r="R77">
        <f>Q77</f>
        <v>11.681930325230965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10.681930325230962</v>
      </c>
      <c r="C84" s="1">
        <f t="shared" ref="C84:C92" si="23">(-1*B73*SIN($B$64))+(C73*COS($B$64))</f>
        <v>1.7474701863814737</v>
      </c>
      <c r="H84" s="1">
        <f t="shared" ref="H84:H92" si="24">H73</f>
        <v>1</v>
      </c>
      <c r="I84" s="4">
        <f>(I73*COS($B$64))+(J73*SIN($B$64))</f>
        <v>4.2727721300923855</v>
      </c>
      <c r="J84" s="1">
        <f>(-1*I73*SIN($B$64))+(J73*COS($B$64))</f>
        <v>0.69898807455259004</v>
      </c>
    </row>
    <row r="85" spans="1:10" x14ac:dyDescent="0.25">
      <c r="A85" s="1">
        <f t="shared" si="21"/>
        <v>2</v>
      </c>
      <c r="B85" s="4">
        <f t="shared" si="22"/>
        <v>6.3176173504213748</v>
      </c>
      <c r="C85" s="1">
        <f t="shared" si="23"/>
        <v>8.7889133878446977</v>
      </c>
      <c r="H85" s="1">
        <f t="shared" si="24"/>
        <v>2</v>
      </c>
      <c r="I85" s="4">
        <f t="shared" ref="I85:I92" si="25">(I74*COS($B$64))+(J74*SIN($B$64))</f>
        <v>3.5155653551378805</v>
      </c>
      <c r="J85" s="1">
        <f t="shared" ref="J85:J92" si="26">(-1*I74*SIN($B$64))+(J74*COS($B$64))</f>
        <v>-2.52704694016855</v>
      </c>
    </row>
    <row r="86" spans="1:10" x14ac:dyDescent="0.25">
      <c r="A86" s="1">
        <f t="shared" si="21"/>
        <v>3</v>
      </c>
      <c r="B86" s="4">
        <f t="shared" si="22"/>
        <v>-1.7474701863814768</v>
      </c>
      <c r="C86" s="1">
        <f t="shared" si="23"/>
        <v>10.681930325230963</v>
      </c>
      <c r="H86" s="1">
        <f t="shared" si="24"/>
        <v>3</v>
      </c>
      <c r="I86" s="4">
        <f t="shared" si="25"/>
        <v>0.69898807455258893</v>
      </c>
      <c r="J86" s="1">
        <f t="shared" si="26"/>
        <v>-4.2727721300923864</v>
      </c>
    </row>
    <row r="87" spans="1:10" x14ac:dyDescent="0.25">
      <c r="A87" s="1">
        <f t="shared" si="21"/>
        <v>4</v>
      </c>
      <c r="B87" s="4">
        <f t="shared" si="22"/>
        <v>-8.7889133878447012</v>
      </c>
      <c r="C87" s="1">
        <f t="shared" si="23"/>
        <v>6.3176173504213757</v>
      </c>
      <c r="H87" s="1">
        <f t="shared" si="24"/>
        <v>4</v>
      </c>
      <c r="I87" s="4">
        <f t="shared" si="25"/>
        <v>-2.5270469401685505</v>
      </c>
      <c r="J87" s="1">
        <f t="shared" si="26"/>
        <v>-3.5155653551378796</v>
      </c>
    </row>
    <row r="88" spans="1:10" x14ac:dyDescent="0.25">
      <c r="A88" s="1">
        <f t="shared" si="21"/>
        <v>5</v>
      </c>
      <c r="B88" s="4">
        <f t="shared" si="22"/>
        <v>-10.681930325230965</v>
      </c>
      <c r="C88" s="1">
        <f t="shared" si="23"/>
        <v>-1.7474701863814754</v>
      </c>
      <c r="H88" s="1">
        <f t="shared" si="24"/>
        <v>5</v>
      </c>
      <c r="I88" s="4">
        <f t="shared" si="25"/>
        <v>-4.2727721300923855</v>
      </c>
      <c r="J88" s="1">
        <f t="shared" si="26"/>
        <v>-0.6989880745525896</v>
      </c>
    </row>
    <row r="89" spans="1:10" x14ac:dyDescent="0.25">
      <c r="A89" s="1">
        <f t="shared" si="21"/>
        <v>6</v>
      </c>
      <c r="B89" s="4">
        <f t="shared" si="22"/>
        <v>-6.3176173504213784</v>
      </c>
      <c r="C89" s="1">
        <f t="shared" si="23"/>
        <v>-8.7889133878446994</v>
      </c>
      <c r="H89" s="1">
        <f t="shared" si="24"/>
        <v>6</v>
      </c>
      <c r="I89" s="4">
        <f t="shared" si="25"/>
        <v>-3.5155653551378805</v>
      </c>
      <c r="J89" s="1">
        <f t="shared" si="26"/>
        <v>2.52704694016855</v>
      </c>
    </row>
    <row r="90" spans="1:10" x14ac:dyDescent="0.25">
      <c r="A90" s="1">
        <f t="shared" si="21"/>
        <v>7</v>
      </c>
      <c r="B90" s="4">
        <f t="shared" si="22"/>
        <v>1.7474701863814728</v>
      </c>
      <c r="C90" s="1">
        <f t="shared" si="23"/>
        <v>-10.681930325230965</v>
      </c>
      <c r="H90" s="1">
        <f t="shared" si="24"/>
        <v>7</v>
      </c>
      <c r="I90" s="4">
        <f t="shared" si="25"/>
        <v>-0.69898807455259049</v>
      </c>
      <c r="J90" s="1">
        <f t="shared" si="26"/>
        <v>4.2727721300923855</v>
      </c>
    </row>
    <row r="91" spans="1:10" x14ac:dyDescent="0.25">
      <c r="A91" s="1">
        <f t="shared" si="21"/>
        <v>8</v>
      </c>
      <c r="B91" s="4">
        <f t="shared" si="22"/>
        <v>8.7889133878446959</v>
      </c>
      <c r="C91" s="1">
        <f t="shared" si="23"/>
        <v>-6.3176173504213775</v>
      </c>
      <c r="H91" s="1">
        <f t="shared" si="24"/>
        <v>8</v>
      </c>
      <c r="I91" s="4">
        <f t="shared" si="25"/>
        <v>2.5270469401685505</v>
      </c>
      <c r="J91" s="1">
        <f t="shared" si="26"/>
        <v>3.5155653551378796</v>
      </c>
    </row>
    <row r="92" spans="1:10" x14ac:dyDescent="0.25">
      <c r="A92" s="1">
        <f t="shared" si="21"/>
        <v>9</v>
      </c>
      <c r="B92" s="4">
        <f t="shared" si="22"/>
        <v>10.681930325230962</v>
      </c>
      <c r="C92" s="1">
        <f t="shared" si="23"/>
        <v>1.7474701863814737</v>
      </c>
      <c r="H92" s="1">
        <f t="shared" si="24"/>
        <v>9</v>
      </c>
      <c r="I92" s="4">
        <f t="shared" si="25"/>
        <v>4.2727721300923855</v>
      </c>
      <c r="J92" s="1">
        <f t="shared" si="26"/>
        <v>0.69898807455259004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160</v>
      </c>
      <c r="O109" t="s">
        <v>158</v>
      </c>
      <c r="P109" t="s">
        <v>159</v>
      </c>
    </row>
    <row r="110" spans="1:16" x14ac:dyDescent="0.25">
      <c r="A110">
        <f>A95</f>
        <v>1</v>
      </c>
      <c r="B110" s="1">
        <f>(B95*COS($B$64))+(C95*SIN($B$64))</f>
        <v>-4.4779630190461237</v>
      </c>
      <c r="C110" s="1">
        <f>(-1*B95*SIN($B$64))+(C95*COS($B$64))</f>
        <v>7.2248077621522446</v>
      </c>
      <c r="D110" t="str">
        <f t="shared" ref="D110" si="31">D95</f>
        <v>y</v>
      </c>
      <c r="E110" s="4">
        <f t="shared" ref="E110:E121" si="32">IF($D110="y",$B$125-C110,0)</f>
        <v>-5.8905179494894773</v>
      </c>
      <c r="F110" s="1">
        <f>IF($D110="y",B110,NA())</f>
        <v>-4.4779630190461237</v>
      </c>
      <c r="G110" s="1">
        <f>IF($D110="y",C110,NA())</f>
        <v>7.2248077621522446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>H110/$B$55</f>
        <v>0</v>
      </c>
      <c r="L110">
        <f>K110/$B$54</f>
        <v>0</v>
      </c>
      <c r="M110">
        <f t="shared" ref="M110:M121" si="34">IFERROR(($D$66/$B$65)*(G110-$B$125),0)</f>
        <v>4.0724983018032286E-4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-8.2751085780571572</v>
      </c>
      <c r="C111" s="1">
        <f t="shared" ref="C111:C121" si="37">(-1*B96*SIN($B$64))+(C96*COS($B$64))</f>
        <v>1.9423125447169585</v>
      </c>
      <c r="D111" t="str">
        <f t="shared" si="35"/>
        <v>y</v>
      </c>
      <c r="E111" s="4">
        <f t="shared" si="32"/>
        <v>-0.60802273205419111</v>
      </c>
      <c r="F111" s="1">
        <f t="shared" ref="F111:G121" si="38">IF($D111="y",B111,NA())</f>
        <v>-8.2751085780571572</v>
      </c>
      <c r="G111" s="1">
        <f t="shared" si="38"/>
        <v>1.9423125447169585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>H111/$B$55</f>
        <v>0</v>
      </c>
      <c r="L111">
        <f t="shared" ref="L111:L121" si="41">K111/$B$54</f>
        <v>0</v>
      </c>
      <c r="M111">
        <f t="shared" si="34"/>
        <v>4.2036567327038851E-5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-7.2248077621522464</v>
      </c>
      <c r="C112" s="1">
        <f t="shared" si="37"/>
        <v>-4.4779630190461246</v>
      </c>
      <c r="D112" t="str">
        <f t="shared" si="35"/>
        <v>y</v>
      </c>
      <c r="E112" s="4">
        <f t="shared" si="32"/>
        <v>5.812252831708892</v>
      </c>
      <c r="F112" s="1">
        <f t="shared" si="38"/>
        <v>-7.2248077621522464</v>
      </c>
      <c r="G112" s="1">
        <f t="shared" si="38"/>
        <v>-4.4779630190461246</v>
      </c>
      <c r="H112">
        <f t="shared" si="33"/>
        <v>-3.8975799829302207</v>
      </c>
      <c r="I112">
        <f t="shared" si="39"/>
        <v>17.453219027335955</v>
      </c>
      <c r="J112">
        <f t="shared" si="40"/>
        <v>-28.159266114283479</v>
      </c>
      <c r="K112">
        <f t="shared" ref="K112:K121" si="45">H112/$B$55</f>
        <v>-11.653326921070519</v>
      </c>
      <c r="L112">
        <f t="shared" si="41"/>
        <v>-4.0183885934725927E-4</v>
      </c>
      <c r="M112">
        <f t="shared" si="34"/>
        <v>-4.0183885338702593E-4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-1.9423125447169589</v>
      </c>
      <c r="C113" s="1">
        <f t="shared" si="37"/>
        <v>-8.2751085780571572</v>
      </c>
      <c r="D113" t="str">
        <f t="shared" si="35"/>
        <v>y</v>
      </c>
      <c r="E113" s="4">
        <f t="shared" si="32"/>
        <v>9.6093983907199245</v>
      </c>
      <c r="F113" s="1">
        <f t="shared" si="38"/>
        <v>-1.9423125447169589</v>
      </c>
      <c r="G113" s="1">
        <f t="shared" si="38"/>
        <v>-8.2751085780571572</v>
      </c>
      <c r="H113">
        <f t="shared" si="33"/>
        <v>-6.4438695115504769</v>
      </c>
      <c r="I113">
        <f t="shared" si="39"/>
        <v>53.323719870912335</v>
      </c>
      <c r="J113">
        <f t="shared" si="40"/>
        <v>-12.516008588803635</v>
      </c>
      <c r="K113">
        <f t="shared" si="45"/>
        <v>-19.266446970605021</v>
      </c>
      <c r="L113">
        <f t="shared" si="41"/>
        <v>-6.6436024036569037E-4</v>
      </c>
      <c r="M113">
        <f t="shared" si="34"/>
        <v>-6.6436023051163573E-4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4.4779630190461237</v>
      </c>
      <c r="C114" s="1">
        <f t="shared" si="37"/>
        <v>-7.2248077621522446</v>
      </c>
      <c r="D114" t="str">
        <f t="shared" si="35"/>
        <v>y</v>
      </c>
      <c r="E114" s="4">
        <f t="shared" si="32"/>
        <v>8.5590975748150129</v>
      </c>
      <c r="F114" s="1">
        <f t="shared" si="38"/>
        <v>4.4779630190461237</v>
      </c>
      <c r="G114" s="1">
        <f t="shared" si="38"/>
        <v>-7.2248077621522446</v>
      </c>
      <c r="H114">
        <f t="shared" si="33"/>
        <v>-5.73955888456031</v>
      </c>
      <c r="I114">
        <f t="shared" si="39"/>
        <v>41.467209580501205</v>
      </c>
      <c r="J114">
        <f t="shared" si="40"/>
        <v>25.701532430698688</v>
      </c>
      <c r="K114">
        <f t="shared" si="45"/>
        <v>-17.160637204995005</v>
      </c>
      <c r="L114">
        <f t="shared" si="41"/>
        <v>-5.9174611051706911E-4</v>
      </c>
      <c r="M114">
        <f t="shared" si="34"/>
        <v>-5.9174610174005614E-4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8.2751085780571572</v>
      </c>
      <c r="C115" s="1">
        <f t="shared" si="37"/>
        <v>-1.9423125447169598</v>
      </c>
      <c r="D115" t="str">
        <f t="shared" si="35"/>
        <v>y</v>
      </c>
      <c r="E115" s="4">
        <f t="shared" si="32"/>
        <v>3.2766023573797272</v>
      </c>
      <c r="F115" s="1">
        <f t="shared" si="38"/>
        <v>8.2751085780571572</v>
      </c>
      <c r="G115" s="1">
        <f t="shared" si="38"/>
        <v>-1.9423125447169598</v>
      </c>
      <c r="H115">
        <f t="shared" si="33"/>
        <v>-2.1972237151270617</v>
      </c>
      <c r="I115">
        <f t="shared" si="39"/>
        <v>4.2676951854408953</v>
      </c>
      <c r="J115">
        <f t="shared" si="40"/>
        <v>18.182264812958564</v>
      </c>
      <c r="K115">
        <f t="shared" si="45"/>
        <v>-6.5694524251571167</v>
      </c>
      <c r="L115">
        <f t="shared" si="41"/>
        <v>-2.2653284224679712E-4</v>
      </c>
      <c r="M115">
        <f t="shared" si="34"/>
        <v>-2.2653283888677219E-4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7.2248077621522446</v>
      </c>
      <c r="C116" s="1">
        <f t="shared" si="37"/>
        <v>4.4779630190461237</v>
      </c>
      <c r="D116" t="str">
        <f t="shared" si="35"/>
        <v>y</v>
      </c>
      <c r="E116" s="4">
        <f t="shared" si="32"/>
        <v>-3.1436732063833563</v>
      </c>
      <c r="F116" s="1">
        <f t="shared" si="38"/>
        <v>7.2248077621522446</v>
      </c>
      <c r="G116" s="1">
        <f t="shared" si="38"/>
        <v>4.4779630190461237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si="45"/>
        <v>0</v>
      </c>
      <c r="L116">
        <f t="shared" si="41"/>
        <v>0</v>
      </c>
      <c r="M116">
        <f t="shared" si="34"/>
        <v>2.1734258182729265E-4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1.9423125447169602</v>
      </c>
      <c r="C117" s="1">
        <f t="shared" si="37"/>
        <v>8.2751085780571572</v>
      </c>
      <c r="D117" t="str">
        <f t="shared" si="35"/>
        <v>y</v>
      </c>
      <c r="E117" s="4">
        <f t="shared" si="32"/>
        <v>-6.9408187653943898</v>
      </c>
      <c r="F117" s="1">
        <f t="shared" si="38"/>
        <v>1.9423125447169602</v>
      </c>
      <c r="G117" s="1">
        <f t="shared" si="38"/>
        <v>8.2751085780571572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si="45"/>
        <v>0</v>
      </c>
      <c r="L117">
        <f t="shared" si="41"/>
        <v>0</v>
      </c>
      <c r="M117">
        <f t="shared" si="34"/>
        <v>4.798639589519025E-4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10.681930325230962</v>
      </c>
      <c r="C118" s="1">
        <f t="shared" si="37"/>
        <v>1.7474701863814737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si="45"/>
        <v>0</v>
      </c>
      <c r="L118">
        <f t="shared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10.681930325230962</v>
      </c>
      <c r="C119" s="1">
        <f t="shared" si="37"/>
        <v>1.7474701863814737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si="45"/>
        <v>0</v>
      </c>
      <c r="L119">
        <f t="shared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10.681930325230962</v>
      </c>
      <c r="C120" s="1">
        <f t="shared" si="37"/>
        <v>1.7474701863814737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si="45"/>
        <v>0</v>
      </c>
      <c r="L120">
        <f t="shared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10.681930325230962</v>
      </c>
      <c r="C121" s="1">
        <f t="shared" si="37"/>
        <v>1.7474701863814737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si="45"/>
        <v>0</v>
      </c>
      <c r="L121">
        <f t="shared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9.6093983907199245</v>
      </c>
      <c r="H122">
        <f>SUM(H110:H121)</f>
        <v>-18.278232094168072</v>
      </c>
      <c r="I122">
        <f t="shared" ref="I122:J122" si="46">SUM(I110:I121)</f>
        <v>116.51184366419039</v>
      </c>
      <c r="J122">
        <f t="shared" si="46"/>
        <v>3.2085225405701401</v>
      </c>
      <c r="L122">
        <f>MIN(L110:L121)</f>
        <v>-6.6436024036569037E-4</v>
      </c>
      <c r="M122">
        <f>MIN(M110:M121)</f>
        <v>-6.6436023051163573E-4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1.3342898126627674</v>
      </c>
      <c r="F125" s="1" t="s">
        <v>27</v>
      </c>
      <c r="G125" s="1" t="s">
        <v>28</v>
      </c>
    </row>
    <row r="126" spans="1:16" x14ac:dyDescent="0.25">
      <c r="F126" s="4">
        <f>MIN(B84:B90)-1</f>
        <v>-11.681930325230965</v>
      </c>
      <c r="G126" s="4">
        <f>B125</f>
        <v>1.3342898126627674</v>
      </c>
    </row>
    <row r="127" spans="1:16" x14ac:dyDescent="0.25">
      <c r="F127" s="4">
        <f>MAX(B84:B90)+1</f>
        <v>11.681930325230962</v>
      </c>
      <c r="G127" s="4">
        <f>G126</f>
        <v>1.3342898126627674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10.681930325230962</v>
      </c>
      <c r="C132" s="4">
        <f>C84</f>
        <v>1.7474701863814737</v>
      </c>
      <c r="D132" s="4">
        <f t="shared" ref="D132:E139" si="47">B85</f>
        <v>6.3176173504213748</v>
      </c>
      <c r="E132" s="4">
        <f t="shared" si="47"/>
        <v>8.7889133878446977</v>
      </c>
      <c r="F132" s="4">
        <f t="shared" ref="F132:F139" si="48">($B$66/$B$65)*(C132-$B$125)</f>
        <v>8.9183150604406805E-2</v>
      </c>
      <c r="G132" s="4">
        <f t="shared" ref="G132:G139" si="49">($B$66/$B$65)*(E132-$B$125)</f>
        <v>1.6090474264811681</v>
      </c>
      <c r="H132" s="4">
        <f>IF(B132=D132,"V",(C132-E132)/(B132-D132))</f>
        <v>-1.6134138963236109</v>
      </c>
      <c r="I132" s="4">
        <f>IF(H132="V",0,(-1*B132*H132)+C132)</f>
        <v>18.981845012669694</v>
      </c>
      <c r="J132" s="4">
        <f>IF($F132&gt;=0,B132,IF(AND($F132&lt;0,$G132&gt;=0),IF(H132="V",B132,($B$125-I132)/H132),0))</f>
        <v>10.681930325230962</v>
      </c>
      <c r="K132" s="4">
        <f>IF($F132&gt;=0,C132,IF(AND($F132&lt;0,$G132&gt;=0),$B$125,0))</f>
        <v>1.7474701863814737</v>
      </c>
      <c r="L132" s="4">
        <f>IF($G132&gt;=0,D132,IF(AND($G132&lt;0,$F132&gt;=0),IF(H132="V",D132,($B$125-I132)/H132),0))</f>
        <v>6.3176173504213748</v>
      </c>
      <c r="M132" s="4">
        <f>IF($G132&gt;=0,E132,IF(AND($G132&lt;0,$F132&gt;=0),$B$125,0))</f>
        <v>8.7889133878446977</v>
      </c>
      <c r="N132" s="4">
        <f>IF(F132&lt;0,0,F132)</f>
        <v>8.9183150604406805E-2</v>
      </c>
      <c r="O132" s="4">
        <f>IF(G132&lt;0,0,G132)</f>
        <v>1.6090474264811681</v>
      </c>
      <c r="P132" s="4">
        <f>(1/6)*(M132-K132)*((N132*((2*J132)+L132))+(O132*(J132+(2*L132))))</f>
        <v>46.927869322688593</v>
      </c>
      <c r="Q132" s="4">
        <f>((1/12)*(M132-K132)*(N132*J132*((3*K132)+M132)+N132*L132*(K132+M132)+O132*J132*(K132+M132)+O132*L132*(K132+(3*M132))))</f>
        <v>285.29028775072959</v>
      </c>
      <c r="R132" s="4">
        <f>((-1/24)*(M132-K132)*(J132*J132*((3*N132)+O132)+2*J132*L132*(N132+O132)+L132*L132*(N132+(3*O132))))</f>
        <v>-187.64163860465359</v>
      </c>
    </row>
    <row r="133" spans="1:18" x14ac:dyDescent="0.25">
      <c r="A133" t="s">
        <v>70</v>
      </c>
      <c r="B133" s="4">
        <f t="shared" ref="B133:C138" si="50">D132</f>
        <v>6.3176173504213748</v>
      </c>
      <c r="C133" s="4">
        <f t="shared" si="50"/>
        <v>8.7889133878446977</v>
      </c>
      <c r="D133" s="4">
        <f t="shared" si="47"/>
        <v>-1.7474701863814768</v>
      </c>
      <c r="E133" s="4">
        <f t="shared" si="47"/>
        <v>10.681930325230963</v>
      </c>
      <c r="F133" s="4">
        <f t="shared" si="48"/>
        <v>1.6090474264811681</v>
      </c>
      <c r="G133" s="4">
        <f t="shared" si="49"/>
        <v>2.0176467341011102</v>
      </c>
      <c r="H133" s="4">
        <f t="shared" ref="H133:H139" si="51">IF(B133=D133,"V",(C133-E133)/(B133-D133))</f>
        <v>-0.23471746943204194</v>
      </c>
      <c r="I133" s="4">
        <f t="shared" ref="I133:I139" si="52">IF(H133="V",0,(-1*B133*H133)+C133)</f>
        <v>10.271768545175565</v>
      </c>
      <c r="J133" s="4">
        <f t="shared" ref="J133:J139" si="53">IF($F133&gt;=0,B133,IF(AND($F133&lt;0,$G133&gt;=0),IF(H133="V",B133,($B$125-I133)/H133),0))</f>
        <v>6.3176173504213748</v>
      </c>
      <c r="K133" s="4">
        <f t="shared" ref="K133:K139" si="54">IF($F133&gt;=0,C133,IF(AND($F133&lt;0,$G133&gt;=0),$B$125,0))</f>
        <v>8.7889133878446977</v>
      </c>
      <c r="L133" s="4">
        <f t="shared" ref="L133:L139" si="55">IF($G133&gt;=0,D133,IF(AND($G133&lt;0,$F133&gt;=0),IF(H133="V",D133,($B$125-I133)/H133),0))</f>
        <v>-1.7474701863814768</v>
      </c>
      <c r="M133" s="4">
        <f t="shared" ref="M133:M139" si="56">IF($G133&gt;=0,E133,IF(AND($G133&lt;0,$F133&gt;=0),$B$125,0))</f>
        <v>10.681930325230963</v>
      </c>
      <c r="N133" s="4">
        <f t="shared" ref="N133:O139" si="57">IF(F133&lt;0,0,F133)</f>
        <v>1.6090474264811681</v>
      </c>
      <c r="O133" s="4">
        <f t="shared" si="57"/>
        <v>2.0176467341011102</v>
      </c>
      <c r="P133" s="4">
        <f t="shared" ref="P133:P139" si="58">(1/6)*(M133-K133)*((N133*((2*J133)+L133))+(O133*(J133+(2*L133))))</f>
        <v>7.3241123323622341</v>
      </c>
      <c r="Q133" s="4">
        <f t="shared" ref="Q133:Q139" si="59">((1/12)*(M133-K133)*(N133*J133*((3*K133)+M133)+N133*L133*(K133+M133)+O133*J133*(K133+M133)+O133*L133*(K133+(3*M133))))</f>
        <v>67.214796563932239</v>
      </c>
      <c r="R133" s="4">
        <f t="shared" ref="R133:R139" si="60">((-1/24)*(M133-K133)*(J133*J133*((3*N133)+O133)+2*J133*L133*(N133+O133)+L133*L133*(N133+(3*O133))))</f>
        <v>-17.077531835097826</v>
      </c>
    </row>
    <row r="134" spans="1:18" x14ac:dyDescent="0.25">
      <c r="A134" t="s">
        <v>71</v>
      </c>
      <c r="B134" s="4">
        <f t="shared" si="50"/>
        <v>-1.7474701863814768</v>
      </c>
      <c r="C134" s="4">
        <f t="shared" si="50"/>
        <v>10.681930325230963</v>
      </c>
      <c r="D134" s="4">
        <f t="shared" si="47"/>
        <v>-8.7889133878447012</v>
      </c>
      <c r="E134" s="4">
        <f t="shared" si="47"/>
        <v>6.3176173504213757</v>
      </c>
      <c r="F134" s="4">
        <f t="shared" si="48"/>
        <v>2.0176467341011102</v>
      </c>
      <c r="G134" s="4">
        <f t="shared" si="49"/>
        <v>1.0756291406367269</v>
      </c>
      <c r="H134" s="4">
        <f t="shared" si="51"/>
        <v>0.61980376038575102</v>
      </c>
      <c r="I134" s="4">
        <f t="shared" si="52"/>
        <v>11.765018917912192</v>
      </c>
      <c r="J134" s="4">
        <f t="shared" si="53"/>
        <v>-1.7474701863814768</v>
      </c>
      <c r="K134" s="4">
        <f t="shared" si="54"/>
        <v>10.681930325230963</v>
      </c>
      <c r="L134" s="4">
        <f t="shared" si="55"/>
        <v>-8.7889133878447012</v>
      </c>
      <c r="M134" s="4">
        <f t="shared" si="56"/>
        <v>6.3176173504213757</v>
      </c>
      <c r="N134" s="4">
        <f t="shared" si="57"/>
        <v>2.0176467341011102</v>
      </c>
      <c r="O134" s="4">
        <f t="shared" si="57"/>
        <v>1.0756291406367269</v>
      </c>
      <c r="P134" s="4">
        <f t="shared" si="58"/>
        <v>33.147924456297595</v>
      </c>
      <c r="Q134" s="4">
        <f t="shared" si="59"/>
        <v>272.34079430788677</v>
      </c>
      <c r="R134" s="4">
        <f t="shared" si="60"/>
        <v>94.905171224484889</v>
      </c>
    </row>
    <row r="135" spans="1:18" x14ac:dyDescent="0.25">
      <c r="A135" t="s">
        <v>72</v>
      </c>
      <c r="B135" s="4">
        <f t="shared" si="50"/>
        <v>-8.7889133878447012</v>
      </c>
      <c r="C135" s="4">
        <f t="shared" si="50"/>
        <v>6.3176173504213757</v>
      </c>
      <c r="D135" s="4">
        <f t="shared" si="47"/>
        <v>-10.681930325230965</v>
      </c>
      <c r="E135" s="4">
        <f t="shared" si="47"/>
        <v>-1.7474701863814754</v>
      </c>
      <c r="F135" s="4">
        <f t="shared" si="48"/>
        <v>1.0756291406367269</v>
      </c>
      <c r="G135" s="4">
        <f t="shared" si="49"/>
        <v>-0.66518422365461005</v>
      </c>
      <c r="H135" s="4">
        <f t="shared" si="51"/>
        <v>4.2604412974447659</v>
      </c>
      <c r="I135" s="4">
        <f t="shared" si="52"/>
        <v>43.762266907660134</v>
      </c>
      <c r="J135" s="4">
        <f t="shared" si="53"/>
        <v>-8.7889133878447012</v>
      </c>
      <c r="K135" s="4">
        <f t="shared" si="54"/>
        <v>6.3176173504213757</v>
      </c>
      <c r="L135" s="4">
        <f t="shared" si="55"/>
        <v>-9.9585874168584105</v>
      </c>
      <c r="M135" s="4">
        <f t="shared" si="56"/>
        <v>1.3342898126627674</v>
      </c>
      <c r="N135" s="4">
        <f t="shared" si="57"/>
        <v>1.0756291406367269</v>
      </c>
      <c r="O135" s="4">
        <f t="shared" si="57"/>
        <v>0</v>
      </c>
      <c r="P135" s="4">
        <f t="shared" si="58"/>
        <v>24.600171086591477</v>
      </c>
      <c r="Q135" s="4">
        <f t="shared" si="59"/>
        <v>113.68300950101731</v>
      </c>
      <c r="R135" s="4">
        <f t="shared" si="60"/>
        <v>113.00193763284511</v>
      </c>
    </row>
    <row r="136" spans="1:18" x14ac:dyDescent="0.25">
      <c r="A136" t="s">
        <v>73</v>
      </c>
      <c r="B136" s="4">
        <f t="shared" si="50"/>
        <v>-10.681930325230965</v>
      </c>
      <c r="C136" s="4">
        <f t="shared" si="50"/>
        <v>-1.7474701863814754</v>
      </c>
      <c r="D136" s="4">
        <f t="shared" si="47"/>
        <v>-6.3176173504213784</v>
      </c>
      <c r="E136" s="4">
        <f t="shared" si="47"/>
        <v>-8.7889133878446994</v>
      </c>
      <c r="F136" s="4">
        <f t="shared" si="48"/>
        <v>-0.66518422365461005</v>
      </c>
      <c r="G136" s="4">
        <f t="shared" si="49"/>
        <v>-2.1850484995313715</v>
      </c>
      <c r="H136" s="4">
        <f t="shared" si="51"/>
        <v>-1.6134138963236109</v>
      </c>
      <c r="I136" s="4">
        <f t="shared" si="52"/>
        <v>-18.981845012669702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-6.3176173504213784</v>
      </c>
      <c r="C137" s="4">
        <f t="shared" si="50"/>
        <v>-8.7889133878446994</v>
      </c>
      <c r="D137" s="4">
        <f t="shared" si="47"/>
        <v>1.7474701863814728</v>
      </c>
      <c r="E137" s="4">
        <f t="shared" si="47"/>
        <v>-10.681930325230965</v>
      </c>
      <c r="F137" s="4">
        <f t="shared" si="48"/>
        <v>-2.1850484995313715</v>
      </c>
      <c r="G137" s="4">
        <f t="shared" si="49"/>
        <v>-2.5936478071513132</v>
      </c>
      <c r="H137" s="4">
        <f t="shared" si="51"/>
        <v>-0.23471746943204194</v>
      </c>
      <c r="I137" s="4">
        <f t="shared" si="52"/>
        <v>-10.271768545175567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1.7474701863814728</v>
      </c>
      <c r="C138" s="4">
        <f t="shared" si="50"/>
        <v>-10.681930325230965</v>
      </c>
      <c r="D138" s="4">
        <f t="shared" si="47"/>
        <v>8.7889133878446959</v>
      </c>
      <c r="E138" s="4">
        <f t="shared" si="47"/>
        <v>-6.3176173504213775</v>
      </c>
      <c r="F138" s="4">
        <f t="shared" si="48"/>
        <v>-2.5936478071513132</v>
      </c>
      <c r="G138" s="4">
        <f t="shared" si="49"/>
        <v>-1.6516302136869301</v>
      </c>
      <c r="H138" s="4">
        <f t="shared" si="51"/>
        <v>0.61980376038575113</v>
      </c>
      <c r="I138" s="4">
        <f t="shared" si="52"/>
        <v>-11.765018917912192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8.7889133878446959</v>
      </c>
      <c r="C139" s="4">
        <f>E138</f>
        <v>-6.3176173504213775</v>
      </c>
      <c r="D139" s="4">
        <f t="shared" si="47"/>
        <v>10.681930325230962</v>
      </c>
      <c r="E139" s="4">
        <f t="shared" si="47"/>
        <v>1.7474701863814737</v>
      </c>
      <c r="F139" s="4">
        <f t="shared" si="48"/>
        <v>-1.6516302136869301</v>
      </c>
      <c r="G139" s="4">
        <f t="shared" si="49"/>
        <v>8.9183150604406805E-2</v>
      </c>
      <c r="H139" s="4">
        <f t="shared" si="51"/>
        <v>4.2604412974447614</v>
      </c>
      <c r="I139" s="4">
        <f t="shared" si="52"/>
        <v>-43.76226690766007</v>
      </c>
      <c r="J139" s="4">
        <f t="shared" si="53"/>
        <v>10.584949673492723</v>
      </c>
      <c r="K139" s="4">
        <f t="shared" si="54"/>
        <v>1.3342898126627674</v>
      </c>
      <c r="L139" s="4">
        <f t="shared" si="55"/>
        <v>10.681930325230962</v>
      </c>
      <c r="M139" s="4">
        <f t="shared" si="56"/>
        <v>1.7474701863814737</v>
      </c>
      <c r="N139" s="4">
        <f t="shared" si="57"/>
        <v>0</v>
      </c>
      <c r="O139" s="4">
        <f t="shared" si="57"/>
        <v>8.9183150604406805E-2</v>
      </c>
      <c r="P139" s="31">
        <f t="shared" si="58"/>
        <v>0.19621216757554735</v>
      </c>
      <c r="Q139" s="31">
        <f t="shared" si="59"/>
        <v>0.31589225599583076</v>
      </c>
      <c r="R139" s="31">
        <f t="shared" si="60"/>
        <v>-1.044795701011872</v>
      </c>
    </row>
    <row r="140" spans="1:18" ht="15.75" thickTop="1" x14ac:dyDescent="0.25">
      <c r="P140" s="4">
        <f>SUM(P132:P139)</f>
        <v>112.19628936551545</v>
      </c>
      <c r="Q140" s="4">
        <f>SUM(Q132:Q139)</f>
        <v>738.8447803795616</v>
      </c>
      <c r="R140" s="4">
        <f>SUM(R132:R139)</f>
        <v>2.1431427165667065</v>
      </c>
    </row>
    <row r="142" spans="1:18" x14ac:dyDescent="0.25">
      <c r="O142" t="s">
        <v>96</v>
      </c>
      <c r="P142" s="1">
        <f>-1*R140/P140</f>
        <v>-1.9101725455328837E-2</v>
      </c>
    </row>
    <row r="143" spans="1:18" x14ac:dyDescent="0.25">
      <c r="O143" t="s">
        <v>97</v>
      </c>
      <c r="P143" s="1">
        <f>Q140/P140</f>
        <v>6.5852871298848159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4.2727721300923855</v>
      </c>
      <c r="C146" s="9">
        <f>J84</f>
        <v>0.69898807455259004</v>
      </c>
      <c r="D146" s="9">
        <f t="shared" ref="D146:E153" si="61">I85</f>
        <v>3.5155653551378805</v>
      </c>
      <c r="E146">
        <f t="shared" si="61"/>
        <v>-2.52704694016855</v>
      </c>
      <c r="F146" s="4">
        <f>($B$66/$B$65)*(C146-$B$125)</f>
        <v>-0.137127061673298</v>
      </c>
      <c r="G146" s="4">
        <f>($B$66/$B$65)*(E146-$B$125)</f>
        <v>-0.83345240738983273</v>
      </c>
      <c r="H146" s="4">
        <f>IF(B146=D146,"V",(C146-E146)/(B146-D146))</f>
        <v>4.2604412974447685</v>
      </c>
      <c r="I146" s="4">
        <f>IF(H146="V",0,(-1*B146*H146)+C146)</f>
        <v>-17.50490676306406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3.5155653551378805</v>
      </c>
      <c r="C147">
        <f t="shared" si="62"/>
        <v>-2.52704694016855</v>
      </c>
      <c r="D147" s="9">
        <f t="shared" si="61"/>
        <v>0.69898807455258893</v>
      </c>
      <c r="E147">
        <f t="shared" si="61"/>
        <v>-4.2727721300923864</v>
      </c>
      <c r="F147" s="4">
        <f t="shared" ref="F147:F153" si="63">($B$66/$B$65)*(C147-$B$125)</f>
        <v>-0.83345240738983273</v>
      </c>
      <c r="G147" s="4">
        <f t="shared" ref="G147:G153" si="64">($B$66/$B$65)*(E147-$B$125)</f>
        <v>-1.2102594447755863</v>
      </c>
      <c r="H147" s="4">
        <f t="shared" ref="H147:H153" si="65">IF(B147=D147,"V",(C147-E147)/(B147-D147))</f>
        <v>0.61980376038575102</v>
      </c>
      <c r="I147" s="4">
        <f t="shared" ref="I147:I153" si="66">IF(H147="V",0,(-1*B147*H147)+C147)</f>
        <v>-4.7060075671648764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0.69898807455258893</v>
      </c>
      <c r="C148">
        <f t="shared" si="62"/>
        <v>-4.2727721300923864</v>
      </c>
      <c r="D148" s="9">
        <f t="shared" si="61"/>
        <v>-2.5270469401685505</v>
      </c>
      <c r="E148">
        <f t="shared" si="61"/>
        <v>-3.5155653551378796</v>
      </c>
      <c r="F148" s="4">
        <f t="shared" si="63"/>
        <v>-1.2102594447755863</v>
      </c>
      <c r="G148" s="4">
        <f t="shared" si="64"/>
        <v>-1.0468197217276094</v>
      </c>
      <c r="H148" s="4">
        <f t="shared" si="65"/>
        <v>-0.23471746943204219</v>
      </c>
      <c r="I148" s="4">
        <f t="shared" si="66"/>
        <v>-4.1087074180702272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-2.5270469401685505</v>
      </c>
      <c r="C149">
        <f t="shared" si="62"/>
        <v>-3.5155653551378796</v>
      </c>
      <c r="D149" s="9">
        <f t="shared" si="61"/>
        <v>-4.2727721300923855</v>
      </c>
      <c r="E149">
        <f t="shared" si="61"/>
        <v>-0.6989880745525896</v>
      </c>
      <c r="F149" s="4">
        <f t="shared" si="63"/>
        <v>-1.0468197217276094</v>
      </c>
      <c r="G149" s="4">
        <f t="shared" si="64"/>
        <v>-0.43887401137690479</v>
      </c>
      <c r="H149" s="4">
        <f t="shared" si="65"/>
        <v>-1.6134138963236107</v>
      </c>
      <c r="I149" s="4">
        <f t="shared" si="66"/>
        <v>-7.5927380050678792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-4.2727721300923855</v>
      </c>
      <c r="C150">
        <f t="shared" si="62"/>
        <v>-0.6989880745525896</v>
      </c>
      <c r="D150" s="9">
        <f t="shared" si="61"/>
        <v>-3.5155653551378805</v>
      </c>
      <c r="E150">
        <f t="shared" si="61"/>
        <v>2.52704694016855</v>
      </c>
      <c r="F150" s="4">
        <f t="shared" si="63"/>
        <v>-0.43887401137690479</v>
      </c>
      <c r="G150" s="4">
        <f t="shared" si="64"/>
        <v>0.25745133433962986</v>
      </c>
      <c r="H150" s="4">
        <f t="shared" si="65"/>
        <v>4.2604412974447676</v>
      </c>
      <c r="I150" s="4">
        <f t="shared" si="66"/>
        <v>17.50490676306406</v>
      </c>
      <c r="J150" s="4">
        <f t="shared" si="67"/>
        <v>-3.7955262897530697</v>
      </c>
      <c r="K150" s="4">
        <f t="shared" si="68"/>
        <v>1.3342898126627674</v>
      </c>
      <c r="L150" s="4">
        <f t="shared" si="69"/>
        <v>-3.5155653551378805</v>
      </c>
      <c r="M150" s="4">
        <f t="shared" si="70"/>
        <v>2.52704694016855</v>
      </c>
      <c r="N150" s="4">
        <f t="shared" si="71"/>
        <v>0</v>
      </c>
      <c r="O150" s="4">
        <f t="shared" si="71"/>
        <v>0.25745133433962986</v>
      </c>
      <c r="P150" s="4">
        <f t="shared" si="72"/>
        <v>-0.5541027367860204</v>
      </c>
      <c r="Q150" s="4">
        <f t="shared" si="73"/>
        <v>-1.1770919409378682</v>
      </c>
      <c r="R150" s="4">
        <f t="shared" si="74"/>
        <v>-1.0001809916699747</v>
      </c>
    </row>
    <row r="151" spans="1:18" x14ac:dyDescent="0.25">
      <c r="A151" t="s">
        <v>74</v>
      </c>
      <c r="B151" s="9">
        <f t="shared" si="62"/>
        <v>-3.5155653551378805</v>
      </c>
      <c r="C151">
        <f t="shared" si="62"/>
        <v>2.52704694016855</v>
      </c>
      <c r="D151" s="9">
        <f t="shared" si="61"/>
        <v>-0.69898807455259049</v>
      </c>
      <c r="E151">
        <f t="shared" si="61"/>
        <v>4.2727721300923855</v>
      </c>
      <c r="F151" s="4">
        <f t="shared" si="63"/>
        <v>0.25745133433962986</v>
      </c>
      <c r="G151" s="4">
        <f t="shared" si="64"/>
        <v>0.63425837172538324</v>
      </c>
      <c r="H151" s="4">
        <f t="shared" si="65"/>
        <v>0.61980376038575113</v>
      </c>
      <c r="I151" s="4">
        <f t="shared" si="66"/>
        <v>4.7060075671648764</v>
      </c>
      <c r="J151" s="4">
        <f t="shared" si="67"/>
        <v>-3.5155653551378805</v>
      </c>
      <c r="K151" s="4">
        <f t="shared" si="68"/>
        <v>2.52704694016855</v>
      </c>
      <c r="L151" s="4">
        <f t="shared" si="69"/>
        <v>-0.69898807455259049</v>
      </c>
      <c r="M151" s="4">
        <f t="shared" si="70"/>
        <v>4.2727721300923855</v>
      </c>
      <c r="N151" s="4">
        <f t="shared" si="71"/>
        <v>0.25745133433962986</v>
      </c>
      <c r="O151" s="4">
        <f t="shared" si="71"/>
        <v>0.63425837172538324</v>
      </c>
      <c r="P151" s="4">
        <f t="shared" si="72"/>
        <v>-1.4857821206929449</v>
      </c>
      <c r="Q151" s="4">
        <f t="shared" si="73"/>
        <v>-4.9342578868437492</v>
      </c>
      <c r="R151" s="4">
        <f t="shared" si="74"/>
        <v>-1.6600770661787969</v>
      </c>
    </row>
    <row r="152" spans="1:18" x14ac:dyDescent="0.25">
      <c r="A152" t="s">
        <v>75</v>
      </c>
      <c r="B152" s="9">
        <f t="shared" si="62"/>
        <v>-0.69898807455259049</v>
      </c>
      <c r="C152">
        <f t="shared" si="62"/>
        <v>4.2727721300923855</v>
      </c>
      <c r="D152" s="9">
        <f t="shared" si="61"/>
        <v>2.5270469401685505</v>
      </c>
      <c r="E152">
        <f t="shared" si="61"/>
        <v>3.5155653551378796</v>
      </c>
      <c r="F152" s="4">
        <f t="shared" si="63"/>
        <v>0.63425837172538324</v>
      </c>
      <c r="G152" s="4">
        <f t="shared" si="64"/>
        <v>0.47081864867740647</v>
      </c>
      <c r="H152" s="4">
        <f t="shared" si="65"/>
        <v>-0.2347174694320418</v>
      </c>
      <c r="I152" s="4">
        <f t="shared" si="66"/>
        <v>4.1087074180702263</v>
      </c>
      <c r="J152" s="4">
        <f t="shared" si="67"/>
        <v>-0.69898807455259049</v>
      </c>
      <c r="K152" s="4">
        <f t="shared" si="68"/>
        <v>4.2727721300923855</v>
      </c>
      <c r="L152" s="4">
        <f t="shared" si="69"/>
        <v>2.5270469401685505</v>
      </c>
      <c r="M152" s="4">
        <f t="shared" si="70"/>
        <v>3.5155653551378796</v>
      </c>
      <c r="N152" s="4">
        <f t="shared" si="71"/>
        <v>0.63425837172538324</v>
      </c>
      <c r="O152" s="4">
        <f t="shared" si="71"/>
        <v>0.47081864867740647</v>
      </c>
      <c r="P152" s="4">
        <f t="shared" si="72"/>
        <v>-0.34914648305439372</v>
      </c>
      <c r="Q152" s="4">
        <f t="shared" si="73"/>
        <v>-1.2816045680236752</v>
      </c>
      <c r="R152" s="4">
        <f t="shared" si="74"/>
        <v>0.32578780195847862</v>
      </c>
    </row>
    <row r="153" spans="1:18" ht="15.75" thickBot="1" x14ac:dyDescent="0.3">
      <c r="A153" t="s">
        <v>134</v>
      </c>
      <c r="B153" s="9">
        <f t="shared" si="62"/>
        <v>2.5270469401685505</v>
      </c>
      <c r="C153">
        <f t="shared" si="62"/>
        <v>3.5155653551378796</v>
      </c>
      <c r="D153" s="9">
        <f t="shared" si="61"/>
        <v>4.2727721300923855</v>
      </c>
      <c r="E153">
        <f t="shared" si="61"/>
        <v>0.69898807455259004</v>
      </c>
      <c r="F153" s="4">
        <f t="shared" si="63"/>
        <v>0.47081864867740647</v>
      </c>
      <c r="G153" s="4">
        <f t="shared" si="64"/>
        <v>-0.137127061673298</v>
      </c>
      <c r="H153" s="4">
        <f t="shared" si="65"/>
        <v>-1.6134138963236107</v>
      </c>
      <c r="I153" s="4">
        <f t="shared" si="66"/>
        <v>7.5927380050678792</v>
      </c>
      <c r="J153" s="4">
        <f t="shared" si="67"/>
        <v>2.5270469401685505</v>
      </c>
      <c r="K153" s="4">
        <f t="shared" si="68"/>
        <v>3.5155653551378796</v>
      </c>
      <c r="L153" s="4">
        <f t="shared" si="69"/>
        <v>3.8790097238320942</v>
      </c>
      <c r="M153" s="4">
        <f t="shared" si="70"/>
        <v>1.3342898126627674</v>
      </c>
      <c r="N153" s="4">
        <f t="shared" si="71"/>
        <v>0.47081864867740647</v>
      </c>
      <c r="O153" s="4">
        <f t="shared" si="71"/>
        <v>0</v>
      </c>
      <c r="P153" s="22">
        <f t="shared" si="72"/>
        <v>-1.5290275368397441</v>
      </c>
      <c r="Q153" s="22">
        <f t="shared" si="73"/>
        <v>-4.1795254786781477</v>
      </c>
      <c r="R153" s="22">
        <f t="shared" si="74"/>
        <v>2.3025647752292673</v>
      </c>
    </row>
    <row r="154" spans="1:18" ht="15.75" thickTop="1" x14ac:dyDescent="0.25">
      <c r="P154" s="4">
        <f>SUM(P146:P153)</f>
        <v>-3.9180588773731033</v>
      </c>
      <c r="Q154" s="4">
        <f t="shared" ref="Q154:R154" si="75">SUM(Q146:Q153)</f>
        <v>-11.57247987448344</v>
      </c>
      <c r="R154" s="4">
        <f t="shared" si="75"/>
        <v>-3.190548066102572E-2</v>
      </c>
    </row>
    <row r="156" spans="1:18" x14ac:dyDescent="0.25">
      <c r="O156" t="s">
        <v>96</v>
      </c>
      <c r="P156" s="1">
        <f>-1*R154/P154</f>
        <v>-8.1431856078735161E-3</v>
      </c>
    </row>
    <row r="157" spans="1:18" x14ac:dyDescent="0.25">
      <c r="O157" t="s">
        <v>97</v>
      </c>
      <c r="P157" s="1">
        <f>Q154/P154</f>
        <v>2.9536258225507601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89.99999839397428</v>
      </c>
      <c r="C159" t="s">
        <v>36</v>
      </c>
    </row>
    <row r="160" spans="1:18" x14ac:dyDescent="0.25">
      <c r="A160" s="1" t="s">
        <v>106</v>
      </c>
      <c r="B160" s="4">
        <f>Q140+I122+Q154-O122</f>
        <v>843.78414416926853</v>
      </c>
      <c r="C160" t="s">
        <v>102</v>
      </c>
    </row>
    <row r="161" spans="1:9" x14ac:dyDescent="0.25">
      <c r="A161" s="1" t="s">
        <v>107</v>
      </c>
      <c r="B161" s="4">
        <f>R140+J122+R154-P122</f>
        <v>5.3197597764758209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89.99999839397428</v>
      </c>
      <c r="C164" t="s">
        <v>36</v>
      </c>
      <c r="E164" s="8">
        <f>B2-B164</f>
        <v>1.6060257195249505E-6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-439.99999434371762</v>
      </c>
      <c r="C165" t="s">
        <v>102</v>
      </c>
      <c r="E165" s="8">
        <f>B3+B165</f>
        <v>5.6562823829153785E-6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-719.99999081463386</v>
      </c>
      <c r="C166" t="s">
        <v>102</v>
      </c>
      <c r="E166" s="8">
        <f>B4+B166</f>
        <v>9.1853661388086039E-6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2.0176467341011102</v>
      </c>
      <c r="B169" s="1">
        <f>IF(E122=0,0,(MIN(H110:H121)*B65)/(B55*B56*E122))</f>
        <v>-2.0176467640276474</v>
      </c>
      <c r="C169" s="3">
        <f>A169+B169</f>
        <v>-2.9926537248314844E-8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-3.1528488944641722E-8</v>
      </c>
      <c r="C175" s="27">
        <f>B65*SQRT(I175)</f>
        <v>1.3864791485444477E-7</v>
      </c>
      <c r="D175" s="27">
        <f>B66*SQRT(I175)</f>
        <v>2.9926537313868319E-8</v>
      </c>
      <c r="E175" s="27">
        <f>B67*SQRT(I175)</f>
        <v>9.5578030645205034E-8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-2.1256503225436187</v>
      </c>
      <c r="C176" s="3">
        <f>B65+C175</f>
        <v>9.3476406512161105</v>
      </c>
      <c r="D176" s="3">
        <f>D175+B66</f>
        <v>2.0176467640276474</v>
      </c>
      <c r="E176" s="3">
        <f>B67+E175</f>
        <v>6.4438696071285078</v>
      </c>
      <c r="F176" s="16" t="s">
        <v>125</v>
      </c>
    </row>
    <row r="177" spans="1:13" x14ac:dyDescent="0.25">
      <c r="B177" s="27">
        <f>B176-B64</f>
        <v>-3.1528489152776729E-8</v>
      </c>
      <c r="C177" s="27">
        <f>C176-B65</f>
        <v>1.3864791448270353E-7</v>
      </c>
      <c r="D177" s="27">
        <f>D176-B66</f>
        <v>2.9926537248314844E-8</v>
      </c>
      <c r="E177" s="27">
        <f>E176-B67</f>
        <v>9.5578030823162408E-8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-53.665603716903213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10.681930313218608</v>
      </c>
      <c r="B181" s="25">
        <f>(d_alpha_p!E136-d_alpha_m!E136)/(2*B177)</f>
        <v>6.317617343414712</v>
      </c>
      <c r="C181" s="25">
        <f>(d_alpha_p!E137-d_alpha_m!E137)/(2*B177)</f>
        <v>-1.7474701548031415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-1.6060257195249505E-6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-5.6562823829153785E-6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-9.1853661388086039E-6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2.9926537248314844E-8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-53.665603716903213</v>
      </c>
      <c r="B190" s="25">
        <f>A181</f>
        <v>10.681930313218608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6.317617343414712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-1.7474701548031415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-53.665603716903213</v>
      </c>
      <c r="B201" s="25">
        <f t="shared" ref="B201:C201" si="77">B190</f>
        <v>10.681930313218608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6.317617343414712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-1.7474701548031415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720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0.82210018496084025</v>
      </c>
      <c r="J4" t="s">
        <v>11</v>
      </c>
    </row>
    <row r="5" spans="1:29" x14ac:dyDescent="0.25">
      <c r="A5" s="10" t="s">
        <v>104</v>
      </c>
      <c r="B5" s="20">
        <f>ATAN2(B3,B4)</f>
        <v>1.0222469243443686</v>
      </c>
      <c r="C5" t="s">
        <v>19</v>
      </c>
      <c r="I5">
        <f>SUM(I2:I4)</f>
        <v>1.5960937682038825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0.34052504624021007</v>
      </c>
      <c r="AC14">
        <f>$I$2+AA14+AB14</f>
        <v>0.10972951453111424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0.82210018496084025</v>
      </c>
      <c r="AC15">
        <f t="shared" ref="AC15:AC20" si="12">$I$2+AA15+AB15</f>
        <v>0.88560057135879622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0.82210018496084025</v>
      </c>
      <c r="AC16">
        <f t="shared" si="12"/>
        <v>1.3017978500968308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0.34052504624021007</v>
      </c>
      <c r="AC17">
        <f t="shared" si="12"/>
        <v>1.1145186294832525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-0.34052504624021007</v>
      </c>
      <c r="AC18">
        <f t="shared" si="12"/>
        <v>0.43346853700283228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-0.82210018496084025</v>
      </c>
      <c r="AC19">
        <f t="shared" si="12"/>
        <v>-0.34240251982484976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-0.82210018496084025</v>
      </c>
      <c r="AC20">
        <f t="shared" si="12"/>
        <v>-0.75859979856288429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-0.34052504624021007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2.4852813742385709</v>
      </c>
      <c r="C33" s="17">
        <f>'Rigid Bearing Plate Analysis'!C33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Analysis'!E55</f>
        <v>10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-2.1256503225436187</v>
      </c>
      <c r="C64" t="s">
        <v>19</v>
      </c>
      <c r="D64" t="s">
        <v>34</v>
      </c>
      <c r="H64" s="17">
        <f>DEGREES(B64)</f>
        <v>-121.79079220237151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9.3476405125681961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2.0176467640276479</v>
      </c>
      <c r="C66" t="s">
        <v>11</v>
      </c>
      <c r="D66">
        <f>B66/B53</f>
        <v>6.4626321495622914E-4</v>
      </c>
      <c r="I66" s="20"/>
    </row>
    <row r="67" spans="1:18" x14ac:dyDescent="0.25">
      <c r="A67" s="1" t="s">
        <v>37</v>
      </c>
      <c r="B67" s="17">
        <f>'Rigid Bearing Plate Analysis'!B67</f>
        <v>6.4438695115504769</v>
      </c>
      <c r="C67" t="s">
        <v>36</v>
      </c>
      <c r="D67" t="s">
        <v>122</v>
      </c>
      <c r="G67" s="20">
        <f>($B$56*$B$66*$B$55*$E$122)/$B$65</f>
        <v>6.4438695156699008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-11.681930270135865</v>
      </c>
      <c r="R76">
        <f>Q76</f>
        <v>-11.681930270135865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11.681930270135865</v>
      </c>
      <c r="R77">
        <f>Q77</f>
        <v>11.681930270135865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10.681930270135862</v>
      </c>
      <c r="C84" s="1">
        <f t="shared" ref="C84:C92" si="23">(-1*B73*SIN($B$64))+(C73*COS($B$64))</f>
        <v>1.7474705231665966</v>
      </c>
      <c r="H84" s="1">
        <f t="shared" ref="H84:H92" si="24">H73</f>
        <v>1</v>
      </c>
      <c r="I84" s="4">
        <f>(I73*COS($B$64))+(J73*SIN($B$64))</f>
        <v>4.2727721080543457</v>
      </c>
      <c r="J84" s="1">
        <f>(-1*I73*SIN($B$64))+(J73*COS($B$64))</f>
        <v>0.69898820926663929</v>
      </c>
    </row>
    <row r="85" spans="1:10" x14ac:dyDescent="0.25">
      <c r="A85" s="1">
        <f t="shared" si="21"/>
        <v>2</v>
      </c>
      <c r="B85" s="4">
        <f t="shared" si="22"/>
        <v>6.3176170733202106</v>
      </c>
      <c r="C85" s="1">
        <f t="shared" si="23"/>
        <v>8.788913587029624</v>
      </c>
      <c r="H85" s="1">
        <f t="shared" si="24"/>
        <v>2</v>
      </c>
      <c r="I85" s="4">
        <f t="shared" ref="I85:I92" si="25">(I74*COS($B$64))+(J74*SIN($B$64))</f>
        <v>3.5155654348118506</v>
      </c>
      <c r="J85" s="1">
        <f t="shared" ref="J85:J92" si="26">(-1*I74*SIN($B$64))+(J74*COS($B$64))</f>
        <v>-2.5270468293280848</v>
      </c>
    </row>
    <row r="86" spans="1:10" x14ac:dyDescent="0.25">
      <c r="A86" s="1">
        <f t="shared" si="21"/>
        <v>3</v>
      </c>
      <c r="B86" s="4">
        <f t="shared" si="22"/>
        <v>-1.7474705231666001</v>
      </c>
      <c r="C86" s="1">
        <f t="shared" si="23"/>
        <v>10.681930270135862</v>
      </c>
      <c r="H86" s="1">
        <f t="shared" si="24"/>
        <v>3</v>
      </c>
      <c r="I86" s="4">
        <f t="shared" si="25"/>
        <v>0.69898820926663818</v>
      </c>
      <c r="J86" s="1">
        <f t="shared" si="26"/>
        <v>-4.2727721080543457</v>
      </c>
    </row>
    <row r="87" spans="1:10" x14ac:dyDescent="0.25">
      <c r="A87" s="1">
        <f t="shared" si="21"/>
        <v>4</v>
      </c>
      <c r="B87" s="4">
        <f t="shared" si="22"/>
        <v>-8.7889135870296258</v>
      </c>
      <c r="C87" s="1">
        <f t="shared" si="23"/>
        <v>6.3176170733202115</v>
      </c>
      <c r="H87" s="1">
        <f t="shared" si="24"/>
        <v>4</v>
      </c>
      <c r="I87" s="4">
        <f t="shared" si="25"/>
        <v>-2.5270468293280852</v>
      </c>
      <c r="J87" s="1">
        <f t="shared" si="26"/>
        <v>-3.5155654348118492</v>
      </c>
    </row>
    <row r="88" spans="1:10" x14ac:dyDescent="0.25">
      <c r="A88" s="1">
        <f t="shared" si="21"/>
        <v>5</v>
      </c>
      <c r="B88" s="4">
        <f t="shared" si="22"/>
        <v>-10.681930270135865</v>
      </c>
      <c r="C88" s="1">
        <f t="shared" si="23"/>
        <v>-1.7474705231665983</v>
      </c>
      <c r="H88" s="1">
        <f t="shared" si="24"/>
        <v>5</v>
      </c>
      <c r="I88" s="4">
        <f t="shared" si="25"/>
        <v>-4.2727721080543457</v>
      </c>
      <c r="J88" s="1">
        <f t="shared" si="26"/>
        <v>-0.69898820926663885</v>
      </c>
    </row>
    <row r="89" spans="1:10" x14ac:dyDescent="0.25">
      <c r="A89" s="1">
        <f t="shared" si="21"/>
        <v>6</v>
      </c>
      <c r="B89" s="4">
        <f t="shared" si="22"/>
        <v>-6.3176170733202142</v>
      </c>
      <c r="C89" s="1">
        <f t="shared" si="23"/>
        <v>-8.7889135870296258</v>
      </c>
      <c r="H89" s="1">
        <f t="shared" si="24"/>
        <v>6</v>
      </c>
      <c r="I89" s="4">
        <f t="shared" si="25"/>
        <v>-3.5155654348118506</v>
      </c>
      <c r="J89" s="1">
        <f t="shared" si="26"/>
        <v>2.5270468293280848</v>
      </c>
    </row>
    <row r="90" spans="1:10" x14ac:dyDescent="0.25">
      <c r="A90" s="1">
        <f t="shared" si="21"/>
        <v>7</v>
      </c>
      <c r="B90" s="4">
        <f t="shared" si="22"/>
        <v>1.7474705231665961</v>
      </c>
      <c r="C90" s="1">
        <f t="shared" si="23"/>
        <v>-10.681930270135865</v>
      </c>
      <c r="H90" s="1">
        <f t="shared" si="24"/>
        <v>7</v>
      </c>
      <c r="I90" s="4">
        <f t="shared" si="25"/>
        <v>-0.69898820926663974</v>
      </c>
      <c r="J90" s="1">
        <f t="shared" si="26"/>
        <v>4.2727721080543448</v>
      </c>
    </row>
    <row r="91" spans="1:10" x14ac:dyDescent="0.25">
      <c r="A91" s="1">
        <f t="shared" si="21"/>
        <v>8</v>
      </c>
      <c r="B91" s="4">
        <f t="shared" si="22"/>
        <v>8.7889135870296222</v>
      </c>
      <c r="C91" s="1">
        <f t="shared" si="23"/>
        <v>-6.3176170733202142</v>
      </c>
      <c r="H91" s="1">
        <f t="shared" si="24"/>
        <v>8</v>
      </c>
      <c r="I91" s="4">
        <f t="shared" si="25"/>
        <v>2.5270468293280848</v>
      </c>
      <c r="J91" s="1">
        <f t="shared" si="26"/>
        <v>3.5155654348118501</v>
      </c>
    </row>
    <row r="92" spans="1:10" x14ac:dyDescent="0.25">
      <c r="A92" s="1">
        <f t="shared" si="21"/>
        <v>9</v>
      </c>
      <c r="B92" s="4">
        <f t="shared" si="22"/>
        <v>10.681930270135862</v>
      </c>
      <c r="C92" s="1">
        <f t="shared" si="23"/>
        <v>1.7474705231665966</v>
      </c>
      <c r="H92" s="1">
        <f t="shared" si="24"/>
        <v>9</v>
      </c>
      <c r="I92" s="4">
        <f t="shared" si="25"/>
        <v>4.2727721080543457</v>
      </c>
      <c r="J92" s="1">
        <f t="shared" si="26"/>
        <v>0.69898820926663929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160</v>
      </c>
      <c r="O109" t="s">
        <v>158</v>
      </c>
      <c r="P109" t="s">
        <v>159</v>
      </c>
    </row>
    <row r="110" spans="1:16" x14ac:dyDescent="0.25">
      <c r="A110">
        <f>A95</f>
        <v>1</v>
      </c>
      <c r="B110" s="1">
        <f>(B95*COS($B$64))+(C95*SIN($B$64))</f>
        <v>-4.4779632468333945</v>
      </c>
      <c r="C110" s="1">
        <f>(-1*B95*SIN($B$64))+(C95*COS($B$64))</f>
        <v>7.2248076209688321</v>
      </c>
      <c r="D110" t="str">
        <f t="shared" ref="D110" si="31">D95</f>
        <v>y</v>
      </c>
      <c r="E110" s="4">
        <f t="shared" ref="E110:E121" si="32">IF($D110="y",$B$125-C110,0)</f>
        <v>-5.8905178634011666</v>
      </c>
      <c r="F110" s="1">
        <f>IF($D110="y",B110,NA())</f>
        <v>-4.4779632468333945</v>
      </c>
      <c r="G110" s="1">
        <f>IF($D110="y",C110,NA())</f>
        <v>7.2248076209688321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>H110/$B$55</f>
        <v>0</v>
      </c>
      <c r="L110">
        <f>K110/$B$54</f>
        <v>0</v>
      </c>
      <c r="M110">
        <f t="shared" ref="M110:M121" si="34">IFERROR(($D$66/$B$65)*(G110-$B$125),0)</f>
        <v>4.0724983026896891E-4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-8.2751086392953326</v>
      </c>
      <c r="C111" s="1">
        <f t="shared" ref="C111:C121" si="37">(-1*B96*SIN($B$64))+(C96*COS($B$64))</f>
        <v>1.9423122838152866</v>
      </c>
      <c r="D111" t="str">
        <f t="shared" si="35"/>
        <v>y</v>
      </c>
      <c r="E111" s="4">
        <f t="shared" si="32"/>
        <v>-0.6080225262476211</v>
      </c>
      <c r="F111" s="1">
        <f t="shared" ref="F111:G121" si="38">IF($D111="y",B111,NA())</f>
        <v>-8.2751086392953326</v>
      </c>
      <c r="G111" s="1">
        <f t="shared" si="38"/>
        <v>1.9423122838152866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>H111/$B$55</f>
        <v>0</v>
      </c>
      <c r="L111">
        <f t="shared" ref="L111:L121" si="41">K111/$B$54</f>
        <v>0</v>
      </c>
      <c r="M111">
        <f t="shared" si="34"/>
        <v>4.203655372179452E-5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-7.2248076209688339</v>
      </c>
      <c r="C112" s="1">
        <f t="shared" si="37"/>
        <v>-4.4779632468333954</v>
      </c>
      <c r="D112" t="str">
        <f t="shared" si="35"/>
        <v>y</v>
      </c>
      <c r="E112" s="4">
        <f t="shared" si="32"/>
        <v>5.812253004401061</v>
      </c>
      <c r="F112" s="1">
        <f t="shared" si="38"/>
        <v>-7.2248076209688339</v>
      </c>
      <c r="G112" s="1">
        <f t="shared" si="38"/>
        <v>-4.4779632468333954</v>
      </c>
      <c r="H112">
        <f t="shared" si="33"/>
        <v>-3.8975800962424838</v>
      </c>
      <c r="I112">
        <f t="shared" si="39"/>
        <v>17.453220422563209</v>
      </c>
      <c r="J112">
        <f t="shared" si="40"/>
        <v>-28.159266382669138</v>
      </c>
      <c r="K112">
        <f t="shared" ref="K112:K121" si="45">H112/$B$55</f>
        <v>-11.653327259861475</v>
      </c>
      <c r="L112">
        <f t="shared" si="41"/>
        <v>-4.0183887102970606E-4</v>
      </c>
      <c r="M112">
        <f t="shared" si="34"/>
        <v>-4.0183887128659274E-4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-1.9423122838152871</v>
      </c>
      <c r="C113" s="1">
        <f t="shared" si="37"/>
        <v>-8.2751086392953326</v>
      </c>
      <c r="D113" t="str">
        <f t="shared" si="35"/>
        <v>y</v>
      </c>
      <c r="E113" s="4">
        <f t="shared" si="32"/>
        <v>9.6093983968629981</v>
      </c>
      <c r="F113" s="1">
        <f t="shared" si="38"/>
        <v>-1.9423122838152871</v>
      </c>
      <c r="G113" s="1">
        <f t="shared" si="38"/>
        <v>-8.2751086392953326</v>
      </c>
      <c r="H113">
        <f t="shared" si="33"/>
        <v>-6.4438695115504769</v>
      </c>
      <c r="I113">
        <f t="shared" si="39"/>
        <v>53.32372026552315</v>
      </c>
      <c r="J113">
        <f t="shared" si="40"/>
        <v>-12.516006907587306</v>
      </c>
      <c r="K113">
        <f t="shared" si="45"/>
        <v>-19.266446970605021</v>
      </c>
      <c r="L113">
        <f t="shared" si="41"/>
        <v>-6.6436024036569037E-4</v>
      </c>
      <c r="M113">
        <f t="shared" si="34"/>
        <v>-6.6436024079040109E-4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4.4779632468333945</v>
      </c>
      <c r="C114" s="1">
        <f t="shared" si="37"/>
        <v>-7.2248076209688321</v>
      </c>
      <c r="D114" t="str">
        <f t="shared" si="35"/>
        <v>y</v>
      </c>
      <c r="E114" s="4">
        <f t="shared" si="32"/>
        <v>8.5590973785364977</v>
      </c>
      <c r="F114" s="1">
        <f t="shared" si="38"/>
        <v>4.4779632468333945</v>
      </c>
      <c r="G114" s="1">
        <f t="shared" si="38"/>
        <v>-7.2248076209688321</v>
      </c>
      <c r="H114">
        <f t="shared" si="33"/>
        <v>-5.7395587492707092</v>
      </c>
      <c r="I114">
        <f t="shared" si="39"/>
        <v>41.467207792729361</v>
      </c>
      <c r="J114">
        <f t="shared" si="40"/>
        <v>25.701533132275284</v>
      </c>
      <c r="K114">
        <f t="shared" si="45"/>
        <v>-17.160636800494277</v>
      </c>
      <c r="L114">
        <f t="shared" si="41"/>
        <v>-5.9174609656876816E-4</v>
      </c>
      <c r="M114">
        <f t="shared" si="34"/>
        <v>-5.9174609694705833E-4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8.2751086392953326</v>
      </c>
      <c r="C115" s="1">
        <f t="shared" si="37"/>
        <v>-1.942312283815288</v>
      </c>
      <c r="D115" t="str">
        <f t="shared" si="35"/>
        <v>y</v>
      </c>
      <c r="E115" s="4">
        <f t="shared" si="32"/>
        <v>3.2766020413829535</v>
      </c>
      <c r="F115" s="1">
        <f t="shared" si="38"/>
        <v>8.2751086392953326</v>
      </c>
      <c r="G115" s="1">
        <f t="shared" si="38"/>
        <v>-1.942312283815288</v>
      </c>
      <c r="H115">
        <f t="shared" si="33"/>
        <v>-2.197223501821338</v>
      </c>
      <c r="I115">
        <f t="shared" si="39"/>
        <v>4.2676941978752279</v>
      </c>
      <c r="J115">
        <f t="shared" si="40"/>
        <v>18.182263182384499</v>
      </c>
      <c r="K115">
        <f t="shared" si="45"/>
        <v>-6.5694517873969307</v>
      </c>
      <c r="L115">
        <f t="shared" si="41"/>
        <v>-2.2653282025506658E-4</v>
      </c>
      <c r="M115">
        <f t="shared" si="34"/>
        <v>-2.2653282039988401E-4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7.2248076209688321</v>
      </c>
      <c r="C116" s="1">
        <f t="shared" si="37"/>
        <v>4.4779632468333945</v>
      </c>
      <c r="D116" t="str">
        <f t="shared" si="35"/>
        <v>y</v>
      </c>
      <c r="E116" s="4">
        <f t="shared" si="32"/>
        <v>-3.143673489265729</v>
      </c>
      <c r="F116" s="1">
        <f t="shared" si="38"/>
        <v>7.2248076209688321</v>
      </c>
      <c r="G116" s="1">
        <f t="shared" si="38"/>
        <v>4.4779632468333945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si="45"/>
        <v>0</v>
      </c>
      <c r="L116">
        <f t="shared" si="41"/>
        <v>0</v>
      </c>
      <c r="M116">
        <f t="shared" si="34"/>
        <v>2.173426046085033E-4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1.9423122838152884</v>
      </c>
      <c r="C117" s="1">
        <f t="shared" si="37"/>
        <v>8.2751086392953326</v>
      </c>
      <c r="D117" t="str">
        <f t="shared" si="35"/>
        <v>y</v>
      </c>
      <c r="E117" s="4">
        <f t="shared" si="32"/>
        <v>-6.940818881727667</v>
      </c>
      <c r="F117" s="1">
        <f t="shared" si="38"/>
        <v>1.9423122838152884</v>
      </c>
      <c r="G117" s="1">
        <f t="shared" si="38"/>
        <v>8.2751086392953326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si="45"/>
        <v>0</v>
      </c>
      <c r="L117">
        <f t="shared" si="41"/>
        <v>0</v>
      </c>
      <c r="M117">
        <f t="shared" si="34"/>
        <v>4.7986397411231172E-4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10.681930270135862</v>
      </c>
      <c r="C118" s="1">
        <f t="shared" si="37"/>
        <v>1.7474705231665966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si="45"/>
        <v>0</v>
      </c>
      <c r="L118">
        <f t="shared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10.681930270135862</v>
      </c>
      <c r="C119" s="1">
        <f t="shared" si="37"/>
        <v>1.7474705231665966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si="45"/>
        <v>0</v>
      </c>
      <c r="L119">
        <f t="shared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10.681930270135862</v>
      </c>
      <c r="C120" s="1">
        <f t="shared" si="37"/>
        <v>1.7474705231665966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si="45"/>
        <v>0</v>
      </c>
      <c r="L120">
        <f t="shared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10.681930270135862</v>
      </c>
      <c r="C121" s="1">
        <f t="shared" si="37"/>
        <v>1.7474705231665966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si="45"/>
        <v>0</v>
      </c>
      <c r="L121">
        <f t="shared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9.6093983968629981</v>
      </c>
      <c r="H122">
        <f>SUM(H110:H121)</f>
        <v>-18.278231858885007</v>
      </c>
      <c r="I122">
        <f t="shared" ref="I122:J122" si="46">SUM(I110:I121)</f>
        <v>116.51184267869094</v>
      </c>
      <c r="J122">
        <f t="shared" si="46"/>
        <v>3.2085230244033411</v>
      </c>
      <c r="L122">
        <f>MIN(L110:L121)</f>
        <v>-6.6436024036569037E-4</v>
      </c>
      <c r="M122">
        <f>MIN(M110:M121)</f>
        <v>-6.6436024079040109E-4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1.3342897575676655</v>
      </c>
      <c r="F125" s="1" t="s">
        <v>27</v>
      </c>
      <c r="G125" s="1" t="s">
        <v>28</v>
      </c>
    </row>
    <row r="126" spans="1:16" x14ac:dyDescent="0.25">
      <c r="F126" s="4">
        <f>MIN(B84:B90)-1</f>
        <v>-11.681930270135865</v>
      </c>
      <c r="G126" s="4">
        <f>B125</f>
        <v>1.3342897575676655</v>
      </c>
    </row>
    <row r="127" spans="1:16" x14ac:dyDescent="0.25">
      <c r="F127" s="4">
        <f>MAX(B84:B90)+1</f>
        <v>11.681930270135862</v>
      </c>
      <c r="G127" s="4">
        <f>G126</f>
        <v>1.3342897575676655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10.681930270135862</v>
      </c>
      <c r="C132" s="4">
        <f>C84</f>
        <v>1.7474705231665966</v>
      </c>
      <c r="D132" s="4">
        <f t="shared" ref="D132:E139" si="47">B85</f>
        <v>6.3176170733202106</v>
      </c>
      <c r="E132" s="4">
        <f t="shared" si="47"/>
        <v>8.788913587029624</v>
      </c>
      <c r="F132" s="4">
        <f t="shared" ref="F132:F139" si="48">($B$66/$B$65)*(C132-$B$125)</f>
        <v>8.9183236512815928E-2</v>
      </c>
      <c r="G132" s="4">
        <f t="shared" ref="G132:G139" si="49">($B$66/$B$65)*(E132-$B$125)</f>
        <v>1.6090475052324156</v>
      </c>
      <c r="H132" s="4">
        <f>IF(B132=D132,"V",(C132-E132)/(B132-D132))</f>
        <v>-1.6134137827231787</v>
      </c>
      <c r="I132" s="4">
        <f>IF(H132="V",0,(-1*B132*H132)+C132)</f>
        <v>18.981844047091723</v>
      </c>
      <c r="J132" s="4">
        <f>IF($F132&gt;=0,B132,IF(AND($F132&lt;0,$G132&gt;=0),IF(H132="V",B132,($B$125-I132)/H132),0))</f>
        <v>10.681930270135862</v>
      </c>
      <c r="K132" s="4">
        <f>IF($F132&gt;=0,C132,IF(AND($F132&lt;0,$G132&gt;=0),$B$125,0))</f>
        <v>1.7474705231665966</v>
      </c>
      <c r="L132" s="4">
        <f>IF($G132&gt;=0,D132,IF(AND($G132&lt;0,$F132&gt;=0),IF(H132="V",D132,($B$125-I132)/H132),0))</f>
        <v>6.3176170733202106</v>
      </c>
      <c r="M132" s="4">
        <f>IF($G132&gt;=0,E132,IF(AND($G132&lt;0,$F132&gt;=0),$B$125,0))</f>
        <v>8.788913587029624</v>
      </c>
      <c r="N132" s="4">
        <f>IF(F132&lt;0,0,F132)</f>
        <v>8.9183236512815928E-2</v>
      </c>
      <c r="O132" s="4">
        <f>IF(G132&lt;0,0,G132)</f>
        <v>1.6090475052324156</v>
      </c>
      <c r="P132" s="4">
        <f>(1/6)*(M132-K132)*((N132*((2*J132)+L132))+(O132*(J132+(2*L132))))</f>
        <v>46.92787216037992</v>
      </c>
      <c r="Q132" s="4">
        <f>((1/12)*(M132-K132)*(N132*J132*((3*K132)+M132)+N132*L132*(K132+M132)+O132*J132*(K132+M132)+O132*L132*(K132+(3*M132))))</f>
        <v>285.29031023056802</v>
      </c>
      <c r="R132" s="4">
        <f>((-1/24)*(M132-K132)*(J132*J132*((3*N132)+O132)+2*J132*L132*(N132+O132)+L132*L132*(N132+(3*O132))))</f>
        <v>-187.64164750026413</v>
      </c>
    </row>
    <row r="133" spans="1:18" x14ac:dyDescent="0.25">
      <c r="A133" t="s">
        <v>70</v>
      </c>
      <c r="B133" s="4">
        <f t="shared" ref="B133:C138" si="50">D132</f>
        <v>6.3176170733202106</v>
      </c>
      <c r="C133" s="4">
        <f t="shared" si="50"/>
        <v>8.788913587029624</v>
      </c>
      <c r="D133" s="4">
        <f t="shared" si="47"/>
        <v>-1.7474705231666001</v>
      </c>
      <c r="E133" s="4">
        <f t="shared" si="47"/>
        <v>10.681930270135862</v>
      </c>
      <c r="F133" s="4">
        <f t="shared" si="48"/>
        <v>1.6090475052324156</v>
      </c>
      <c r="G133" s="4">
        <f t="shared" si="49"/>
        <v>2.0176467640276479</v>
      </c>
      <c r="H133" s="4">
        <f t="shared" ref="H133:H139" si="51">IF(B133=D133,"V",(C133-E133)/(B133-D133))</f>
        <v>-0.23471743616657612</v>
      </c>
      <c r="I133" s="4">
        <f t="shared" ref="I133:I139" si="52">IF(H133="V",0,(-1*B133*H133)+C133)</f>
        <v>10.271768469161533</v>
      </c>
      <c r="J133" s="4">
        <f t="shared" ref="J133:J139" si="53">IF($F133&gt;=0,B133,IF(AND($F133&lt;0,$G133&gt;=0),IF(H133="V",B133,($B$125-I133)/H133),0))</f>
        <v>6.3176170733202106</v>
      </c>
      <c r="K133" s="4">
        <f t="shared" ref="K133:K139" si="54">IF($F133&gt;=0,C133,IF(AND($F133&lt;0,$G133&gt;=0),$B$125,0))</f>
        <v>8.788913587029624</v>
      </c>
      <c r="L133" s="4">
        <f t="shared" ref="L133:L139" si="55">IF($G133&gt;=0,D133,IF(AND($G133&lt;0,$F133&gt;=0),IF(H133="V",D133,($B$125-I133)/H133),0))</f>
        <v>-1.7474705231666001</v>
      </c>
      <c r="M133" s="4">
        <f t="shared" ref="M133:M139" si="56">IF($G133&gt;=0,E133,IF(AND($G133&lt;0,$F133&gt;=0),$B$125,0))</f>
        <v>10.681930270135862</v>
      </c>
      <c r="N133" s="4">
        <f t="shared" ref="N133:O139" si="57">IF(F133&lt;0,0,F133)</f>
        <v>1.6090475052324156</v>
      </c>
      <c r="O133" s="4">
        <f t="shared" si="57"/>
        <v>2.0176467640276479</v>
      </c>
      <c r="P133" s="4">
        <f t="shared" ref="P133:P139" si="58">(1/6)*(M133-K133)*((N133*((2*J133)+L133))+(O133*(J133+(2*L133))))</f>
        <v>7.324110588230563</v>
      </c>
      <c r="Q133" s="4">
        <f t="shared" ref="Q133:Q139" si="59">((1/12)*(M133-K133)*(N133*J133*((3*K133)+M133)+N133*L133*(K133+M133)+O133*J133*(K133+M133)+O133*L133*(K133+(3*M133))))</f>
        <v>67.214780976162785</v>
      </c>
      <c r="R133" s="4">
        <f t="shared" ref="R133:R139" si="60">((-1/24)*(M133-K133)*(J133*J133*((3*N133)+O133)+2*J133*L133*(N133+O133)+L133*L133*(N133+(3*O133))))</f>
        <v>-17.077528111261845</v>
      </c>
    </row>
    <row r="134" spans="1:18" x14ac:dyDescent="0.25">
      <c r="A134" t="s">
        <v>71</v>
      </c>
      <c r="B134" s="4">
        <f t="shared" si="50"/>
        <v>-1.7474705231666001</v>
      </c>
      <c r="C134" s="4">
        <f t="shared" si="50"/>
        <v>10.681930270135862</v>
      </c>
      <c r="D134" s="4">
        <f t="shared" si="47"/>
        <v>-8.7889135870296258</v>
      </c>
      <c r="E134" s="4">
        <f t="shared" si="47"/>
        <v>6.3176170733202115</v>
      </c>
      <c r="F134" s="4">
        <f t="shared" si="48"/>
        <v>2.0176467640276479</v>
      </c>
      <c r="G134" s="4">
        <f t="shared" si="49"/>
        <v>1.0756291086718612</v>
      </c>
      <c r="H134" s="4">
        <f t="shared" si="51"/>
        <v>0.61980380402612134</v>
      </c>
      <c r="I134" s="4">
        <f t="shared" si="52"/>
        <v>11.765019147818037</v>
      </c>
      <c r="J134" s="4">
        <f t="shared" si="53"/>
        <v>-1.7474705231666001</v>
      </c>
      <c r="K134" s="4">
        <f t="shared" si="54"/>
        <v>10.681930270135862</v>
      </c>
      <c r="L134" s="4">
        <f t="shared" si="55"/>
        <v>-8.7889135870296258</v>
      </c>
      <c r="M134" s="4">
        <f t="shared" si="56"/>
        <v>6.3176170733202115</v>
      </c>
      <c r="N134" s="4">
        <f t="shared" si="57"/>
        <v>2.0176467640276479</v>
      </c>
      <c r="O134" s="4">
        <f t="shared" si="57"/>
        <v>1.0756291086718612</v>
      </c>
      <c r="P134" s="4">
        <f t="shared" si="58"/>
        <v>33.147927816595882</v>
      </c>
      <c r="Q134" s="4">
        <f t="shared" si="59"/>
        <v>272.34081767403188</v>
      </c>
      <c r="R134" s="4">
        <f t="shared" si="60"/>
        <v>94.905183732746721</v>
      </c>
    </row>
    <row r="135" spans="1:18" x14ac:dyDescent="0.25">
      <c r="A135" t="s">
        <v>72</v>
      </c>
      <c r="B135" s="4">
        <f t="shared" si="50"/>
        <v>-8.7889135870296258</v>
      </c>
      <c r="C135" s="4">
        <f t="shared" si="50"/>
        <v>6.3176170733202115</v>
      </c>
      <c r="D135" s="4">
        <f t="shared" si="47"/>
        <v>-10.681930270135865</v>
      </c>
      <c r="E135" s="4">
        <f t="shared" si="47"/>
        <v>-1.7474705231665983</v>
      </c>
      <c r="F135" s="4">
        <f t="shared" si="48"/>
        <v>1.0756291086718612</v>
      </c>
      <c r="G135" s="4">
        <f t="shared" si="49"/>
        <v>-0.66518429432242898</v>
      </c>
      <c r="H135" s="4">
        <f t="shared" si="51"/>
        <v>4.2604419012582913</v>
      </c>
      <c r="I135" s="4">
        <f t="shared" si="52"/>
        <v>43.762272786039539</v>
      </c>
      <c r="J135" s="4">
        <f t="shared" si="53"/>
        <v>-8.7889135870296258</v>
      </c>
      <c r="K135" s="4">
        <f t="shared" si="54"/>
        <v>6.3176170733202115</v>
      </c>
      <c r="L135" s="4">
        <f t="shared" si="55"/>
        <v>-9.9585873981619297</v>
      </c>
      <c r="M135" s="4">
        <f t="shared" si="56"/>
        <v>1.3342897575676655</v>
      </c>
      <c r="N135" s="4">
        <f t="shared" si="57"/>
        <v>1.0756291086718612</v>
      </c>
      <c r="O135" s="4">
        <f t="shared" si="57"/>
        <v>0</v>
      </c>
      <c r="P135" s="4">
        <f t="shared" si="58"/>
        <v>24.600169598795691</v>
      </c>
      <c r="Q135" s="4">
        <f t="shared" si="59"/>
        <v>113.68299784159662</v>
      </c>
      <c r="R135" s="4">
        <f t="shared" si="60"/>
        <v>113.00193231591288</v>
      </c>
    </row>
    <row r="136" spans="1:18" x14ac:dyDescent="0.25">
      <c r="A136" t="s">
        <v>73</v>
      </c>
      <c r="B136" s="4">
        <f t="shared" si="50"/>
        <v>-10.681930270135865</v>
      </c>
      <c r="C136" s="4">
        <f t="shared" si="50"/>
        <v>-1.7474705231665983</v>
      </c>
      <c r="D136" s="4">
        <f t="shared" si="47"/>
        <v>-6.3176170733202142</v>
      </c>
      <c r="E136" s="4">
        <f t="shared" si="47"/>
        <v>-8.7889135870296258</v>
      </c>
      <c r="F136" s="4">
        <f t="shared" si="48"/>
        <v>-0.66518429432242898</v>
      </c>
      <c r="G136" s="4">
        <f t="shared" si="49"/>
        <v>-2.1850485630420287</v>
      </c>
      <c r="H136" s="4">
        <f t="shared" si="51"/>
        <v>-1.6134137827231787</v>
      </c>
      <c r="I136" s="4">
        <f t="shared" si="52"/>
        <v>-18.98184404709173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-6.3176170733202142</v>
      </c>
      <c r="C137" s="4">
        <f t="shared" si="50"/>
        <v>-8.7889135870296258</v>
      </c>
      <c r="D137" s="4">
        <f t="shared" si="47"/>
        <v>1.7474705231665961</v>
      </c>
      <c r="E137" s="4">
        <f t="shared" si="47"/>
        <v>-10.681930270135865</v>
      </c>
      <c r="F137" s="4">
        <f t="shared" si="48"/>
        <v>-2.1850485630420287</v>
      </c>
      <c r="G137" s="4">
        <f t="shared" si="49"/>
        <v>-2.5936478218372612</v>
      </c>
      <c r="H137" s="4">
        <f t="shared" si="51"/>
        <v>-0.23471743616657634</v>
      </c>
      <c r="I137" s="4">
        <f t="shared" si="52"/>
        <v>-10.271768469161536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1.7474705231665961</v>
      </c>
      <c r="C138" s="4">
        <f t="shared" si="50"/>
        <v>-10.681930270135865</v>
      </c>
      <c r="D138" s="4">
        <f t="shared" si="47"/>
        <v>8.7889135870296222</v>
      </c>
      <c r="E138" s="4">
        <f t="shared" si="47"/>
        <v>-6.3176170733202142</v>
      </c>
      <c r="F138" s="4">
        <f t="shared" si="48"/>
        <v>-2.5936478218372612</v>
      </c>
      <c r="G138" s="4">
        <f t="shared" si="49"/>
        <v>-1.6516301664814745</v>
      </c>
      <c r="H138" s="4">
        <f t="shared" si="51"/>
        <v>0.61980380402612145</v>
      </c>
      <c r="I138" s="4">
        <f t="shared" si="52"/>
        <v>-11.765019147818037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8.7889135870296222</v>
      </c>
      <c r="C139" s="4">
        <f>E138</f>
        <v>-6.3176170733202142</v>
      </c>
      <c r="D139" s="4">
        <f t="shared" si="47"/>
        <v>10.681930270135862</v>
      </c>
      <c r="E139" s="4">
        <f t="shared" si="47"/>
        <v>1.7474705231665966</v>
      </c>
      <c r="F139" s="4">
        <f t="shared" si="48"/>
        <v>-1.6516301664814745</v>
      </c>
      <c r="G139" s="4">
        <f t="shared" si="49"/>
        <v>8.9183236512815928E-2</v>
      </c>
      <c r="H139" s="4">
        <f t="shared" si="51"/>
        <v>4.2604419012582913</v>
      </c>
      <c r="I139" s="4">
        <f t="shared" si="52"/>
        <v>-43.762272786039524</v>
      </c>
      <c r="J139" s="4">
        <f t="shared" si="53"/>
        <v>10.584949540161137</v>
      </c>
      <c r="K139" s="4">
        <f t="shared" si="54"/>
        <v>1.3342897575676655</v>
      </c>
      <c r="L139" s="4">
        <f t="shared" si="55"/>
        <v>10.681930270135862</v>
      </c>
      <c r="M139" s="4">
        <f t="shared" si="56"/>
        <v>1.7474705231665966</v>
      </c>
      <c r="N139" s="4">
        <f t="shared" si="57"/>
        <v>0</v>
      </c>
      <c r="O139" s="4">
        <f t="shared" si="57"/>
        <v>8.9183236512815928E-2</v>
      </c>
      <c r="P139" s="31">
        <f t="shared" si="58"/>
        <v>0.19621254118464049</v>
      </c>
      <c r="Q139" s="31">
        <f t="shared" si="59"/>
        <v>0.31589289801185955</v>
      </c>
      <c r="R139" s="31">
        <f t="shared" si="60"/>
        <v>-1.0447976824595111</v>
      </c>
    </row>
    <row r="140" spans="1:18" ht="15.75" thickTop="1" x14ac:dyDescent="0.25">
      <c r="P140" s="4">
        <f>SUM(P132:P139)</f>
        <v>112.19629270518669</v>
      </c>
      <c r="Q140" s="4">
        <f>SUM(Q132:Q139)</f>
        <v>738.84479962037108</v>
      </c>
      <c r="R140" s="4">
        <f>SUM(R132:R139)</f>
        <v>2.1431427546741224</v>
      </c>
    </row>
    <row r="142" spans="1:18" x14ac:dyDescent="0.25">
      <c r="O142" t="s">
        <v>96</v>
      </c>
      <c r="P142" s="1">
        <f>-1*R140/P140</f>
        <v>-1.9101725226390191E-2</v>
      </c>
    </row>
    <row r="143" spans="1:18" x14ac:dyDescent="0.25">
      <c r="O143" t="s">
        <v>97</v>
      </c>
      <c r="P143" s="1">
        <f>Q140/P140</f>
        <v>6.5852871053574056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4.2727721080543457</v>
      </c>
      <c r="C146" s="9">
        <f>J84</f>
        <v>0.69898820926663929</v>
      </c>
      <c r="D146" s="9">
        <f t="shared" ref="D146:E153" si="61">I85</f>
        <v>3.5155654348118506</v>
      </c>
      <c r="E146">
        <f t="shared" si="61"/>
        <v>-2.5270468293280848</v>
      </c>
      <c r="F146" s="4">
        <f>($B$66/$B$65)*(C146-$B$125)</f>
        <v>-0.13712702273775729</v>
      </c>
      <c r="G146" s="4">
        <f>($B$66/$B$65)*(E146-$B$125)</f>
        <v>-0.83345238393547338</v>
      </c>
      <c r="H146" s="4">
        <f>IF(B146=D146,"V",(C146-E146)/(B146-D146))</f>
        <v>4.2604419012582948</v>
      </c>
      <c r="I146" s="4">
        <f>IF(H146="V",0,(-1*B146*H146)+C146)</f>
        <v>-17.504909114415831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3.5155654348118506</v>
      </c>
      <c r="C147">
        <f t="shared" si="62"/>
        <v>-2.5270468293280848</v>
      </c>
      <c r="D147" s="9">
        <f t="shared" si="61"/>
        <v>0.69898820926663818</v>
      </c>
      <c r="E147">
        <f t="shared" si="61"/>
        <v>-4.2727721080543457</v>
      </c>
      <c r="F147" s="4">
        <f t="shared" ref="F147:F153" si="63">($B$66/$B$65)*(C147-$B$125)</f>
        <v>-0.83345238393547338</v>
      </c>
      <c r="G147" s="4">
        <f t="shared" ref="G147:G153" si="64">($B$66/$B$65)*(E147-$B$125)</f>
        <v>-1.2102594460777882</v>
      </c>
      <c r="H147" s="4">
        <f t="shared" ref="H147:H153" si="65">IF(B147=D147,"V",(C147-E147)/(B147-D147))</f>
        <v>0.61980380402612123</v>
      </c>
      <c r="I147" s="4">
        <f t="shared" ref="I147:I153" si="66">IF(H147="V",0,(-1*B147*H147)+C147)</f>
        <v>-4.7060076591272146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0.69898820926663818</v>
      </c>
      <c r="C148">
        <f t="shared" si="62"/>
        <v>-4.2727721080543457</v>
      </c>
      <c r="D148" s="9">
        <f t="shared" si="61"/>
        <v>-2.5270468293280852</v>
      </c>
      <c r="E148">
        <f t="shared" si="61"/>
        <v>-3.5155654348118492</v>
      </c>
      <c r="F148" s="4">
        <f t="shared" si="63"/>
        <v>-1.2102594460777882</v>
      </c>
      <c r="G148" s="4">
        <f t="shared" si="64"/>
        <v>-1.046819742559695</v>
      </c>
      <c r="H148" s="4">
        <f t="shared" si="65"/>
        <v>-0.23471743616657659</v>
      </c>
      <c r="I148" s="4">
        <f t="shared" si="66"/>
        <v>-4.1087073876646141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-2.5270468293280852</v>
      </c>
      <c r="C149">
        <f t="shared" si="62"/>
        <v>-3.5155654348118492</v>
      </c>
      <c r="D149" s="9">
        <f t="shared" si="61"/>
        <v>-4.2727721080543457</v>
      </c>
      <c r="E149">
        <f t="shared" si="61"/>
        <v>-0.69898820926663885</v>
      </c>
      <c r="F149" s="4">
        <f t="shared" si="63"/>
        <v>-1.046819742559695</v>
      </c>
      <c r="G149" s="4">
        <f t="shared" si="64"/>
        <v>-0.43887403507185524</v>
      </c>
      <c r="H149" s="4">
        <f t="shared" si="65"/>
        <v>-1.6134137827231783</v>
      </c>
      <c r="I149" s="4">
        <f t="shared" si="66"/>
        <v>-7.5927376188366891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-4.2727721080543457</v>
      </c>
      <c r="C150">
        <f t="shared" si="62"/>
        <v>-0.69898820926663885</v>
      </c>
      <c r="D150" s="9">
        <f t="shared" si="61"/>
        <v>-3.5155654348118506</v>
      </c>
      <c r="E150">
        <f t="shared" si="61"/>
        <v>2.5270468293280848</v>
      </c>
      <c r="F150" s="4">
        <f t="shared" si="63"/>
        <v>-0.43887403507185524</v>
      </c>
      <c r="G150" s="4">
        <f t="shared" si="64"/>
        <v>0.25745132612586075</v>
      </c>
      <c r="H150" s="4">
        <f t="shared" si="65"/>
        <v>4.2604419012582939</v>
      </c>
      <c r="I150" s="4">
        <f t="shared" si="66"/>
        <v>17.504909114415828</v>
      </c>
      <c r="J150" s="4">
        <f t="shared" si="67"/>
        <v>-3.7955263166650099</v>
      </c>
      <c r="K150" s="4">
        <f t="shared" si="68"/>
        <v>1.3342897575676655</v>
      </c>
      <c r="L150" s="4">
        <f t="shared" si="69"/>
        <v>-3.5155654348118506</v>
      </c>
      <c r="M150" s="4">
        <f t="shared" si="70"/>
        <v>2.5270468293280848</v>
      </c>
      <c r="N150" s="4">
        <f t="shared" si="71"/>
        <v>0</v>
      </c>
      <c r="O150" s="4">
        <f t="shared" si="71"/>
        <v>0.25745132612586075</v>
      </c>
      <c r="P150" s="4">
        <f t="shared" si="72"/>
        <v>-0.55410270274366669</v>
      </c>
      <c r="Q150" s="4">
        <f t="shared" si="73"/>
        <v>-1.1770918182191394</v>
      </c>
      <c r="R150" s="4">
        <f t="shared" si="74"/>
        <v>-1.0001809472913916</v>
      </c>
    </row>
    <row r="151" spans="1:18" x14ac:dyDescent="0.25">
      <c r="A151" t="s">
        <v>74</v>
      </c>
      <c r="B151" s="9">
        <f t="shared" si="62"/>
        <v>-3.5155654348118506</v>
      </c>
      <c r="C151">
        <f t="shared" si="62"/>
        <v>2.5270468293280848</v>
      </c>
      <c r="D151" s="9">
        <f t="shared" si="61"/>
        <v>-0.69898820926663974</v>
      </c>
      <c r="E151">
        <f t="shared" si="61"/>
        <v>4.2727721080543448</v>
      </c>
      <c r="F151" s="4">
        <f t="shared" si="63"/>
        <v>0.25745132612586075</v>
      </c>
      <c r="G151" s="4">
        <f t="shared" si="64"/>
        <v>0.63425838826817538</v>
      </c>
      <c r="H151" s="4">
        <f t="shared" si="65"/>
        <v>0.61980380402612123</v>
      </c>
      <c r="I151" s="4">
        <f t="shared" si="66"/>
        <v>4.7060076591272146</v>
      </c>
      <c r="J151" s="4">
        <f t="shared" si="67"/>
        <v>-3.5155654348118506</v>
      </c>
      <c r="K151" s="4">
        <f t="shared" si="68"/>
        <v>2.5270468293280848</v>
      </c>
      <c r="L151" s="4">
        <f t="shared" si="69"/>
        <v>-0.69898820926663974</v>
      </c>
      <c r="M151" s="4">
        <f t="shared" si="70"/>
        <v>4.2727721080543448</v>
      </c>
      <c r="N151" s="4">
        <f t="shared" si="71"/>
        <v>0.25745132612586075</v>
      </c>
      <c r="O151" s="4">
        <f t="shared" si="71"/>
        <v>0.63425838826817538</v>
      </c>
      <c r="P151" s="4">
        <f t="shared" si="72"/>
        <v>-1.4857822878991298</v>
      </c>
      <c r="Q151" s="4">
        <f t="shared" si="73"/>
        <v>-4.9342583714452433</v>
      </c>
      <c r="R151" s="4">
        <f t="shared" si="74"/>
        <v>-1.6600773033629945</v>
      </c>
    </row>
    <row r="152" spans="1:18" x14ac:dyDescent="0.25">
      <c r="A152" t="s">
        <v>75</v>
      </c>
      <c r="B152" s="9">
        <f t="shared" si="62"/>
        <v>-0.69898820926663974</v>
      </c>
      <c r="C152">
        <f t="shared" si="62"/>
        <v>4.2727721080543448</v>
      </c>
      <c r="D152" s="9">
        <f t="shared" si="61"/>
        <v>2.5270468293280848</v>
      </c>
      <c r="E152">
        <f t="shared" si="61"/>
        <v>3.5155654348118501</v>
      </c>
      <c r="F152" s="4">
        <f t="shared" si="63"/>
        <v>0.63425838826817538</v>
      </c>
      <c r="G152" s="4">
        <f t="shared" si="64"/>
        <v>0.47081868475008254</v>
      </c>
      <c r="H152" s="4">
        <f t="shared" si="65"/>
        <v>-0.23471743616657598</v>
      </c>
      <c r="I152" s="4">
        <f t="shared" si="66"/>
        <v>4.1087073876646132</v>
      </c>
      <c r="J152" s="4">
        <f t="shared" si="67"/>
        <v>-0.69898820926663974</v>
      </c>
      <c r="K152" s="4">
        <f t="shared" si="68"/>
        <v>4.2727721080543448</v>
      </c>
      <c r="L152" s="4">
        <f t="shared" si="69"/>
        <v>2.5270468293280848</v>
      </c>
      <c r="M152" s="4">
        <f t="shared" si="70"/>
        <v>3.5155654348118501</v>
      </c>
      <c r="N152" s="4">
        <f t="shared" si="71"/>
        <v>0.63425838826817538</v>
      </c>
      <c r="O152" s="4">
        <f t="shared" si="71"/>
        <v>0.47081868475008254</v>
      </c>
      <c r="P152" s="4">
        <f t="shared" si="72"/>
        <v>-0.34914640672413172</v>
      </c>
      <c r="Q152" s="4">
        <f t="shared" si="73"/>
        <v>-1.2816042953083815</v>
      </c>
      <c r="R152" s="4">
        <f t="shared" si="74"/>
        <v>0.32578773838317454</v>
      </c>
    </row>
    <row r="153" spans="1:18" ht="15.75" thickBot="1" x14ac:dyDescent="0.3">
      <c r="A153" t="s">
        <v>134</v>
      </c>
      <c r="B153" s="9">
        <f t="shared" si="62"/>
        <v>2.5270468293280848</v>
      </c>
      <c r="C153">
        <f t="shared" si="62"/>
        <v>3.5155654348118501</v>
      </c>
      <c r="D153" s="9">
        <f t="shared" si="61"/>
        <v>4.2727721080543457</v>
      </c>
      <c r="E153">
        <f t="shared" si="61"/>
        <v>0.69898820926663929</v>
      </c>
      <c r="F153" s="4">
        <f t="shared" si="63"/>
        <v>0.47081868475008254</v>
      </c>
      <c r="G153" s="4">
        <f t="shared" si="64"/>
        <v>-0.13712702273775729</v>
      </c>
      <c r="H153" s="4">
        <f t="shared" si="65"/>
        <v>-1.6134137827231778</v>
      </c>
      <c r="I153" s="4">
        <f t="shared" si="66"/>
        <v>7.5927376188366882</v>
      </c>
      <c r="J153" s="4">
        <f t="shared" si="67"/>
        <v>2.5270468293280848</v>
      </c>
      <c r="K153" s="4">
        <f t="shared" si="68"/>
        <v>3.5155654348118501</v>
      </c>
      <c r="L153" s="4">
        <f t="shared" si="69"/>
        <v>3.8790097917136852</v>
      </c>
      <c r="M153" s="4">
        <f t="shared" si="70"/>
        <v>1.3342897575676655</v>
      </c>
      <c r="N153" s="4">
        <f t="shared" si="71"/>
        <v>0.47081868475008254</v>
      </c>
      <c r="O153" s="4">
        <f t="shared" si="71"/>
        <v>0</v>
      </c>
      <c r="P153" s="22">
        <f t="shared" si="72"/>
        <v>-1.5290277221344306</v>
      </c>
      <c r="Q153" s="22">
        <f t="shared" si="73"/>
        <v>-4.179526020540357</v>
      </c>
      <c r="R153" s="22">
        <f t="shared" si="74"/>
        <v>2.3025650224126997</v>
      </c>
    </row>
    <row r="154" spans="1:18" ht="15.75" thickTop="1" x14ac:dyDescent="0.25">
      <c r="P154" s="4">
        <f>SUM(P146:P153)</f>
        <v>-3.918059119501359</v>
      </c>
      <c r="Q154" s="4">
        <f t="shared" ref="Q154:R154" si="75">SUM(Q146:Q153)</f>
        <v>-11.57248050551312</v>
      </c>
      <c r="R154" s="4">
        <f t="shared" si="75"/>
        <v>-3.1905489858511604E-2</v>
      </c>
    </row>
    <row r="156" spans="1:18" x14ac:dyDescent="0.25">
      <c r="O156" t="s">
        <v>96</v>
      </c>
      <c r="P156" s="1">
        <f>-1*R154/P154</f>
        <v>-8.1431874521005528E-3</v>
      </c>
    </row>
    <row r="157" spans="1:18" x14ac:dyDescent="0.25">
      <c r="O157" t="s">
        <v>97</v>
      </c>
      <c r="P157" s="1">
        <f>Q154/P154</f>
        <v>2.9536258010792649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90.000001726800321</v>
      </c>
      <c r="C159" t="s">
        <v>36</v>
      </c>
    </row>
    <row r="160" spans="1:18" x14ac:dyDescent="0.25">
      <c r="A160" s="1" t="s">
        <v>106</v>
      </c>
      <c r="B160" s="4">
        <f>Q140+I122+Q154-O122</f>
        <v>843.78416179354895</v>
      </c>
      <c r="C160" t="s">
        <v>102</v>
      </c>
    </row>
    <row r="161" spans="1:9" x14ac:dyDescent="0.25">
      <c r="A161" s="1" t="s">
        <v>107</v>
      </c>
      <c r="B161" s="4">
        <f>R140+J122+R154-P122</f>
        <v>5.3197602892189515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90.000001726800321</v>
      </c>
      <c r="C164" t="s">
        <v>36</v>
      </c>
      <c r="E164" s="8">
        <f>B2-B164</f>
        <v>-1.7268003205117566E-6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-440.00002589321861</v>
      </c>
      <c r="C165" t="s">
        <v>102</v>
      </c>
      <c r="E165" s="8">
        <f>B3+B165</f>
        <v>-2.5893218605688162E-5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-719.99999219246081</v>
      </c>
      <c r="C166" t="s">
        <v>102</v>
      </c>
      <c r="E166" s="8">
        <f>B4+B166</f>
        <v>7.8075391911625047E-6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2.0176467640276479</v>
      </c>
      <c r="B169" s="1">
        <f>IF(E122=0,0,(MIN(H110:H121)*B65)/(B55*B56*E122))</f>
        <v>-2.0176467627378112</v>
      </c>
      <c r="C169" s="3">
        <f>A169+B169</f>
        <v>1.2898366819058538E-9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-3.1528489412284787E-8</v>
      </c>
      <c r="C175" s="27">
        <f>B65*SQRT(I175)</f>
        <v>1.3864791485444477E-7</v>
      </c>
      <c r="D175" s="27">
        <f>B66*SQRT(I175)</f>
        <v>2.9926537757750601E-8</v>
      </c>
      <c r="E175" s="27">
        <f>B67*SQRT(I175)</f>
        <v>9.5578030645205034E-8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-2.1256503540721083</v>
      </c>
      <c r="C176" s="3">
        <f>B65+C175</f>
        <v>9.3476406512161105</v>
      </c>
      <c r="D176" s="3">
        <f>D175+B66</f>
        <v>2.0176467939541856</v>
      </c>
      <c r="E176" s="3">
        <f>B67+E175</f>
        <v>6.4438696071285078</v>
      </c>
      <c r="F176" s="16" t="s">
        <v>125</v>
      </c>
    </row>
    <row r="177" spans="1:13" x14ac:dyDescent="0.25">
      <c r="B177" s="27">
        <f>B176-B64</f>
        <v>-3.1528489596865938E-8</v>
      </c>
      <c r="C177" s="27">
        <f>C176-B65</f>
        <v>1.3864791448270353E-7</v>
      </c>
      <c r="D177" s="27">
        <f>D176-B66</f>
        <v>2.9926537692404054E-8</v>
      </c>
      <c r="E177" s="27">
        <f>E176-B67</f>
        <v>9.5578030823162408E-8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-53.665603716903213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10.681930162760084</v>
      </c>
      <c r="B181" s="25">
        <f>(d_alpha_p!E136-d_alpha_m!E136)/(2*B177)</f>
        <v>6.3176172544289813</v>
      </c>
      <c r="C181" s="25">
        <f>(d_alpha_p!E137-d_alpha_m!E137)/(2*B177)</f>
        <v>-1.7474701301894462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1.7268003205117566E-6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2.5893218605688162E-5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-7.8075391911625047E-6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-1.2898366819058538E-9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-53.665603716903213</v>
      </c>
      <c r="B190" s="25">
        <f>A181</f>
        <v>10.681930162760084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6.3176172544289813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-1.7474701301894462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-53.665603716903213</v>
      </c>
      <c r="B201" s="25">
        <f t="shared" ref="B201:C201" si="77">B190</f>
        <v>10.681930162760084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6.3176172544289813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-1.7474701301894462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720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0.82210018496084025</v>
      </c>
      <c r="J4" t="s">
        <v>11</v>
      </c>
    </row>
    <row r="5" spans="1:29" x14ac:dyDescent="0.25">
      <c r="A5" s="10" t="s">
        <v>104</v>
      </c>
      <c r="B5" s="20">
        <f>ATAN2(B3,B4)</f>
        <v>1.0222469243443686</v>
      </c>
      <c r="C5" t="s">
        <v>19</v>
      </c>
      <c r="I5">
        <f>SUM(I2:I4)</f>
        <v>1.5960937682038825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0.34052504624021007</v>
      </c>
      <c r="AC14">
        <f>$I$2+AA14+AB14</f>
        <v>0.10972951453111424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0.82210018496084025</v>
      </c>
      <c r="AC15">
        <f t="shared" ref="AC15:AC20" si="12">$I$2+AA15+AB15</f>
        <v>0.88560057135879622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0.82210018496084025</v>
      </c>
      <c r="AC16">
        <f t="shared" si="12"/>
        <v>1.3017978500968308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0.34052504624021007</v>
      </c>
      <c r="AC17">
        <f t="shared" si="12"/>
        <v>1.1145186294832525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-0.34052504624021007</v>
      </c>
      <c r="AC18">
        <f t="shared" si="12"/>
        <v>0.43346853700283228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-0.82210018496084025</v>
      </c>
      <c r="AC19">
        <f t="shared" si="12"/>
        <v>-0.34240251982484976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-0.82210018496084025</v>
      </c>
      <c r="AC20">
        <f t="shared" si="12"/>
        <v>-0.75859979856288429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-0.34052504624021007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Analysis'!E55</f>
        <v>10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-2.1256502594866404</v>
      </c>
      <c r="C64" t="s">
        <v>19</v>
      </c>
      <c r="D64" t="s">
        <v>34</v>
      </c>
      <c r="H64" s="17">
        <f>DEGREES(B64)</f>
        <v>-121.79078858947278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9.3476405125681961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2.0176467640276479</v>
      </c>
      <c r="C66" t="s">
        <v>11</v>
      </c>
      <c r="D66">
        <f>B66/B53</f>
        <v>6.4626321495622914E-4</v>
      </c>
      <c r="I66" s="20"/>
    </row>
    <row r="67" spans="1:18" x14ac:dyDescent="0.25">
      <c r="A67" s="1" t="s">
        <v>37</v>
      </c>
      <c r="B67" s="17">
        <f>'Rigid Bearing Plate Analysis'!B67</f>
        <v>6.4438695115504769</v>
      </c>
      <c r="C67" t="s">
        <v>36</v>
      </c>
      <c r="D67" t="s">
        <v>122</v>
      </c>
      <c r="G67" s="20">
        <f>($B$56*$B$66*$B$55*$E$122)/$B$65</f>
        <v>6.4438695074310415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-11.681930380326055</v>
      </c>
      <c r="R76">
        <f>Q76</f>
        <v>-11.681930380326055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11.681930380326055</v>
      </c>
      <c r="R77">
        <f>Q77</f>
        <v>11.681930380326055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10.681930380326053</v>
      </c>
      <c r="C84" s="1">
        <f t="shared" ref="C84:C92" si="23">(-1*B73*SIN($B$64))+(C73*COS($B$64))</f>
        <v>1.7474698495963485</v>
      </c>
      <c r="H84" s="1">
        <f t="shared" ref="H84:H92" si="24">H73</f>
        <v>1</v>
      </c>
      <c r="I84" s="4">
        <f>(I73*COS($B$64))+(J73*SIN($B$64))</f>
        <v>4.2727721521304209</v>
      </c>
      <c r="J84" s="1">
        <f>(-1*I73*SIN($B$64))+(J73*COS($B$64))</f>
        <v>0.69898793983854013</v>
      </c>
    </row>
    <row r="85" spans="1:10" x14ac:dyDescent="0.25">
      <c r="A85" s="1">
        <f t="shared" si="21"/>
        <v>2</v>
      </c>
      <c r="B85" s="4">
        <f t="shared" si="22"/>
        <v>6.317617627522532</v>
      </c>
      <c r="C85" s="1">
        <f t="shared" si="23"/>
        <v>8.7889131886597625</v>
      </c>
      <c r="H85" s="1">
        <f t="shared" si="24"/>
        <v>2</v>
      </c>
      <c r="I85" s="4">
        <f t="shared" ref="I85:I92" si="25">(I74*COS($B$64))+(J74*SIN($B$64))</f>
        <v>3.5155652754639064</v>
      </c>
      <c r="J85" s="1">
        <f t="shared" ref="J85:J92" si="26">(-1*I74*SIN($B$64))+(J74*COS($B$64))</f>
        <v>-2.5270470510090126</v>
      </c>
    </row>
    <row r="86" spans="1:10" x14ac:dyDescent="0.25">
      <c r="A86" s="1">
        <f t="shared" si="21"/>
        <v>3</v>
      </c>
      <c r="B86" s="4">
        <f t="shared" si="22"/>
        <v>-1.7474698495963517</v>
      </c>
      <c r="C86" s="1">
        <f t="shared" si="23"/>
        <v>10.681930380326051</v>
      </c>
      <c r="H86" s="1">
        <f t="shared" si="24"/>
        <v>3</v>
      </c>
      <c r="I86" s="4">
        <f t="shared" si="25"/>
        <v>0.69898793983853902</v>
      </c>
      <c r="J86" s="1">
        <f t="shared" si="26"/>
        <v>-4.2727721521304218</v>
      </c>
    </row>
    <row r="87" spans="1:10" x14ac:dyDescent="0.25">
      <c r="A87" s="1">
        <f t="shared" si="21"/>
        <v>4</v>
      </c>
      <c r="B87" s="4">
        <f t="shared" si="22"/>
        <v>-8.788913188659766</v>
      </c>
      <c r="C87" s="1">
        <f t="shared" si="23"/>
        <v>6.317617627522532</v>
      </c>
      <c r="H87" s="1">
        <f t="shared" si="24"/>
        <v>4</v>
      </c>
      <c r="I87" s="4">
        <f t="shared" si="25"/>
        <v>-2.5270470510090135</v>
      </c>
      <c r="J87" s="1">
        <f t="shared" si="26"/>
        <v>-3.5155652754639055</v>
      </c>
    </row>
    <row r="88" spans="1:10" x14ac:dyDescent="0.25">
      <c r="A88" s="1">
        <f t="shared" si="21"/>
        <v>5</v>
      </c>
      <c r="B88" s="4">
        <f t="shared" si="22"/>
        <v>-10.681930380326055</v>
      </c>
      <c r="C88" s="1">
        <f t="shared" si="23"/>
        <v>-1.7474698495963503</v>
      </c>
      <c r="H88" s="1">
        <f t="shared" si="24"/>
        <v>5</v>
      </c>
      <c r="I88" s="4">
        <f t="shared" si="25"/>
        <v>-4.2727721521304218</v>
      </c>
      <c r="J88" s="1">
        <f t="shared" si="26"/>
        <v>-0.69898793983853968</v>
      </c>
    </row>
    <row r="89" spans="1:10" x14ac:dyDescent="0.25">
      <c r="A89" s="1">
        <f t="shared" si="21"/>
        <v>6</v>
      </c>
      <c r="B89" s="4">
        <f t="shared" si="22"/>
        <v>-6.3176176275225338</v>
      </c>
      <c r="C89" s="1">
        <f t="shared" si="23"/>
        <v>-8.788913188659766</v>
      </c>
      <c r="H89" s="1">
        <f t="shared" si="24"/>
        <v>6</v>
      </c>
      <c r="I89" s="4">
        <f t="shared" si="25"/>
        <v>-3.5155652754639064</v>
      </c>
      <c r="J89" s="1">
        <f t="shared" si="26"/>
        <v>2.5270470510090126</v>
      </c>
    </row>
    <row r="90" spans="1:10" x14ac:dyDescent="0.25">
      <c r="A90" s="1">
        <f t="shared" si="21"/>
        <v>7</v>
      </c>
      <c r="B90" s="4">
        <f t="shared" si="22"/>
        <v>1.7474698495963477</v>
      </c>
      <c r="C90" s="1">
        <f t="shared" si="23"/>
        <v>-10.681930380326053</v>
      </c>
      <c r="H90" s="1">
        <f t="shared" si="24"/>
        <v>7</v>
      </c>
      <c r="I90" s="4">
        <f t="shared" si="25"/>
        <v>-0.69898793983854035</v>
      </c>
      <c r="J90" s="1">
        <f t="shared" si="26"/>
        <v>4.2727721521304209</v>
      </c>
    </row>
    <row r="91" spans="1:10" x14ac:dyDescent="0.25">
      <c r="A91" s="1">
        <f t="shared" si="21"/>
        <v>8</v>
      </c>
      <c r="B91" s="4">
        <f t="shared" si="22"/>
        <v>8.7889131886597625</v>
      </c>
      <c r="C91" s="1">
        <f t="shared" si="23"/>
        <v>-6.3176176275225338</v>
      </c>
      <c r="H91" s="1">
        <f t="shared" si="24"/>
        <v>8</v>
      </c>
      <c r="I91" s="4">
        <f t="shared" si="25"/>
        <v>2.5270470510090131</v>
      </c>
      <c r="J91" s="1">
        <f t="shared" si="26"/>
        <v>3.515565275463906</v>
      </c>
    </row>
    <row r="92" spans="1:10" x14ac:dyDescent="0.25">
      <c r="A92" s="1">
        <f t="shared" si="21"/>
        <v>9</v>
      </c>
      <c r="B92" s="4">
        <f t="shared" si="22"/>
        <v>10.681930380326053</v>
      </c>
      <c r="C92" s="1">
        <f t="shared" si="23"/>
        <v>1.7474698495963485</v>
      </c>
      <c r="H92" s="1">
        <f t="shared" si="24"/>
        <v>9</v>
      </c>
      <c r="I92" s="4">
        <f t="shared" si="25"/>
        <v>4.2727721521304209</v>
      </c>
      <c r="J92" s="1">
        <f t="shared" si="26"/>
        <v>0.69898793983854013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160</v>
      </c>
      <c r="O109" t="s">
        <v>158</v>
      </c>
      <c r="P109" t="s">
        <v>159</v>
      </c>
    </row>
    <row r="110" spans="1:16" x14ac:dyDescent="0.25">
      <c r="A110">
        <f>A95</f>
        <v>1</v>
      </c>
      <c r="B110" s="1">
        <f>(B95*COS($B$64))+(C95*SIN($B$64))</f>
        <v>-4.4779627912588484</v>
      </c>
      <c r="C110" s="1">
        <f>(-1*B95*SIN($B$64))+(C95*COS($B$64))</f>
        <v>7.2248079033356492</v>
      </c>
      <c r="D110" t="str">
        <f t="shared" ref="D110" si="31">D95</f>
        <v>y</v>
      </c>
      <c r="E110" s="4">
        <f t="shared" ref="E110:E121" si="32">IF($D110="y",$B$125-C110,0)</f>
        <v>-5.8905180355777942</v>
      </c>
      <c r="F110" s="1">
        <f>IF($D110="y",B110,NA())</f>
        <v>-4.4779627912588484</v>
      </c>
      <c r="G110" s="1">
        <f>IF($D110="y",C110,NA())</f>
        <v>7.2248079033356492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>H110/$B$55</f>
        <v>0</v>
      </c>
      <c r="L110">
        <f>K110/$B$54</f>
        <v>0</v>
      </c>
      <c r="M110">
        <f t="shared" ref="M110:M121" si="34">IFERROR(($D$66/$B$65)*(G110-$B$125),0)</f>
        <v>4.0724984217265956E-4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-8.2751085168189729</v>
      </c>
      <c r="C111" s="1">
        <f t="shared" ref="C111:C121" si="37">(-1*B96*SIN($B$64))+(C96*COS($B$64))</f>
        <v>1.9423128056186285</v>
      </c>
      <c r="D111" t="str">
        <f t="shared" si="35"/>
        <v>y</v>
      </c>
      <c r="E111" s="4">
        <f t="shared" si="32"/>
        <v>-0.60802293786077355</v>
      </c>
      <c r="F111" s="1">
        <f t="shared" ref="F111:G121" si="38">IF($D111="y",B111,NA())</f>
        <v>-8.2751085168189729</v>
      </c>
      <c r="G111" s="1">
        <f t="shared" si="38"/>
        <v>1.9423128056186285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>H111/$B$55</f>
        <v>0</v>
      </c>
      <c r="L111">
        <f t="shared" ref="L111:L121" si="41">K111/$B$54</f>
        <v>0</v>
      </c>
      <c r="M111">
        <f t="shared" si="34"/>
        <v>4.203658217929017E-5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-7.2248079033356509</v>
      </c>
      <c r="C112" s="1">
        <f t="shared" si="37"/>
        <v>-4.4779627912588493</v>
      </c>
      <c r="D112" t="str">
        <f t="shared" si="35"/>
        <v>y</v>
      </c>
      <c r="E112" s="4">
        <f t="shared" si="32"/>
        <v>5.8122526590167043</v>
      </c>
      <c r="F112" s="1">
        <f t="shared" si="38"/>
        <v>-7.2248079033356509</v>
      </c>
      <c r="G112" s="1">
        <f t="shared" si="38"/>
        <v>-4.4779627912588493</v>
      </c>
      <c r="H112">
        <f t="shared" si="33"/>
        <v>-3.897579869617954</v>
      </c>
      <c r="I112">
        <f t="shared" si="39"/>
        <v>17.453217632108714</v>
      </c>
      <c r="J112">
        <f t="shared" si="40"/>
        <v>-28.159265845897728</v>
      </c>
      <c r="K112">
        <f t="shared" ref="K112:K121" si="45">H112/$B$55</f>
        <v>-11.653326582279554</v>
      </c>
      <c r="L112">
        <f t="shared" si="41"/>
        <v>-4.0183884766481221E-4</v>
      </c>
      <c r="M112">
        <f t="shared" si="34"/>
        <v>-4.0183884740792471E-4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-1.942312805618629</v>
      </c>
      <c r="C113" s="1">
        <f t="shared" si="37"/>
        <v>-8.2751085168189729</v>
      </c>
      <c r="D113" t="str">
        <f t="shared" si="35"/>
        <v>y</v>
      </c>
      <c r="E113" s="4">
        <f t="shared" si="32"/>
        <v>9.6093983845768278</v>
      </c>
      <c r="F113" s="1">
        <f t="shared" si="38"/>
        <v>-1.942312805618629</v>
      </c>
      <c r="G113" s="1">
        <f t="shared" si="38"/>
        <v>-8.2751085168189729</v>
      </c>
      <c r="H113">
        <f t="shared" si="33"/>
        <v>-6.4438695115504769</v>
      </c>
      <c r="I113">
        <f t="shared" si="39"/>
        <v>53.323719476301463</v>
      </c>
      <c r="J113">
        <f t="shared" si="40"/>
        <v>-12.516010270019951</v>
      </c>
      <c r="K113">
        <f t="shared" si="45"/>
        <v>-19.266446970605021</v>
      </c>
      <c r="L113">
        <f t="shared" si="41"/>
        <v>-6.6436024036569037E-4</v>
      </c>
      <c r="M113">
        <f t="shared" si="34"/>
        <v>-6.6436023994097823E-4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4.4779627912588484</v>
      </c>
      <c r="C114" s="1">
        <f t="shared" si="37"/>
        <v>-7.2248079033356492</v>
      </c>
      <c r="D114" t="str">
        <f t="shared" si="35"/>
        <v>y</v>
      </c>
      <c r="E114" s="4">
        <f t="shared" si="32"/>
        <v>8.559097771093505</v>
      </c>
      <c r="F114" s="1">
        <f t="shared" si="38"/>
        <v>4.4779627912588484</v>
      </c>
      <c r="G114" s="1">
        <f t="shared" si="38"/>
        <v>-7.2248079033356492</v>
      </c>
      <c r="H114">
        <f t="shared" si="33"/>
        <v>-5.7395590198499091</v>
      </c>
      <c r="I114">
        <f t="shared" si="39"/>
        <v>41.467211368273034</v>
      </c>
      <c r="J114">
        <f t="shared" si="40"/>
        <v>25.701531729121999</v>
      </c>
      <c r="K114">
        <f t="shared" si="45"/>
        <v>-17.16063760949573</v>
      </c>
      <c r="L114">
        <f t="shared" si="41"/>
        <v>-5.9174612446536996E-4</v>
      </c>
      <c r="M114">
        <f t="shared" si="34"/>
        <v>-5.917461240870787E-4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8.2751085168189729</v>
      </c>
      <c r="C115" s="1">
        <f t="shared" si="37"/>
        <v>-1.942312805618629</v>
      </c>
      <c r="D115" t="str">
        <f t="shared" si="35"/>
        <v>y</v>
      </c>
      <c r="E115" s="4">
        <f t="shared" si="32"/>
        <v>3.2766026733764839</v>
      </c>
      <c r="F115" s="1">
        <f t="shared" si="38"/>
        <v>8.2751085168189729</v>
      </c>
      <c r="G115" s="1">
        <f t="shared" si="38"/>
        <v>-1.942312805618629</v>
      </c>
      <c r="H115">
        <f t="shared" si="33"/>
        <v>-2.1972239284327801</v>
      </c>
      <c r="I115">
        <f t="shared" si="39"/>
        <v>4.2676961730066587</v>
      </c>
      <c r="J115">
        <f t="shared" si="40"/>
        <v>18.182266443532541</v>
      </c>
      <c r="K115">
        <f t="shared" si="45"/>
        <v>-6.5694530629172858</v>
      </c>
      <c r="L115">
        <f t="shared" si="41"/>
        <v>-2.2653286423852709E-4</v>
      </c>
      <c r="M115">
        <f t="shared" si="34"/>
        <v>-2.2653286409370923E-4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7.2248079033356492</v>
      </c>
      <c r="C116" s="1">
        <f t="shared" si="37"/>
        <v>4.4779627912588484</v>
      </c>
      <c r="D116" t="str">
        <f t="shared" si="35"/>
        <v>y</v>
      </c>
      <c r="E116" s="4">
        <f t="shared" si="32"/>
        <v>-3.1436729235009935</v>
      </c>
      <c r="F116" s="1">
        <f t="shared" si="38"/>
        <v>7.2248079033356492</v>
      </c>
      <c r="G116" s="1">
        <f t="shared" si="38"/>
        <v>4.4779627912588484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si="45"/>
        <v>0</v>
      </c>
      <c r="L116">
        <f t="shared" si="41"/>
        <v>0</v>
      </c>
      <c r="M116">
        <f t="shared" si="34"/>
        <v>2.1734256549350563E-4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1.9423128056186294</v>
      </c>
      <c r="C117" s="1">
        <f t="shared" si="37"/>
        <v>8.2751085168189711</v>
      </c>
      <c r="D117" t="str">
        <f t="shared" si="35"/>
        <v>y</v>
      </c>
      <c r="E117" s="4">
        <f t="shared" si="32"/>
        <v>-6.9408186490611161</v>
      </c>
      <c r="F117" s="1">
        <f t="shared" si="38"/>
        <v>1.9423128056186294</v>
      </c>
      <c r="G117" s="1">
        <f t="shared" si="38"/>
        <v>8.2751085168189711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si="45"/>
        <v>0</v>
      </c>
      <c r="L117">
        <f t="shared" si="41"/>
        <v>0</v>
      </c>
      <c r="M117">
        <f t="shared" si="34"/>
        <v>4.7986395802655904E-4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10.681930380326053</v>
      </c>
      <c r="C118" s="1">
        <f t="shared" si="37"/>
        <v>1.7474698495963485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si="45"/>
        <v>0</v>
      </c>
      <c r="L118">
        <f t="shared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10.681930380326053</v>
      </c>
      <c r="C119" s="1">
        <f t="shared" si="37"/>
        <v>1.7474698495963485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si="45"/>
        <v>0</v>
      </c>
      <c r="L119">
        <f t="shared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10.681930380326053</v>
      </c>
      <c r="C120" s="1">
        <f t="shared" si="37"/>
        <v>1.7474698495963485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si="45"/>
        <v>0</v>
      </c>
      <c r="L120">
        <f t="shared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10.681930380326053</v>
      </c>
      <c r="C121" s="1">
        <f t="shared" si="37"/>
        <v>1.7474698495963485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si="45"/>
        <v>0</v>
      </c>
      <c r="L121">
        <f t="shared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9.6093983845768278</v>
      </c>
      <c r="H122">
        <f>SUM(H110:H121)</f>
        <v>-18.278232329451122</v>
      </c>
      <c r="I122">
        <f t="shared" ref="I122:J122" si="46">SUM(I110:I121)</f>
        <v>116.51184464968988</v>
      </c>
      <c r="J122">
        <f t="shared" si="46"/>
        <v>3.2085220567368573</v>
      </c>
      <c r="L122">
        <f>MIN(L110:L121)</f>
        <v>-6.6436024036569037E-4</v>
      </c>
      <c r="M122">
        <f>MIN(M110:M121)</f>
        <v>-6.6436023994097823E-4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1.334289867757855</v>
      </c>
      <c r="F125" s="1" t="s">
        <v>27</v>
      </c>
      <c r="G125" s="1" t="s">
        <v>28</v>
      </c>
    </row>
    <row r="126" spans="1:16" x14ac:dyDescent="0.25">
      <c r="F126" s="4">
        <f>MIN(B84:B90)-1</f>
        <v>-11.681930380326055</v>
      </c>
      <c r="G126" s="4">
        <f>B125</f>
        <v>1.334289867757855</v>
      </c>
    </row>
    <row r="127" spans="1:16" x14ac:dyDescent="0.25">
      <c r="F127" s="4">
        <f>MAX(B84:B90)+1</f>
        <v>11.681930380326053</v>
      </c>
      <c r="G127" s="4">
        <f>G126</f>
        <v>1.334289867757855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10.681930380326053</v>
      </c>
      <c r="C132" s="4">
        <f>C84</f>
        <v>1.7474698495963485</v>
      </c>
      <c r="D132" s="4">
        <f t="shared" ref="D132:E139" si="47">B85</f>
        <v>6.317617627522532</v>
      </c>
      <c r="E132" s="4">
        <f t="shared" si="47"/>
        <v>8.7889131886597625</v>
      </c>
      <c r="F132" s="4">
        <f t="shared" ref="F132:F139" si="48">($B$66/$B$65)*(C132-$B$125)</f>
        <v>8.9183067341600128E-2</v>
      </c>
      <c r="G132" s="4">
        <f t="shared" ref="G132:G139" si="49">($B$66/$B$65)*(E132-$B$125)</f>
        <v>1.6090473954619831</v>
      </c>
      <c r="H132" s="4">
        <f>IF(B132=D132,"V",(C132-E132)/(B132-D132))</f>
        <v>-1.6134140099240537</v>
      </c>
      <c r="I132" s="4">
        <f>IF(H132="V",0,(-1*B132*H132)+C132)</f>
        <v>18.98184597824778</v>
      </c>
      <c r="J132" s="4">
        <f>IF($F132&gt;=0,B132,IF(AND($F132&lt;0,$G132&gt;=0),IF(H132="V",B132,($B$125-I132)/H132),0))</f>
        <v>10.681930380326053</v>
      </c>
      <c r="K132" s="4">
        <f>IF($F132&gt;=0,C132,IF(AND($F132&lt;0,$G132&gt;=0),$B$125,0))</f>
        <v>1.7474698495963485</v>
      </c>
      <c r="L132" s="4">
        <f>IF($G132&gt;=0,D132,IF(AND($G132&lt;0,$F132&gt;=0),IF(H132="V",D132,($B$125-I132)/H132),0))</f>
        <v>6.317617627522532</v>
      </c>
      <c r="M132" s="4">
        <f>IF($G132&gt;=0,E132,IF(AND($G132&lt;0,$F132&gt;=0),$B$125,0))</f>
        <v>8.7889131886597625</v>
      </c>
      <c r="N132" s="4">
        <f>IF(F132&lt;0,0,F132)</f>
        <v>8.9183067341600128E-2</v>
      </c>
      <c r="O132" s="4">
        <f>IF(G132&lt;0,0,G132)</f>
        <v>1.6090473954619831</v>
      </c>
      <c r="P132" s="4">
        <f>(1/6)*(M132-K132)*((N132*((2*J132)+L132))+(O132*(J132+(2*L132))))</f>
        <v>46.927867877102621</v>
      </c>
      <c r="Q132" s="4">
        <f>((1/12)*(M132-K132)*(N132*J132*((3*K132)+M132)+N132*L132*(K132+M132)+O132*J132*(K132+M132)+O132*L132*(K132+(3*M132))))</f>
        <v>285.2902737339686</v>
      </c>
      <c r="R132" s="4">
        <f>((-1/24)*(M132-K132)*(J132*J132*((3*N132)+O132)+2*J132*L132*(N132+O132)+L132*L132*(N132+(3*O132))))</f>
        <v>-187.64163527539228</v>
      </c>
    </row>
    <row r="133" spans="1:18" x14ac:dyDescent="0.25">
      <c r="A133" t="s">
        <v>70</v>
      </c>
      <c r="B133" s="4">
        <f t="shared" ref="B133:C138" si="50">D132</f>
        <v>6.317617627522532</v>
      </c>
      <c r="C133" s="4">
        <f t="shared" si="50"/>
        <v>8.7889131886597625</v>
      </c>
      <c r="D133" s="4">
        <f t="shared" si="47"/>
        <v>-1.7474698495963517</v>
      </c>
      <c r="E133" s="4">
        <f t="shared" si="47"/>
        <v>10.681930380326051</v>
      </c>
      <c r="F133" s="4">
        <f t="shared" si="48"/>
        <v>1.6090473954619831</v>
      </c>
      <c r="G133" s="4">
        <f t="shared" si="49"/>
        <v>2.0176467640276479</v>
      </c>
      <c r="H133" s="4">
        <f t="shared" ref="H133:H139" si="51">IF(B133=D133,"V",(C133-E133)/(B133-D133))</f>
        <v>-0.23471750269750788</v>
      </c>
      <c r="I133" s="4">
        <f t="shared" ref="I133:I139" si="52">IF(H133="V",0,(-1*B133*H133)+C133)</f>
        <v>10.271768621189606</v>
      </c>
      <c r="J133" s="4">
        <f t="shared" ref="J133:J139" si="53">IF($F133&gt;=0,B133,IF(AND($F133&lt;0,$G133&gt;=0),IF(H133="V",B133,($B$125-I133)/H133),0))</f>
        <v>6.317617627522532</v>
      </c>
      <c r="K133" s="4">
        <f t="shared" ref="K133:K139" si="54">IF($F133&gt;=0,C133,IF(AND($F133&lt;0,$G133&gt;=0),$B$125,0))</f>
        <v>8.7889131886597625</v>
      </c>
      <c r="L133" s="4">
        <f t="shared" ref="L133:L139" si="55">IF($G133&gt;=0,D133,IF(AND($G133&lt;0,$F133&gt;=0),IF(H133="V",D133,($B$125-I133)/H133),0))</f>
        <v>-1.7474698495963517</v>
      </c>
      <c r="M133" s="4">
        <f t="shared" ref="M133:M139" si="56">IF($G133&gt;=0,E133,IF(AND($G133&lt;0,$F133&gt;=0),$B$125,0))</f>
        <v>10.681930380326051</v>
      </c>
      <c r="N133" s="4">
        <f t="shared" ref="N133:O139" si="57">IF(F133&lt;0,0,F133)</f>
        <v>1.6090473954619831</v>
      </c>
      <c r="O133" s="4">
        <f t="shared" si="57"/>
        <v>2.0176467640276479</v>
      </c>
      <c r="P133" s="4">
        <f t="shared" ref="P133:P139" si="58">(1/6)*(M133-K133)*((N133*((2*J133)+L133))+(O133*(J133+(2*L133))))</f>
        <v>7.3241142937623707</v>
      </c>
      <c r="Q133" s="4">
        <f t="shared" ref="Q133:Q139" si="59">((1/12)*(M133-K133)*(N133*J133*((3*K133)+M133)+N133*L133*(K133+M133)+O133*J133*(K133+M133)+O133*L133*(K133+(3*M133))))</f>
        <v>67.214814145616174</v>
      </c>
      <c r="R133" s="4">
        <f t="shared" ref="R133:R139" si="60">((-1/24)*(M133-K133)*(J133*J133*((3*N133)+O133)+2*J133*L133*(N133+O133)+L133*L133*(N133+(3*O133))))</f>
        <v>-17.077536065535863</v>
      </c>
    </row>
    <row r="134" spans="1:18" x14ac:dyDescent="0.25">
      <c r="A134" t="s">
        <v>71</v>
      </c>
      <c r="B134" s="4">
        <f t="shared" si="50"/>
        <v>-1.7474698495963517</v>
      </c>
      <c r="C134" s="4">
        <f t="shared" si="50"/>
        <v>10.681930380326051</v>
      </c>
      <c r="D134" s="4">
        <f t="shared" si="47"/>
        <v>-8.788913188659766</v>
      </c>
      <c r="E134" s="4">
        <f t="shared" si="47"/>
        <v>6.317617627522532</v>
      </c>
      <c r="F134" s="4">
        <f t="shared" si="48"/>
        <v>2.0176467640276479</v>
      </c>
      <c r="G134" s="4">
        <f t="shared" si="49"/>
        <v>1.0756292045099114</v>
      </c>
      <c r="H134" s="4">
        <f t="shared" si="51"/>
        <v>0.61980371674538226</v>
      </c>
      <c r="I134" s="4">
        <f t="shared" si="52"/>
        <v>11.765018688006364</v>
      </c>
      <c r="J134" s="4">
        <f t="shared" si="53"/>
        <v>-1.7474698495963517</v>
      </c>
      <c r="K134" s="4">
        <f t="shared" si="54"/>
        <v>10.681930380326051</v>
      </c>
      <c r="L134" s="4">
        <f t="shared" si="55"/>
        <v>-8.788913188659766</v>
      </c>
      <c r="M134" s="4">
        <f t="shared" si="56"/>
        <v>6.317617627522532</v>
      </c>
      <c r="N134" s="4">
        <f t="shared" si="57"/>
        <v>2.0176467640276479</v>
      </c>
      <c r="O134" s="4">
        <f t="shared" si="57"/>
        <v>1.0756292045099114</v>
      </c>
      <c r="P134" s="4">
        <f t="shared" si="58"/>
        <v>33.147922079325674</v>
      </c>
      <c r="Q134" s="4">
        <f t="shared" si="59"/>
        <v>272.34077902067435</v>
      </c>
      <c r="R134" s="4">
        <f t="shared" si="60"/>
        <v>94.905161531566009</v>
      </c>
    </row>
    <row r="135" spans="1:18" x14ac:dyDescent="0.25">
      <c r="A135" t="s">
        <v>72</v>
      </c>
      <c r="B135" s="4">
        <f t="shared" si="50"/>
        <v>-8.788913188659766</v>
      </c>
      <c r="C135" s="4">
        <f t="shared" si="50"/>
        <v>6.317617627522532</v>
      </c>
      <c r="D135" s="4">
        <f t="shared" si="47"/>
        <v>-10.681930380326055</v>
      </c>
      <c r="E135" s="4">
        <f t="shared" si="47"/>
        <v>-1.7474698495963503</v>
      </c>
      <c r="F135" s="4">
        <f t="shared" si="48"/>
        <v>1.0756292045099114</v>
      </c>
      <c r="G135" s="4">
        <f t="shared" si="49"/>
        <v>-0.66518417271934094</v>
      </c>
      <c r="H135" s="4">
        <f t="shared" si="51"/>
        <v>4.2604406936313977</v>
      </c>
      <c r="I135" s="4">
        <f t="shared" si="52"/>
        <v>43.762261029282286</v>
      </c>
      <c r="J135" s="4">
        <f t="shared" si="53"/>
        <v>-8.788913188659766</v>
      </c>
      <c r="K135" s="4">
        <f t="shared" si="54"/>
        <v>6.317617627522532</v>
      </c>
      <c r="L135" s="4">
        <f t="shared" si="55"/>
        <v>-9.9585874355548984</v>
      </c>
      <c r="M135" s="4">
        <f t="shared" si="56"/>
        <v>1.334289867757855</v>
      </c>
      <c r="N135" s="4">
        <f t="shared" si="57"/>
        <v>1.0756292045099114</v>
      </c>
      <c r="O135" s="4">
        <f t="shared" si="57"/>
        <v>0</v>
      </c>
      <c r="P135" s="4">
        <f t="shared" si="58"/>
        <v>24.600173304146374</v>
      </c>
      <c r="Q135" s="4">
        <f t="shared" si="59"/>
        <v>113.68302453282199</v>
      </c>
      <c r="R135" s="4">
        <f t="shared" si="60"/>
        <v>113.00194630195678</v>
      </c>
    </row>
    <row r="136" spans="1:18" x14ac:dyDescent="0.25">
      <c r="A136" t="s">
        <v>73</v>
      </c>
      <c r="B136" s="4">
        <f t="shared" si="50"/>
        <v>-10.681930380326055</v>
      </c>
      <c r="C136" s="4">
        <f t="shared" si="50"/>
        <v>-1.7474698495963503</v>
      </c>
      <c r="D136" s="4">
        <f t="shared" si="47"/>
        <v>-6.3176176275225338</v>
      </c>
      <c r="E136" s="4">
        <f t="shared" si="47"/>
        <v>-8.788913188659766</v>
      </c>
      <c r="F136" s="4">
        <f t="shared" si="48"/>
        <v>-0.66518417271934094</v>
      </c>
      <c r="G136" s="4">
        <f t="shared" si="49"/>
        <v>-2.185048500839724</v>
      </c>
      <c r="H136" s="4">
        <f t="shared" si="51"/>
        <v>-1.6134140099240541</v>
      </c>
      <c r="I136" s="4">
        <f t="shared" si="52"/>
        <v>-18.981845978247787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-6.3176176275225338</v>
      </c>
      <c r="C137" s="4">
        <f t="shared" si="50"/>
        <v>-8.788913188659766</v>
      </c>
      <c r="D137" s="4">
        <f t="shared" si="47"/>
        <v>1.7474698495963477</v>
      </c>
      <c r="E137" s="4">
        <f t="shared" si="47"/>
        <v>-10.681930380326053</v>
      </c>
      <c r="F137" s="4">
        <f t="shared" si="48"/>
        <v>-2.185048500839724</v>
      </c>
      <c r="G137" s="4">
        <f t="shared" si="49"/>
        <v>-2.5936478694053888</v>
      </c>
      <c r="H137" s="4">
        <f t="shared" si="51"/>
        <v>-0.23471750269750771</v>
      </c>
      <c r="I137" s="4">
        <f t="shared" si="52"/>
        <v>-10.271768621189608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1.7474698495963477</v>
      </c>
      <c r="C138" s="4">
        <f t="shared" si="50"/>
        <v>-10.681930380326053</v>
      </c>
      <c r="D138" s="4">
        <f t="shared" si="47"/>
        <v>8.7889131886597625</v>
      </c>
      <c r="E138" s="4">
        <f t="shared" si="47"/>
        <v>-6.3176176275225338</v>
      </c>
      <c r="F138" s="4">
        <f t="shared" si="48"/>
        <v>-2.5936478694053888</v>
      </c>
      <c r="G138" s="4">
        <f t="shared" si="49"/>
        <v>-1.6516303098876521</v>
      </c>
      <c r="H138" s="4">
        <f t="shared" si="51"/>
        <v>0.61980371674538226</v>
      </c>
      <c r="I138" s="4">
        <f t="shared" si="52"/>
        <v>-11.765018688006363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8.7889131886597625</v>
      </c>
      <c r="C139" s="4">
        <f>E138</f>
        <v>-6.3176176275225338</v>
      </c>
      <c r="D139" s="4">
        <f t="shared" si="47"/>
        <v>10.681930380326053</v>
      </c>
      <c r="E139" s="4">
        <f t="shared" si="47"/>
        <v>1.7474698495963485</v>
      </c>
      <c r="F139" s="4">
        <f t="shared" si="48"/>
        <v>-1.6516303098876521</v>
      </c>
      <c r="G139" s="4">
        <f t="shared" si="49"/>
        <v>8.9183067341600128E-2</v>
      </c>
      <c r="H139" s="4">
        <f t="shared" si="51"/>
        <v>4.2604406936313941</v>
      </c>
      <c r="I139" s="4">
        <f t="shared" si="52"/>
        <v>-43.762261029282243</v>
      </c>
      <c r="J139" s="4">
        <f t="shared" si="53"/>
        <v>10.584949806824319</v>
      </c>
      <c r="K139" s="4">
        <f t="shared" si="54"/>
        <v>1.334289867757855</v>
      </c>
      <c r="L139" s="4">
        <f t="shared" si="55"/>
        <v>10.681930380326053</v>
      </c>
      <c r="M139" s="4">
        <f t="shared" si="56"/>
        <v>1.7474698495963485</v>
      </c>
      <c r="N139" s="4">
        <f t="shared" si="57"/>
        <v>0</v>
      </c>
      <c r="O139" s="4">
        <f t="shared" si="57"/>
        <v>8.9183067341600128E-2</v>
      </c>
      <c r="P139" s="31">
        <f t="shared" si="58"/>
        <v>0.19621179978740655</v>
      </c>
      <c r="Q139" s="31">
        <f t="shared" si="59"/>
        <v>0.3158916233514103</v>
      </c>
      <c r="R139" s="31">
        <f t="shared" si="60"/>
        <v>-1.0447937505597624</v>
      </c>
    </row>
    <row r="140" spans="1:18" ht="15.75" thickTop="1" x14ac:dyDescent="0.25">
      <c r="P140" s="4">
        <f>SUM(P132:P139)</f>
        <v>112.19628935412446</v>
      </c>
      <c r="Q140" s="4">
        <f>SUM(Q132:Q139)</f>
        <v>738.84478305643245</v>
      </c>
      <c r="R140" s="4">
        <f>SUM(R132:R139)</f>
        <v>2.1431427420348825</v>
      </c>
    </row>
    <row r="142" spans="1:18" x14ac:dyDescent="0.25">
      <c r="O142" t="s">
        <v>96</v>
      </c>
      <c r="P142" s="1">
        <f>-1*R140/P140</f>
        <v>-1.9101725684264784E-2</v>
      </c>
    </row>
    <row r="143" spans="1:18" x14ac:dyDescent="0.25">
      <c r="O143" t="s">
        <v>97</v>
      </c>
      <c r="P143" s="1">
        <f>Q140/P140</f>
        <v>6.5852871544122209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4.2727721521304209</v>
      </c>
      <c r="C146" s="9">
        <f>J84</f>
        <v>0.69898793983854013</v>
      </c>
      <c r="D146" s="9">
        <f t="shared" ref="D146:E153" si="61">I85</f>
        <v>3.5155652754639064</v>
      </c>
      <c r="E146">
        <f t="shared" si="61"/>
        <v>-2.5270470510090126</v>
      </c>
      <c r="F146" s="4">
        <f>($B$66/$B$65)*(C146-$B$125)</f>
        <v>-0.1371271046766819</v>
      </c>
      <c r="G146" s="4">
        <f>($B$66/$B$65)*(E146-$B$125)</f>
        <v>-0.83345245556838277</v>
      </c>
      <c r="H146" s="4">
        <f>IF(B146=D146,"V",(C146-E146)/(B146-D146))</f>
        <v>4.2604406936314021</v>
      </c>
      <c r="I146" s="4">
        <f>IF(H146="V",0,(-1*B146*H146)+C146)</f>
        <v>-17.504904411712928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3.5155652754639064</v>
      </c>
      <c r="C147">
        <f t="shared" si="62"/>
        <v>-2.5270470510090126</v>
      </c>
      <c r="D147" s="9">
        <f t="shared" si="61"/>
        <v>0.69898793983853902</v>
      </c>
      <c r="E147">
        <f t="shared" si="61"/>
        <v>-4.2727721521304218</v>
      </c>
      <c r="F147" s="4">
        <f t="shared" ref="F147:F153" si="63">($B$66/$B$65)*(C147-$B$125)</f>
        <v>-0.83345245556838277</v>
      </c>
      <c r="G147" s="4">
        <f t="shared" ref="G147:G153" si="64">($B$66/$B$65)*(E147-$B$125)</f>
        <v>-1.2102594793754777</v>
      </c>
      <c r="H147" s="4">
        <f t="shared" ref="H147:H153" si="65">IF(B147=D147,"V",(C147-E147)/(B147-D147))</f>
        <v>0.61980371674538248</v>
      </c>
      <c r="I147" s="4">
        <f t="shared" ref="I147:I153" si="66">IF(H147="V",0,(-1*B147*H147)+C147)</f>
        <v>-4.7060074752025463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0.69898793983853902</v>
      </c>
      <c r="C148">
        <f t="shared" si="62"/>
        <v>-4.2727721521304218</v>
      </c>
      <c r="D148" s="9">
        <f t="shared" si="61"/>
        <v>-2.5270470510090135</v>
      </c>
      <c r="E148">
        <f t="shared" si="61"/>
        <v>-3.5155652754639055</v>
      </c>
      <c r="F148" s="4">
        <f t="shared" si="63"/>
        <v>-1.2102594793754777</v>
      </c>
      <c r="G148" s="4">
        <f t="shared" si="64"/>
        <v>-1.0468197319492116</v>
      </c>
      <c r="H148" s="4">
        <f t="shared" si="65"/>
        <v>-0.23471750269750821</v>
      </c>
      <c r="I148" s="4">
        <f t="shared" si="66"/>
        <v>-4.1087074484758439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-2.5270470510090135</v>
      </c>
      <c r="C149">
        <f t="shared" si="62"/>
        <v>-3.5155652754639055</v>
      </c>
      <c r="D149" s="9">
        <f t="shared" si="61"/>
        <v>-4.2727721521304218</v>
      </c>
      <c r="E149">
        <f t="shared" si="61"/>
        <v>-0.69898793983853968</v>
      </c>
      <c r="F149" s="4">
        <f t="shared" si="63"/>
        <v>-1.0468197319492116</v>
      </c>
      <c r="G149" s="4">
        <f t="shared" si="64"/>
        <v>-0.43887400070105836</v>
      </c>
      <c r="H149" s="4">
        <f t="shared" si="65"/>
        <v>-1.6134140099240539</v>
      </c>
      <c r="I149" s="4">
        <f t="shared" si="66"/>
        <v>-7.5927383912991129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-4.2727721521304218</v>
      </c>
      <c r="C150">
        <f t="shared" si="62"/>
        <v>-0.69898793983853968</v>
      </c>
      <c r="D150" s="9">
        <f t="shared" si="61"/>
        <v>-3.5155652754639064</v>
      </c>
      <c r="E150">
        <f t="shared" si="61"/>
        <v>2.5270470510090126</v>
      </c>
      <c r="F150" s="4">
        <f t="shared" si="63"/>
        <v>-0.43887400070105836</v>
      </c>
      <c r="G150" s="4">
        <f t="shared" si="64"/>
        <v>0.25745135019064236</v>
      </c>
      <c r="H150" s="4">
        <f t="shared" si="65"/>
        <v>4.2604406936313968</v>
      </c>
      <c r="I150" s="4">
        <f t="shared" si="66"/>
        <v>17.504904411712911</v>
      </c>
      <c r="J150" s="4">
        <f t="shared" si="67"/>
        <v>-3.7955262628411317</v>
      </c>
      <c r="K150" s="4">
        <f t="shared" si="68"/>
        <v>1.334289867757855</v>
      </c>
      <c r="L150" s="4">
        <f t="shared" si="69"/>
        <v>-3.5155652754639064</v>
      </c>
      <c r="M150" s="4">
        <f t="shared" si="70"/>
        <v>2.5270470510090126</v>
      </c>
      <c r="N150" s="4">
        <f t="shared" si="71"/>
        <v>0</v>
      </c>
      <c r="O150" s="4">
        <f t="shared" si="71"/>
        <v>0.25745135019064236</v>
      </c>
      <c r="P150" s="4">
        <f t="shared" si="72"/>
        <v>-0.55410278726572881</v>
      </c>
      <c r="Q150" s="4">
        <f t="shared" si="73"/>
        <v>-1.177092098574815</v>
      </c>
      <c r="R150" s="4">
        <f t="shared" si="74"/>
        <v>-1.000181065718738</v>
      </c>
    </row>
    <row r="151" spans="1:18" x14ac:dyDescent="0.25">
      <c r="A151" t="s">
        <v>74</v>
      </c>
      <c r="B151" s="9">
        <f t="shared" si="62"/>
        <v>-3.5155652754639064</v>
      </c>
      <c r="C151">
        <f t="shared" si="62"/>
        <v>2.5270470510090126</v>
      </c>
      <c r="D151" s="9">
        <f t="shared" si="61"/>
        <v>-0.69898793983854035</v>
      </c>
      <c r="E151">
        <f t="shared" si="61"/>
        <v>4.2727721521304209</v>
      </c>
      <c r="F151" s="4">
        <f t="shared" si="63"/>
        <v>0.25745135019064236</v>
      </c>
      <c r="G151" s="4">
        <f t="shared" si="64"/>
        <v>0.63425837399773721</v>
      </c>
      <c r="H151" s="4">
        <f t="shared" si="65"/>
        <v>0.61980371674538237</v>
      </c>
      <c r="I151" s="4">
        <f t="shared" si="66"/>
        <v>4.7060074752025454</v>
      </c>
      <c r="J151" s="4">
        <f t="shared" si="67"/>
        <v>-3.5155652754639064</v>
      </c>
      <c r="K151" s="4">
        <f t="shared" si="68"/>
        <v>2.5270470510090126</v>
      </c>
      <c r="L151" s="4">
        <f t="shared" si="69"/>
        <v>-0.69898793983854035</v>
      </c>
      <c r="M151" s="4">
        <f t="shared" si="70"/>
        <v>4.2727721521304209</v>
      </c>
      <c r="N151" s="4">
        <f t="shared" si="71"/>
        <v>0.25745135019064236</v>
      </c>
      <c r="O151" s="4">
        <f t="shared" si="71"/>
        <v>0.63425837399773721</v>
      </c>
      <c r="P151" s="4">
        <f t="shared" si="72"/>
        <v>-1.4857819975621918</v>
      </c>
      <c r="Q151" s="4">
        <f t="shared" si="73"/>
        <v>-4.9342575486160172</v>
      </c>
      <c r="R151" s="4">
        <f t="shared" si="74"/>
        <v>-1.6600768782404682</v>
      </c>
    </row>
    <row r="152" spans="1:18" x14ac:dyDescent="0.25">
      <c r="A152" t="s">
        <v>75</v>
      </c>
      <c r="B152" s="9">
        <f t="shared" si="62"/>
        <v>-0.69898793983854035</v>
      </c>
      <c r="C152">
        <f t="shared" si="62"/>
        <v>4.2727721521304209</v>
      </c>
      <c r="D152" s="9">
        <f t="shared" si="61"/>
        <v>2.5270470510090131</v>
      </c>
      <c r="E152">
        <f t="shared" si="61"/>
        <v>3.515565275463906</v>
      </c>
      <c r="F152" s="4">
        <f t="shared" si="63"/>
        <v>0.63425837399773721</v>
      </c>
      <c r="G152" s="4">
        <f t="shared" si="64"/>
        <v>0.47081862657147133</v>
      </c>
      <c r="H152" s="4">
        <f t="shared" si="65"/>
        <v>-0.23471750269750771</v>
      </c>
      <c r="I152" s="4">
        <f t="shared" si="66"/>
        <v>4.108707448475843</v>
      </c>
      <c r="J152" s="4">
        <f t="shared" si="67"/>
        <v>-0.69898793983854035</v>
      </c>
      <c r="K152" s="4">
        <f t="shared" si="68"/>
        <v>4.2727721521304209</v>
      </c>
      <c r="L152" s="4">
        <f t="shared" si="69"/>
        <v>2.5270470510090131</v>
      </c>
      <c r="M152" s="4">
        <f t="shared" si="70"/>
        <v>3.515565275463906</v>
      </c>
      <c r="N152" s="4">
        <f t="shared" si="71"/>
        <v>0.63425837399773721</v>
      </c>
      <c r="O152" s="4">
        <f t="shared" si="71"/>
        <v>0.47081862657147133</v>
      </c>
      <c r="P152" s="4">
        <f t="shared" si="72"/>
        <v>-0.34914656974202063</v>
      </c>
      <c r="Q152" s="4">
        <f t="shared" si="73"/>
        <v>-1.2816048787575232</v>
      </c>
      <c r="R152" s="4">
        <f t="shared" si="74"/>
        <v>0.32578787519821983</v>
      </c>
    </row>
    <row r="153" spans="1:18" ht="15.75" thickBot="1" x14ac:dyDescent="0.3">
      <c r="A153" t="s">
        <v>134</v>
      </c>
      <c r="B153" s="9">
        <f t="shared" si="62"/>
        <v>2.5270470510090131</v>
      </c>
      <c r="C153">
        <f t="shared" si="62"/>
        <v>3.515565275463906</v>
      </c>
      <c r="D153" s="9">
        <f t="shared" si="61"/>
        <v>4.2727721521304209</v>
      </c>
      <c r="E153">
        <f t="shared" si="61"/>
        <v>0.69898793983854013</v>
      </c>
      <c r="F153" s="4">
        <f t="shared" si="63"/>
        <v>0.47081862657147133</v>
      </c>
      <c r="G153" s="4">
        <f t="shared" si="64"/>
        <v>-0.1371271046766819</v>
      </c>
      <c r="H153" s="4">
        <f t="shared" si="65"/>
        <v>-1.6134140099240544</v>
      </c>
      <c r="I153" s="4">
        <f t="shared" si="66"/>
        <v>7.5927383912991147</v>
      </c>
      <c r="J153" s="4">
        <f t="shared" si="67"/>
        <v>2.5270470510090131</v>
      </c>
      <c r="K153" s="4">
        <f t="shared" si="68"/>
        <v>3.515565275463906</v>
      </c>
      <c r="L153" s="4">
        <f t="shared" si="69"/>
        <v>3.8790096559505227</v>
      </c>
      <c r="M153" s="4">
        <f t="shared" si="70"/>
        <v>1.334289867757855</v>
      </c>
      <c r="N153" s="4">
        <f t="shared" si="71"/>
        <v>0.47081862657147133</v>
      </c>
      <c r="O153" s="4">
        <f t="shared" si="71"/>
        <v>0</v>
      </c>
      <c r="P153" s="22">
        <f t="shared" si="72"/>
        <v>-1.5290273969033683</v>
      </c>
      <c r="Q153" s="22">
        <f t="shared" si="73"/>
        <v>-4.1795250608007608</v>
      </c>
      <c r="R153" s="22">
        <f t="shared" si="74"/>
        <v>2.30256459635098</v>
      </c>
    </row>
    <row r="154" spans="1:18" ht="15.75" thickTop="1" x14ac:dyDescent="0.25">
      <c r="P154" s="4">
        <f>SUM(P146:P153)</f>
        <v>-3.9180587514733096</v>
      </c>
      <c r="Q154" s="4">
        <f t="shared" ref="Q154:R154" si="75">SUM(Q146:Q153)</f>
        <v>-11.572479586749116</v>
      </c>
      <c r="R154" s="4">
        <f t="shared" si="75"/>
        <v>-3.1905472410006741E-2</v>
      </c>
    </row>
    <row r="156" spans="1:18" x14ac:dyDescent="0.25">
      <c r="O156" t="s">
        <v>96</v>
      </c>
      <c r="P156" s="1">
        <f>-1*R154/P154</f>
        <v>-8.1431837636455322E-3</v>
      </c>
    </row>
    <row r="157" spans="1:18" x14ac:dyDescent="0.25">
      <c r="O157" t="s">
        <v>97</v>
      </c>
      <c r="P157" s="1">
        <f>Q154/P154</f>
        <v>2.9536258440222496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89.999998273200035</v>
      </c>
      <c r="C159" t="s">
        <v>36</v>
      </c>
    </row>
    <row r="160" spans="1:18" x14ac:dyDescent="0.25">
      <c r="A160" s="1" t="s">
        <v>106</v>
      </c>
      <c r="B160" s="4">
        <f>Q140+I122+Q154-O122</f>
        <v>843.7841481193733</v>
      </c>
      <c r="C160" t="s">
        <v>102</v>
      </c>
    </row>
    <row r="161" spans="1:9" x14ac:dyDescent="0.25">
      <c r="A161" s="1" t="s">
        <v>107</v>
      </c>
      <c r="B161" s="4">
        <f>R140+J122+R154-P122</f>
        <v>5.3197593263617335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89.999998273200035</v>
      </c>
      <c r="C164" t="s">
        <v>36</v>
      </c>
      <c r="E164" s="8">
        <f>B2-B164</f>
        <v>1.7267999652403887E-6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-439.99997410678316</v>
      </c>
      <c r="C165" t="s">
        <v>102</v>
      </c>
      <c r="E165" s="8">
        <f>B3+B165</f>
        <v>2.5893216843542177E-5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-720.00000780753965</v>
      </c>
      <c r="C166" t="s">
        <v>102</v>
      </c>
      <c r="E166" s="8">
        <f>B4+B166</f>
        <v>-7.8075396459098556E-6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2.0176467640276479</v>
      </c>
      <c r="B169" s="1">
        <f>IF(E122=0,0,(MIN(H110:H121)*B65)/(B55*B56*E122))</f>
        <v>-2.017646765317489</v>
      </c>
      <c r="C169" s="3">
        <f>A169+B169</f>
        <v>-1.2898411227979523E-9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-3.152848847699865E-8</v>
      </c>
      <c r="C175" s="27">
        <f>B65*SQRT(I175)</f>
        <v>1.3864791485444477E-7</v>
      </c>
      <c r="D175" s="27">
        <f>B66*SQRT(I175)</f>
        <v>2.9926537757750601E-8</v>
      </c>
      <c r="E175" s="27">
        <f>B67*SQRT(I175)</f>
        <v>9.5578030645205034E-8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-2.1256502910151287</v>
      </c>
      <c r="C176" s="3">
        <f>B65+C175</f>
        <v>9.3476406512161105</v>
      </c>
      <c r="D176" s="3">
        <f>D175+B66</f>
        <v>2.0176467939541856</v>
      </c>
      <c r="E176" s="3">
        <f>B67+E175</f>
        <v>6.4438696071285078</v>
      </c>
      <c r="F176" s="16" t="s">
        <v>125</v>
      </c>
    </row>
    <row r="177" spans="1:13" x14ac:dyDescent="0.25">
      <c r="B177" s="27">
        <f>B176-B64</f>
        <v>-3.1528488264598309E-8</v>
      </c>
      <c r="C177" s="27">
        <f>C176-B65</f>
        <v>1.3864791448270353E-7</v>
      </c>
      <c r="D177" s="27">
        <f>D176-B66</f>
        <v>2.9926537692404054E-8</v>
      </c>
      <c r="E177" s="27">
        <f>E176-B67</f>
        <v>9.5578030823162408E-8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-53.665603716903213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10.681930614135666</v>
      </c>
      <c r="B181" s="25">
        <f>(d_alpha_p!E136-d_alpha_m!E136)/(2*B177)</f>
        <v>6.3176175213861816</v>
      </c>
      <c r="C181" s="25">
        <f>(d_alpha_p!E137-d_alpha_m!E137)/(2*B177)</f>
        <v>-1.7474702040305345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-1.7267999652403887E-6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-2.5893216843542177E-5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7.8075396459098556E-6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1.2898411227979523E-9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-53.665603716903213</v>
      </c>
      <c r="B190" s="25">
        <f>A181</f>
        <v>10.681930614135666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6.3176175213861816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-1.7474702040305345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-53.665603716903213</v>
      </c>
      <c r="B201" s="25">
        <f t="shared" ref="B201:C201" si="77">B190</f>
        <v>10.681930614135666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6.3176175213861816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-1.7474702040305345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720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0.82210018496084025</v>
      </c>
      <c r="J4" t="s">
        <v>11</v>
      </c>
    </row>
    <row r="5" spans="1:29" x14ac:dyDescent="0.25">
      <c r="A5" s="10" t="s">
        <v>104</v>
      </c>
      <c r="B5" s="20">
        <f>ATAN2(B3,B4)</f>
        <v>1.0222469243443686</v>
      </c>
      <c r="C5" t="s">
        <v>19</v>
      </c>
      <c r="I5">
        <f>SUM(I2:I4)</f>
        <v>1.5960937682038825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0.34052504624021007</v>
      </c>
      <c r="AC14">
        <f>$I$2+AA14+AB14</f>
        <v>0.10972951453111424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0.82210018496084025</v>
      </c>
      <c r="AC15">
        <f t="shared" ref="AC15:AC20" si="12">$I$2+AA15+AB15</f>
        <v>0.88560057135879622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0.82210018496084025</v>
      </c>
      <c r="AC16">
        <f t="shared" si="12"/>
        <v>1.3017978500968308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0.34052504624021007</v>
      </c>
      <c r="AC17">
        <f t="shared" si="12"/>
        <v>1.1145186294832525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-0.34052504624021007</v>
      </c>
      <c r="AC18">
        <f t="shared" si="12"/>
        <v>0.43346853700283228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-0.82210018496084025</v>
      </c>
      <c r="AC19">
        <f t="shared" si="12"/>
        <v>-0.34240251982484976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-0.82210018496084025</v>
      </c>
      <c r="AC20">
        <f t="shared" si="12"/>
        <v>-0.75859979856288429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-0.34052504624021007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Analysis'!E55</f>
        <v>10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-2.1256502910151296</v>
      </c>
      <c r="C64" t="s">
        <v>19</v>
      </c>
      <c r="D64" t="s">
        <v>34</v>
      </c>
      <c r="H64" s="17">
        <f>DEGREES(B64)</f>
        <v>-121.79079039592214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9.3476406512161105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2.0176467640276479</v>
      </c>
      <c r="C66" t="s">
        <v>11</v>
      </c>
      <c r="D66">
        <f>B66/B53</f>
        <v>6.4626321495622914E-4</v>
      </c>
      <c r="I66" s="20"/>
    </row>
    <row r="67" spans="1:18" x14ac:dyDescent="0.25">
      <c r="A67" s="1" t="s">
        <v>37</v>
      </c>
      <c r="B67" s="17">
        <f>'Rigid Bearing Plate Analysis'!B67</f>
        <v>6.4438695115504769</v>
      </c>
      <c r="C67" t="s">
        <v>36</v>
      </c>
      <c r="D67" t="s">
        <v>122</v>
      </c>
      <c r="G67" s="20">
        <f>($B$56*$B$66*$B$55*$E$122)/$B$65</f>
        <v>6.4438693229979451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-11.681930325230965</v>
      </c>
      <c r="R76">
        <f>Q76</f>
        <v>-11.681930325230965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11.681930325230965</v>
      </c>
      <c r="R77">
        <f>Q77</f>
        <v>11.681930325230965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10.681930325230962</v>
      </c>
      <c r="C84" s="1">
        <f t="shared" ref="C84:C92" si="23">(-1*B73*SIN($B$64))+(C73*COS($B$64))</f>
        <v>1.7474701863814737</v>
      </c>
      <c r="H84" s="1">
        <f t="shared" ref="H84:H92" si="24">H73</f>
        <v>1</v>
      </c>
      <c r="I84" s="4">
        <f>(I73*COS($B$64))+(J73*SIN($B$64))</f>
        <v>4.2727721300923855</v>
      </c>
      <c r="J84" s="1">
        <f>(-1*I73*SIN($B$64))+(J73*COS($B$64))</f>
        <v>0.69898807455259004</v>
      </c>
    </row>
    <row r="85" spans="1:10" x14ac:dyDescent="0.25">
      <c r="A85" s="1">
        <f t="shared" si="21"/>
        <v>2</v>
      </c>
      <c r="B85" s="4">
        <f t="shared" si="22"/>
        <v>6.3176173504213748</v>
      </c>
      <c r="C85" s="1">
        <f t="shared" si="23"/>
        <v>8.7889133878446977</v>
      </c>
      <c r="H85" s="1">
        <f t="shared" si="24"/>
        <v>2</v>
      </c>
      <c r="I85" s="4">
        <f t="shared" ref="I85:I92" si="25">(I74*COS($B$64))+(J74*SIN($B$64))</f>
        <v>3.5155653551378805</v>
      </c>
      <c r="J85" s="1">
        <f t="shared" ref="J85:J92" si="26">(-1*I74*SIN($B$64))+(J74*COS($B$64))</f>
        <v>-2.52704694016855</v>
      </c>
    </row>
    <row r="86" spans="1:10" x14ac:dyDescent="0.25">
      <c r="A86" s="1">
        <f t="shared" si="21"/>
        <v>3</v>
      </c>
      <c r="B86" s="4">
        <f t="shared" si="22"/>
        <v>-1.7474701863814768</v>
      </c>
      <c r="C86" s="1">
        <f t="shared" si="23"/>
        <v>10.681930325230963</v>
      </c>
      <c r="H86" s="1">
        <f t="shared" si="24"/>
        <v>3</v>
      </c>
      <c r="I86" s="4">
        <f t="shared" si="25"/>
        <v>0.69898807455258893</v>
      </c>
      <c r="J86" s="1">
        <f t="shared" si="26"/>
        <v>-4.2727721300923864</v>
      </c>
    </row>
    <row r="87" spans="1:10" x14ac:dyDescent="0.25">
      <c r="A87" s="1">
        <f t="shared" si="21"/>
        <v>4</v>
      </c>
      <c r="B87" s="4">
        <f t="shared" si="22"/>
        <v>-8.7889133878447012</v>
      </c>
      <c r="C87" s="1">
        <f t="shared" si="23"/>
        <v>6.3176173504213757</v>
      </c>
      <c r="H87" s="1">
        <f t="shared" si="24"/>
        <v>4</v>
      </c>
      <c r="I87" s="4">
        <f t="shared" si="25"/>
        <v>-2.5270469401685505</v>
      </c>
      <c r="J87" s="1">
        <f t="shared" si="26"/>
        <v>-3.5155653551378796</v>
      </c>
    </row>
    <row r="88" spans="1:10" x14ac:dyDescent="0.25">
      <c r="A88" s="1">
        <f t="shared" si="21"/>
        <v>5</v>
      </c>
      <c r="B88" s="4">
        <f t="shared" si="22"/>
        <v>-10.681930325230965</v>
      </c>
      <c r="C88" s="1">
        <f t="shared" si="23"/>
        <v>-1.7474701863814754</v>
      </c>
      <c r="H88" s="1">
        <f t="shared" si="24"/>
        <v>5</v>
      </c>
      <c r="I88" s="4">
        <f t="shared" si="25"/>
        <v>-4.2727721300923855</v>
      </c>
      <c r="J88" s="1">
        <f t="shared" si="26"/>
        <v>-0.6989880745525896</v>
      </c>
    </row>
    <row r="89" spans="1:10" x14ac:dyDescent="0.25">
      <c r="A89" s="1">
        <f t="shared" si="21"/>
        <v>6</v>
      </c>
      <c r="B89" s="4">
        <f t="shared" si="22"/>
        <v>-6.3176173504213784</v>
      </c>
      <c r="C89" s="1">
        <f t="shared" si="23"/>
        <v>-8.7889133878446994</v>
      </c>
      <c r="H89" s="1">
        <f t="shared" si="24"/>
        <v>6</v>
      </c>
      <c r="I89" s="4">
        <f t="shared" si="25"/>
        <v>-3.5155653551378805</v>
      </c>
      <c r="J89" s="1">
        <f t="shared" si="26"/>
        <v>2.52704694016855</v>
      </c>
    </row>
    <row r="90" spans="1:10" x14ac:dyDescent="0.25">
      <c r="A90" s="1">
        <f t="shared" si="21"/>
        <v>7</v>
      </c>
      <c r="B90" s="4">
        <f t="shared" si="22"/>
        <v>1.7474701863814728</v>
      </c>
      <c r="C90" s="1">
        <f t="shared" si="23"/>
        <v>-10.681930325230965</v>
      </c>
      <c r="H90" s="1">
        <f t="shared" si="24"/>
        <v>7</v>
      </c>
      <c r="I90" s="4">
        <f t="shared" si="25"/>
        <v>-0.69898807455259049</v>
      </c>
      <c r="J90" s="1">
        <f t="shared" si="26"/>
        <v>4.2727721300923855</v>
      </c>
    </row>
    <row r="91" spans="1:10" x14ac:dyDescent="0.25">
      <c r="A91" s="1">
        <f t="shared" si="21"/>
        <v>8</v>
      </c>
      <c r="B91" s="4">
        <f t="shared" si="22"/>
        <v>8.7889133878446959</v>
      </c>
      <c r="C91" s="1">
        <f t="shared" si="23"/>
        <v>-6.3176173504213775</v>
      </c>
      <c r="H91" s="1">
        <f t="shared" si="24"/>
        <v>8</v>
      </c>
      <c r="I91" s="4">
        <f t="shared" si="25"/>
        <v>2.5270469401685505</v>
      </c>
      <c r="J91" s="1">
        <f t="shared" si="26"/>
        <v>3.5155653551378796</v>
      </c>
    </row>
    <row r="92" spans="1:10" x14ac:dyDescent="0.25">
      <c r="A92" s="1">
        <f t="shared" si="21"/>
        <v>9</v>
      </c>
      <c r="B92" s="4">
        <f t="shared" si="22"/>
        <v>10.681930325230962</v>
      </c>
      <c r="C92" s="1">
        <f t="shared" si="23"/>
        <v>1.7474701863814737</v>
      </c>
      <c r="H92" s="1">
        <f t="shared" si="24"/>
        <v>9</v>
      </c>
      <c r="I92" s="4">
        <f t="shared" si="25"/>
        <v>4.2727721300923855</v>
      </c>
      <c r="J92" s="1">
        <f t="shared" si="26"/>
        <v>0.69898807455259004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160</v>
      </c>
      <c r="O109" t="s">
        <v>158</v>
      </c>
      <c r="P109" t="s">
        <v>159</v>
      </c>
    </row>
    <row r="110" spans="1:16" x14ac:dyDescent="0.25">
      <c r="A110">
        <f>A95</f>
        <v>1</v>
      </c>
      <c r="B110" s="1">
        <f>(B95*COS($B$64))+(C95*SIN($B$64))</f>
        <v>-4.4779630190461237</v>
      </c>
      <c r="C110" s="1">
        <f>(-1*B95*SIN($B$64))+(C95*COS($B$64))</f>
        <v>7.2248077621522446</v>
      </c>
      <c r="D110" t="str">
        <f t="shared" ref="D110" si="31">D95</f>
        <v>y</v>
      </c>
      <c r="E110" s="4">
        <f t="shared" ref="E110:E121" si="32">IF($D110="y",$B$125-C110,0)</f>
        <v>-5.8905180881373918</v>
      </c>
      <c r="F110" s="1">
        <f>IF($D110="y",B110,NA())</f>
        <v>-4.4779630190461237</v>
      </c>
      <c r="G110" s="1">
        <f>IF($D110="y",C110,NA())</f>
        <v>7.2248077621522446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>H110/$B$55</f>
        <v>0</v>
      </c>
      <c r="L110">
        <f>K110/$B$54</f>
        <v>0</v>
      </c>
      <c r="M110">
        <f t="shared" ref="M110:M121" si="34">IFERROR(($D$66/$B$65)*(G110-$B$125),0)</f>
        <v>4.0724983976595533E-4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-8.2751085780571572</v>
      </c>
      <c r="C111" s="1">
        <f t="shared" ref="C111:C121" si="37">(-1*B96*SIN($B$64))+(C96*COS($B$64))</f>
        <v>1.9423125447169585</v>
      </c>
      <c r="D111" t="str">
        <f t="shared" si="35"/>
        <v>y</v>
      </c>
      <c r="E111" s="4">
        <f t="shared" si="32"/>
        <v>-0.60802287070210559</v>
      </c>
      <c r="F111" s="1">
        <f t="shared" ref="F111:G121" si="38">IF($D111="y",B111,NA())</f>
        <v>-8.2751085780571572</v>
      </c>
      <c r="G111" s="1">
        <f t="shared" si="38"/>
        <v>1.9423125447169585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>H111/$B$55</f>
        <v>0</v>
      </c>
      <c r="L111">
        <f t="shared" ref="L111:L121" si="41">K111/$B$54</f>
        <v>0</v>
      </c>
      <c r="M111">
        <f t="shared" si="34"/>
        <v>4.2036576912671249E-5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-7.2248077621522464</v>
      </c>
      <c r="C112" s="1">
        <f t="shared" si="37"/>
        <v>-4.4779630190461246</v>
      </c>
      <c r="D112" t="str">
        <f t="shared" si="35"/>
        <v>y</v>
      </c>
      <c r="E112" s="4">
        <f t="shared" si="32"/>
        <v>5.8122526930609775</v>
      </c>
      <c r="F112" s="1">
        <f t="shared" si="38"/>
        <v>-7.2248077621522464</v>
      </c>
      <c r="G112" s="1">
        <f t="shared" si="38"/>
        <v>-4.4779630190461246</v>
      </c>
      <c r="H112">
        <f t="shared" si="33"/>
        <v>-3.8975799461914238</v>
      </c>
      <c r="I112">
        <f t="shared" si="39"/>
        <v>17.453218862820979</v>
      </c>
      <c r="J112">
        <f t="shared" si="40"/>
        <v>-28.159265848852733</v>
      </c>
      <c r="K112">
        <f t="shared" ref="K112:K121" si="45">H112/$B$55</f>
        <v>-11.653326811225639</v>
      </c>
      <c r="L112">
        <f t="shared" si="41"/>
        <v>-4.0183885555950482E-4</v>
      </c>
      <c r="M112">
        <f t="shared" si="34"/>
        <v>-4.0183884380139362E-4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-1.9423125447169589</v>
      </c>
      <c r="C113" s="1">
        <f t="shared" si="37"/>
        <v>-8.2751085780571572</v>
      </c>
      <c r="D113" t="str">
        <f t="shared" si="35"/>
        <v>y</v>
      </c>
      <c r="E113" s="4">
        <f t="shared" si="32"/>
        <v>9.60939825207201</v>
      </c>
      <c r="F113" s="1">
        <f t="shared" si="38"/>
        <v>-1.9423125447169589</v>
      </c>
      <c r="G113" s="1">
        <f t="shared" si="38"/>
        <v>-8.2751085780571572</v>
      </c>
      <c r="H113">
        <f t="shared" si="33"/>
        <v>-6.4438695115504769</v>
      </c>
      <c r="I113">
        <f t="shared" si="39"/>
        <v>53.323719870912335</v>
      </c>
      <c r="J113">
        <f t="shared" si="40"/>
        <v>-12.516008588803635</v>
      </c>
      <c r="K113">
        <f t="shared" si="45"/>
        <v>-19.266446970605021</v>
      </c>
      <c r="L113">
        <f t="shared" si="41"/>
        <v>-6.6436024036569037E-4</v>
      </c>
      <c r="M113">
        <f t="shared" si="34"/>
        <v>-6.6436022092600342E-4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4.4779630190461237</v>
      </c>
      <c r="C114" s="1">
        <f t="shared" si="37"/>
        <v>-7.2248077621522446</v>
      </c>
      <c r="D114" t="str">
        <f t="shared" si="35"/>
        <v>y</v>
      </c>
      <c r="E114" s="4">
        <f t="shared" si="32"/>
        <v>8.5590974361670966</v>
      </c>
      <c r="F114" s="1">
        <f t="shared" si="38"/>
        <v>4.4779630190461237</v>
      </c>
      <c r="G114" s="1">
        <f t="shared" si="38"/>
        <v>-7.2248077621522446</v>
      </c>
      <c r="H114">
        <f t="shared" si="33"/>
        <v>-5.7395588743982575</v>
      </c>
      <c r="I114">
        <f t="shared" si="39"/>
        <v>41.46720950708233</v>
      </c>
      <c r="J114">
        <f t="shared" si="40"/>
        <v>25.701532385193392</v>
      </c>
      <c r="K114">
        <f t="shared" si="45"/>
        <v>-17.160637174611608</v>
      </c>
      <c r="L114">
        <f t="shared" si="41"/>
        <v>-5.9174610946936585E-4</v>
      </c>
      <c r="M114">
        <f t="shared" si="34"/>
        <v>-5.9174609215442372E-4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8.2751085780571572</v>
      </c>
      <c r="C115" s="1">
        <f t="shared" si="37"/>
        <v>-1.9423125447169598</v>
      </c>
      <c r="D115" t="str">
        <f t="shared" si="35"/>
        <v>y</v>
      </c>
      <c r="E115" s="4">
        <f t="shared" si="32"/>
        <v>3.2766022187318127</v>
      </c>
      <c r="F115" s="1">
        <f t="shared" si="38"/>
        <v>8.2751085780571572</v>
      </c>
      <c r="G115" s="1">
        <f t="shared" si="38"/>
        <v>-1.9423125447169598</v>
      </c>
      <c r="H115">
        <f t="shared" si="33"/>
        <v>-2.1972236538549024</v>
      </c>
      <c r="I115">
        <f t="shared" si="39"/>
        <v>4.2676950664312114</v>
      </c>
      <c r="J115">
        <f t="shared" si="40"/>
        <v>18.182264305924793</v>
      </c>
      <c r="K115">
        <f t="shared" si="45"/>
        <v>-6.5694522419602333</v>
      </c>
      <c r="L115">
        <f t="shared" si="41"/>
        <v>-2.2653283592966321E-4</v>
      </c>
      <c r="M115">
        <f t="shared" si="34"/>
        <v>-2.2653282930113985E-4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7.2248077621522446</v>
      </c>
      <c r="C116" s="1">
        <f t="shared" si="37"/>
        <v>4.4779630190461237</v>
      </c>
      <c r="D116" t="str">
        <f t="shared" si="35"/>
        <v>y</v>
      </c>
      <c r="E116" s="4">
        <f t="shared" si="32"/>
        <v>-3.1436733450312708</v>
      </c>
      <c r="F116" s="1">
        <f t="shared" si="38"/>
        <v>7.2248077621522446</v>
      </c>
      <c r="G116" s="1">
        <f t="shared" si="38"/>
        <v>4.4779630190461237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si="45"/>
        <v>0</v>
      </c>
      <c r="L116">
        <f t="shared" si="41"/>
        <v>0</v>
      </c>
      <c r="M116">
        <f t="shared" si="34"/>
        <v>2.173425914129251E-4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1.9423125447169602</v>
      </c>
      <c r="C117" s="1">
        <f t="shared" si="37"/>
        <v>8.2751085780571572</v>
      </c>
      <c r="D117" t="str">
        <f t="shared" si="35"/>
        <v>y</v>
      </c>
      <c r="E117" s="4">
        <f t="shared" si="32"/>
        <v>-6.9408189040423043</v>
      </c>
      <c r="F117" s="1">
        <f t="shared" si="38"/>
        <v>1.9423125447169602</v>
      </c>
      <c r="G117" s="1">
        <f t="shared" si="38"/>
        <v>8.2751085780571572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si="45"/>
        <v>0</v>
      </c>
      <c r="L117">
        <f t="shared" si="41"/>
        <v>0</v>
      </c>
      <c r="M117">
        <f t="shared" si="34"/>
        <v>4.7986396853753497E-4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10.681930325230962</v>
      </c>
      <c r="C118" s="1">
        <f t="shared" si="37"/>
        <v>1.7474701863814737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si="45"/>
        <v>0</v>
      </c>
      <c r="L118">
        <f t="shared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10.681930325230962</v>
      </c>
      <c r="C119" s="1">
        <f t="shared" si="37"/>
        <v>1.7474701863814737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si="45"/>
        <v>0</v>
      </c>
      <c r="L119">
        <f t="shared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10.681930325230962</v>
      </c>
      <c r="C120" s="1">
        <f t="shared" si="37"/>
        <v>1.7474701863814737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si="45"/>
        <v>0</v>
      </c>
      <c r="L120">
        <f t="shared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10.681930325230962</v>
      </c>
      <c r="C121" s="1">
        <f t="shared" si="37"/>
        <v>1.7474701863814737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si="45"/>
        <v>0</v>
      </c>
      <c r="L121">
        <f t="shared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9.60939825207201</v>
      </c>
      <c r="H122">
        <f>SUM(H110:H121)</f>
        <v>-18.27823198599506</v>
      </c>
      <c r="I122">
        <f t="shared" ref="I122:J122" si="46">SUM(I110:I121)</f>
        <v>116.51184330724686</v>
      </c>
      <c r="J122">
        <f t="shared" si="46"/>
        <v>3.2085222534618154</v>
      </c>
      <c r="L122">
        <f>MIN(L110:L121)</f>
        <v>-6.6436024036569037E-4</v>
      </c>
      <c r="M122">
        <f>MIN(M110:M121)</f>
        <v>-6.6436022092600342E-4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1.3342896740148529</v>
      </c>
      <c r="F125" s="1" t="s">
        <v>27</v>
      </c>
      <c r="G125" s="1" t="s">
        <v>28</v>
      </c>
    </row>
    <row r="126" spans="1:16" x14ac:dyDescent="0.25">
      <c r="F126" s="4">
        <f>MIN(B84:B90)-1</f>
        <v>-11.681930325230965</v>
      </c>
      <c r="G126" s="4">
        <f>B125</f>
        <v>1.3342896740148529</v>
      </c>
    </row>
    <row r="127" spans="1:16" x14ac:dyDescent="0.25">
      <c r="F127" s="4">
        <f>MAX(B84:B90)+1</f>
        <v>11.681930325230962</v>
      </c>
      <c r="G127" s="4">
        <f>G126</f>
        <v>1.3342896740148529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10.681930325230962</v>
      </c>
      <c r="C132" s="4">
        <f>C84</f>
        <v>1.7474701863814737</v>
      </c>
      <c r="D132" s="4">
        <f t="shared" ref="D132:E139" si="47">B85</f>
        <v>6.3176173504213748</v>
      </c>
      <c r="E132" s="4">
        <f t="shared" si="47"/>
        <v>8.7889133878446977</v>
      </c>
      <c r="F132" s="4">
        <f t="shared" ref="F132:F139" si="48">($B$66/$B$65)*(C132-$B$125)</f>
        <v>8.9183180530944067E-2</v>
      </c>
      <c r="G132" s="4">
        <f t="shared" ref="G132:G139" si="49">($B$66/$B$65)*(E132-$B$125)</f>
        <v>1.6090474564077057</v>
      </c>
      <c r="H132" s="4">
        <f>IF(B132=D132,"V",(C132-E132)/(B132-D132))</f>
        <v>-1.6134138963236109</v>
      </c>
      <c r="I132" s="4">
        <f>IF(H132="V",0,(-1*B132*H132)+C132)</f>
        <v>18.981845012669694</v>
      </c>
      <c r="J132" s="4">
        <f>IF($F132&gt;=0,B132,IF(AND($F132&lt;0,$G132&gt;=0),IF(H132="V",B132,($B$125-I132)/H132),0))</f>
        <v>10.681930325230962</v>
      </c>
      <c r="K132" s="4">
        <f>IF($F132&gt;=0,C132,IF(AND($F132&lt;0,$G132&gt;=0),$B$125,0))</f>
        <v>1.7474701863814737</v>
      </c>
      <c r="L132" s="4">
        <f>IF($G132&gt;=0,D132,IF(AND($G132&lt;0,$F132&gt;=0),IF(H132="V",D132,($B$125-I132)/H132),0))</f>
        <v>6.3176173504213748</v>
      </c>
      <c r="M132" s="4">
        <f>IF($G132&gt;=0,E132,IF(AND($G132&lt;0,$F132&gt;=0),$B$125,0))</f>
        <v>8.7889133878446977</v>
      </c>
      <c r="N132" s="4">
        <f>IF(F132&lt;0,0,F132)</f>
        <v>8.9183180530944067E-2</v>
      </c>
      <c r="O132" s="4">
        <f>IF(G132&lt;0,0,G132)</f>
        <v>1.6090474564077057</v>
      </c>
      <c r="P132" s="4">
        <f>(1/6)*(M132-K132)*((N132*((2*J132)+L132))+(O132*(J132+(2*L132))))</f>
        <v>46.927871113812053</v>
      </c>
      <c r="Q132" s="4">
        <f>((1/12)*(M132-K132)*(N132*J132*((3*K132)+M132)+N132*L132*(K132+M132)+O132*J132*(K132+M132)+O132*L132*(K132+(3*M132))))</f>
        <v>285.29029664705865</v>
      </c>
      <c r="R132" s="4">
        <f>((-1/24)*(M132-K132)*(J132*J132*((3*N132)+O132)+2*J132*L132*(N132+O132)+L132*L132*(N132+(3*O132))))</f>
        <v>-187.6416463839652</v>
      </c>
    </row>
    <row r="133" spans="1:18" x14ac:dyDescent="0.25">
      <c r="A133" t="s">
        <v>70</v>
      </c>
      <c r="B133" s="4">
        <f t="shared" ref="B133:C138" si="50">D132</f>
        <v>6.3176173504213748</v>
      </c>
      <c r="C133" s="4">
        <f t="shared" si="50"/>
        <v>8.7889133878446977</v>
      </c>
      <c r="D133" s="4">
        <f t="shared" si="47"/>
        <v>-1.7474701863814768</v>
      </c>
      <c r="E133" s="4">
        <f t="shared" si="47"/>
        <v>10.681930325230963</v>
      </c>
      <c r="F133" s="4">
        <f t="shared" si="48"/>
        <v>1.6090474564077057</v>
      </c>
      <c r="G133" s="4">
        <f t="shared" si="49"/>
        <v>2.0176467640276479</v>
      </c>
      <c r="H133" s="4">
        <f t="shared" ref="H133:H139" si="51">IF(B133=D133,"V",(C133-E133)/(B133-D133))</f>
        <v>-0.23471746943204194</v>
      </c>
      <c r="I133" s="4">
        <f t="shared" ref="I133:I139" si="52">IF(H133="V",0,(-1*B133*H133)+C133)</f>
        <v>10.271768545175565</v>
      </c>
      <c r="J133" s="4">
        <f t="shared" ref="J133:J139" si="53">IF($F133&gt;=0,B133,IF(AND($F133&lt;0,$G133&gt;=0),IF(H133="V",B133,($B$125-I133)/H133),0))</f>
        <v>6.3176173504213748</v>
      </c>
      <c r="K133" s="4">
        <f t="shared" ref="K133:K139" si="54">IF($F133&gt;=0,C133,IF(AND($F133&lt;0,$G133&gt;=0),$B$125,0))</f>
        <v>8.7889133878446977</v>
      </c>
      <c r="L133" s="4">
        <f t="shared" ref="L133:L139" si="55">IF($G133&gt;=0,D133,IF(AND($G133&lt;0,$F133&gt;=0),IF(H133="V",D133,($B$125-I133)/H133),0))</f>
        <v>-1.7474701863814768</v>
      </c>
      <c r="M133" s="4">
        <f t="shared" ref="M133:M139" si="56">IF($G133&gt;=0,E133,IF(AND($G133&lt;0,$F133&gt;=0),$B$125,0))</f>
        <v>10.681930325230963</v>
      </c>
      <c r="N133" s="4">
        <f t="shared" ref="N133:O139" si="57">IF(F133&lt;0,0,F133)</f>
        <v>1.6090474564077057</v>
      </c>
      <c r="O133" s="4">
        <f t="shared" si="57"/>
        <v>2.0176467640276479</v>
      </c>
      <c r="P133" s="4">
        <f t="shared" ref="P133:P139" si="58">(1/6)*(M133-K133)*((N133*((2*J133)+L133))+(O133*(J133+(2*L133))))</f>
        <v>7.3241124618149493</v>
      </c>
      <c r="Q133" s="4">
        <f t="shared" ref="Q133:Q139" si="59">((1/12)*(M133-K133)*(N133*J133*((3*K133)+M133)+N133*L133*(K133+M133)+O133*J133*(K133+M133)+O133*L133*(K133+(3*M133))))</f>
        <v>67.214797752132597</v>
      </c>
      <c r="R133" s="4">
        <f t="shared" ref="R133:R139" si="60">((-1/24)*(M133-K133)*(J133*J133*((3*N133)+O133)+2*J133*L133*(N133+O133)+L133*L133*(N133+(3*O133))))</f>
        <v>-17.077532136541031</v>
      </c>
    </row>
    <row r="134" spans="1:18" x14ac:dyDescent="0.25">
      <c r="A134" t="s">
        <v>71</v>
      </c>
      <c r="B134" s="4">
        <f t="shared" si="50"/>
        <v>-1.7474701863814768</v>
      </c>
      <c r="C134" s="4">
        <f t="shared" si="50"/>
        <v>10.681930325230963</v>
      </c>
      <c r="D134" s="4">
        <f t="shared" si="47"/>
        <v>-8.7889133878447012</v>
      </c>
      <c r="E134" s="4">
        <f t="shared" si="47"/>
        <v>6.3176173504213757</v>
      </c>
      <c r="F134" s="4">
        <f t="shared" si="48"/>
        <v>2.0176467640276479</v>
      </c>
      <c r="G134" s="4">
        <f t="shared" si="49"/>
        <v>1.0756291705632643</v>
      </c>
      <c r="H134" s="4">
        <f t="shared" si="51"/>
        <v>0.61980376038575102</v>
      </c>
      <c r="I134" s="4">
        <f t="shared" si="52"/>
        <v>11.765018917912192</v>
      </c>
      <c r="J134" s="4">
        <f t="shared" si="53"/>
        <v>-1.7474701863814768</v>
      </c>
      <c r="K134" s="4">
        <f t="shared" si="54"/>
        <v>10.681930325230963</v>
      </c>
      <c r="L134" s="4">
        <f t="shared" si="55"/>
        <v>-8.7889133878447012</v>
      </c>
      <c r="M134" s="4">
        <f t="shared" si="56"/>
        <v>6.3176173504213757</v>
      </c>
      <c r="N134" s="4">
        <f t="shared" si="57"/>
        <v>2.0176467640276479</v>
      </c>
      <c r="O134" s="4">
        <f t="shared" si="57"/>
        <v>1.0756291705632643</v>
      </c>
      <c r="P134" s="4">
        <f t="shared" si="58"/>
        <v>33.14792514436968</v>
      </c>
      <c r="Q134" s="4">
        <f t="shared" si="59"/>
        <v>272.34079982186501</v>
      </c>
      <c r="R134" s="4">
        <f t="shared" si="60"/>
        <v>94.905173306759167</v>
      </c>
    </row>
    <row r="135" spans="1:18" x14ac:dyDescent="0.25">
      <c r="A135" t="s">
        <v>72</v>
      </c>
      <c r="B135" s="4">
        <f t="shared" si="50"/>
        <v>-8.7889133878447012</v>
      </c>
      <c r="C135" s="4">
        <f t="shared" si="50"/>
        <v>6.3176173504213757</v>
      </c>
      <c r="D135" s="4">
        <f t="shared" si="47"/>
        <v>-10.681930325230965</v>
      </c>
      <c r="E135" s="4">
        <f t="shared" si="47"/>
        <v>-1.7474701863814754</v>
      </c>
      <c r="F135" s="4">
        <f t="shared" si="48"/>
        <v>1.0756291705632643</v>
      </c>
      <c r="G135" s="4">
        <f t="shared" si="49"/>
        <v>-0.66518419372807303</v>
      </c>
      <c r="H135" s="4">
        <f t="shared" si="51"/>
        <v>4.2604412974447659</v>
      </c>
      <c r="I135" s="4">
        <f t="shared" si="52"/>
        <v>43.762266907660134</v>
      </c>
      <c r="J135" s="4">
        <f t="shared" si="53"/>
        <v>-8.7889133878447012</v>
      </c>
      <c r="K135" s="4">
        <f t="shared" si="54"/>
        <v>6.3176173504213757</v>
      </c>
      <c r="L135" s="4">
        <f t="shared" si="55"/>
        <v>-9.9585874494014988</v>
      </c>
      <c r="M135" s="4">
        <f t="shared" si="56"/>
        <v>1.3342896740148529</v>
      </c>
      <c r="N135" s="4">
        <f t="shared" si="57"/>
        <v>1.0756291705632643</v>
      </c>
      <c r="O135" s="4">
        <f t="shared" si="57"/>
        <v>0</v>
      </c>
      <c r="P135" s="4">
        <f t="shared" si="58"/>
        <v>24.600172484533932</v>
      </c>
      <c r="Q135" s="4">
        <f t="shared" si="59"/>
        <v>113.68301477704013</v>
      </c>
      <c r="R135" s="4">
        <f t="shared" si="60"/>
        <v>113.00194419332843</v>
      </c>
    </row>
    <row r="136" spans="1:18" x14ac:dyDescent="0.25">
      <c r="A136" t="s">
        <v>73</v>
      </c>
      <c r="B136" s="4">
        <f t="shared" si="50"/>
        <v>-10.681930325230965</v>
      </c>
      <c r="C136" s="4">
        <f t="shared" si="50"/>
        <v>-1.7474701863814754</v>
      </c>
      <c r="D136" s="4">
        <f t="shared" si="47"/>
        <v>-6.3176173504213784</v>
      </c>
      <c r="E136" s="4">
        <f t="shared" si="47"/>
        <v>-8.7889133878446994</v>
      </c>
      <c r="F136" s="4">
        <f t="shared" si="48"/>
        <v>-0.66518419372807303</v>
      </c>
      <c r="G136" s="4">
        <f t="shared" si="49"/>
        <v>-2.1850484696048347</v>
      </c>
      <c r="H136" s="4">
        <f t="shared" si="51"/>
        <v>-1.6134138963236109</v>
      </c>
      <c r="I136" s="4">
        <f t="shared" si="52"/>
        <v>-18.981845012669702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-6.3176173504213784</v>
      </c>
      <c r="C137" s="4">
        <f t="shared" si="50"/>
        <v>-8.7889133878446994</v>
      </c>
      <c r="D137" s="4">
        <f t="shared" si="47"/>
        <v>1.7474701863814728</v>
      </c>
      <c r="E137" s="4">
        <f t="shared" si="47"/>
        <v>-10.681930325230965</v>
      </c>
      <c r="F137" s="4">
        <f t="shared" si="48"/>
        <v>-2.1850484696048347</v>
      </c>
      <c r="G137" s="4">
        <f t="shared" si="49"/>
        <v>-2.5936477772247768</v>
      </c>
      <c r="H137" s="4">
        <f t="shared" si="51"/>
        <v>-0.23471746943204194</v>
      </c>
      <c r="I137" s="4">
        <f t="shared" si="52"/>
        <v>-10.271768545175567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1.7474701863814728</v>
      </c>
      <c r="C138" s="4">
        <f t="shared" si="50"/>
        <v>-10.681930325230965</v>
      </c>
      <c r="D138" s="4">
        <f t="shared" si="47"/>
        <v>8.7889133878446959</v>
      </c>
      <c r="E138" s="4">
        <f t="shared" si="47"/>
        <v>-6.3176173504213775</v>
      </c>
      <c r="F138" s="4">
        <f t="shared" si="48"/>
        <v>-2.5936477772247768</v>
      </c>
      <c r="G138" s="4">
        <f t="shared" si="49"/>
        <v>-1.6516301837603933</v>
      </c>
      <c r="H138" s="4">
        <f t="shared" si="51"/>
        <v>0.61980376038575113</v>
      </c>
      <c r="I138" s="4">
        <f t="shared" si="52"/>
        <v>-11.765018917912192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8.7889133878446959</v>
      </c>
      <c r="C139" s="4">
        <f>E138</f>
        <v>-6.3176173504213775</v>
      </c>
      <c r="D139" s="4">
        <f t="shared" si="47"/>
        <v>10.681930325230962</v>
      </c>
      <c r="E139" s="4">
        <f t="shared" si="47"/>
        <v>1.7474701863814737</v>
      </c>
      <c r="F139" s="4">
        <f t="shared" si="48"/>
        <v>-1.6516301837603933</v>
      </c>
      <c r="G139" s="4">
        <f t="shared" si="49"/>
        <v>8.9183180530944067E-2</v>
      </c>
      <c r="H139" s="4">
        <f t="shared" si="51"/>
        <v>4.2604412974447614</v>
      </c>
      <c r="I139" s="4">
        <f t="shared" si="52"/>
        <v>-43.76226690766007</v>
      </c>
      <c r="J139" s="4">
        <f t="shared" si="53"/>
        <v>10.584949640949635</v>
      </c>
      <c r="K139" s="4">
        <f t="shared" si="54"/>
        <v>1.3342896740148529</v>
      </c>
      <c r="L139" s="4">
        <f t="shared" si="55"/>
        <v>10.681930325230962</v>
      </c>
      <c r="M139" s="4">
        <f t="shared" si="56"/>
        <v>1.7474701863814737</v>
      </c>
      <c r="N139" s="4">
        <f t="shared" si="57"/>
        <v>0</v>
      </c>
      <c r="O139" s="4">
        <f t="shared" si="57"/>
        <v>8.9183180530944067E-2</v>
      </c>
      <c r="P139" s="31">
        <f t="shared" si="58"/>
        <v>0.19621229905866999</v>
      </c>
      <c r="Q139" s="31">
        <f t="shared" si="59"/>
        <v>0.31589245863682969</v>
      </c>
      <c r="R139" s="31">
        <f t="shared" si="60"/>
        <v>-1.0447964000756649</v>
      </c>
    </row>
    <row r="140" spans="1:18" ht="15.75" thickTop="1" x14ac:dyDescent="0.25">
      <c r="P140" s="4">
        <f>SUM(P132:P139)</f>
        <v>112.19629350358929</v>
      </c>
      <c r="Q140" s="4">
        <f>SUM(Q132:Q139)</f>
        <v>738.84480145673331</v>
      </c>
      <c r="R140" s="4">
        <f>SUM(R132:R139)</f>
        <v>2.143142579505696</v>
      </c>
    </row>
    <row r="142" spans="1:18" x14ac:dyDescent="0.25">
      <c r="O142" t="s">
        <v>96</v>
      </c>
      <c r="P142" s="1">
        <f>-1*R140/P140</f>
        <v>-1.9101723529192472E-2</v>
      </c>
    </row>
    <row r="143" spans="1:18" x14ac:dyDescent="0.25">
      <c r="O143" t="s">
        <v>97</v>
      </c>
      <c r="P143" s="1">
        <f>Q140/P140</f>
        <v>6.5852870748630998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4.2727721300923855</v>
      </c>
      <c r="C146" s="9">
        <f>J84</f>
        <v>0.69898807455259004</v>
      </c>
      <c r="D146" s="9">
        <f t="shared" ref="D146:E153" si="61">I85</f>
        <v>3.5155653551378805</v>
      </c>
      <c r="E146">
        <f t="shared" si="61"/>
        <v>-2.52704694016855</v>
      </c>
      <c r="F146" s="4">
        <f>($B$66/$B$65)*(C146-$B$125)</f>
        <v>-0.1371270317467608</v>
      </c>
      <c r="G146" s="4">
        <f>($B$66/$B$65)*(E146-$B$125)</f>
        <v>-0.8334523774632957</v>
      </c>
      <c r="H146" s="4">
        <f>IF(B146=D146,"V",(C146-E146)/(B146-D146))</f>
        <v>4.2604412974447685</v>
      </c>
      <c r="I146" s="4">
        <f>IF(H146="V",0,(-1*B146*H146)+C146)</f>
        <v>-17.50490676306406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3.5155653551378805</v>
      </c>
      <c r="C147">
        <f t="shared" si="62"/>
        <v>-2.52704694016855</v>
      </c>
      <c r="D147" s="9">
        <f t="shared" si="61"/>
        <v>0.69898807455258893</v>
      </c>
      <c r="E147">
        <f t="shared" si="61"/>
        <v>-4.2727721300923864</v>
      </c>
      <c r="F147" s="4">
        <f t="shared" ref="F147:F153" si="63">($B$66/$B$65)*(C147-$B$125)</f>
        <v>-0.8334523774632957</v>
      </c>
      <c r="G147" s="4">
        <f t="shared" ref="G147:G153" si="64">($B$66/$B$65)*(E147-$B$125)</f>
        <v>-1.2102594148490493</v>
      </c>
      <c r="H147" s="4">
        <f t="shared" ref="H147:H153" si="65">IF(B147=D147,"V",(C147-E147)/(B147-D147))</f>
        <v>0.61980376038575102</v>
      </c>
      <c r="I147" s="4">
        <f t="shared" ref="I147:I153" si="66">IF(H147="V",0,(-1*B147*H147)+C147)</f>
        <v>-4.7060075671648764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0.69898807455258893</v>
      </c>
      <c r="C148">
        <f t="shared" si="62"/>
        <v>-4.2727721300923864</v>
      </c>
      <c r="D148" s="9">
        <f t="shared" si="61"/>
        <v>-2.5270469401685505</v>
      </c>
      <c r="E148">
        <f t="shared" si="61"/>
        <v>-3.5155653551378796</v>
      </c>
      <c r="F148" s="4">
        <f t="shared" si="63"/>
        <v>-1.2102594148490493</v>
      </c>
      <c r="G148" s="4">
        <f t="shared" si="64"/>
        <v>-1.0468196918010724</v>
      </c>
      <c r="H148" s="4">
        <f t="shared" si="65"/>
        <v>-0.23471746943204219</v>
      </c>
      <c r="I148" s="4">
        <f t="shared" si="66"/>
        <v>-4.1087074180702272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-2.5270469401685505</v>
      </c>
      <c r="C149">
        <f t="shared" si="62"/>
        <v>-3.5155653551378796</v>
      </c>
      <c r="D149" s="9">
        <f t="shared" si="61"/>
        <v>-4.2727721300923855</v>
      </c>
      <c r="E149">
        <f t="shared" si="61"/>
        <v>-0.6989880745525896</v>
      </c>
      <c r="F149" s="4">
        <f t="shared" si="63"/>
        <v>-1.0468196918010724</v>
      </c>
      <c r="G149" s="4">
        <f t="shared" si="64"/>
        <v>-0.43887398145036766</v>
      </c>
      <c r="H149" s="4">
        <f t="shared" si="65"/>
        <v>-1.6134138963236107</v>
      </c>
      <c r="I149" s="4">
        <f t="shared" si="66"/>
        <v>-7.5927380050678792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-4.2727721300923855</v>
      </c>
      <c r="C150">
        <f t="shared" si="62"/>
        <v>-0.6989880745525896</v>
      </c>
      <c r="D150" s="9">
        <f t="shared" si="61"/>
        <v>-3.5155653551378805</v>
      </c>
      <c r="E150">
        <f t="shared" si="61"/>
        <v>2.52704694016855</v>
      </c>
      <c r="F150" s="4">
        <f t="shared" si="63"/>
        <v>-0.43887398145036766</v>
      </c>
      <c r="G150" s="4">
        <f t="shared" si="64"/>
        <v>0.25745136426616716</v>
      </c>
      <c r="H150" s="4">
        <f t="shared" si="65"/>
        <v>4.2604412974447676</v>
      </c>
      <c r="I150" s="4">
        <f t="shared" si="66"/>
        <v>17.50490676306406</v>
      </c>
      <c r="J150" s="4">
        <f t="shared" si="67"/>
        <v>-3.7955263222961575</v>
      </c>
      <c r="K150" s="4">
        <f t="shared" si="68"/>
        <v>1.3342896740148529</v>
      </c>
      <c r="L150" s="4">
        <f t="shared" si="69"/>
        <v>-3.5155653551378805</v>
      </c>
      <c r="M150" s="4">
        <f t="shared" si="70"/>
        <v>2.52704694016855</v>
      </c>
      <c r="N150" s="4">
        <f t="shared" si="71"/>
        <v>0</v>
      </c>
      <c r="O150" s="4">
        <f t="shared" si="71"/>
        <v>0.25745136426616716</v>
      </c>
      <c r="P150" s="4">
        <f t="shared" si="72"/>
        <v>-0.55410286727106772</v>
      </c>
      <c r="Q150" s="4">
        <f t="shared" si="73"/>
        <v>-1.1770921918679267</v>
      </c>
      <c r="R150" s="4">
        <f t="shared" si="74"/>
        <v>-1.0001812302835815</v>
      </c>
    </row>
    <row r="151" spans="1:18" x14ac:dyDescent="0.25">
      <c r="A151" t="s">
        <v>74</v>
      </c>
      <c r="B151" s="9">
        <f t="shared" si="62"/>
        <v>-3.5155653551378805</v>
      </c>
      <c r="C151">
        <f t="shared" si="62"/>
        <v>2.52704694016855</v>
      </c>
      <c r="D151" s="9">
        <f t="shared" si="61"/>
        <v>-0.69898807455259049</v>
      </c>
      <c r="E151">
        <f t="shared" si="61"/>
        <v>4.2727721300923855</v>
      </c>
      <c r="F151" s="4">
        <f t="shared" si="63"/>
        <v>0.25745136426616716</v>
      </c>
      <c r="G151" s="4">
        <f t="shared" si="64"/>
        <v>0.6342584016519206</v>
      </c>
      <c r="H151" s="4">
        <f t="shared" si="65"/>
        <v>0.61980376038575113</v>
      </c>
      <c r="I151" s="4">
        <f t="shared" si="66"/>
        <v>4.7060075671648764</v>
      </c>
      <c r="J151" s="4">
        <f t="shared" si="67"/>
        <v>-3.5155653551378805</v>
      </c>
      <c r="K151" s="4">
        <f t="shared" si="68"/>
        <v>2.52704694016855</v>
      </c>
      <c r="L151" s="4">
        <f t="shared" si="69"/>
        <v>-0.69898807455259049</v>
      </c>
      <c r="M151" s="4">
        <f t="shared" si="70"/>
        <v>4.2727721300923855</v>
      </c>
      <c r="N151" s="4">
        <f t="shared" si="71"/>
        <v>0.25745136426616716</v>
      </c>
      <c r="O151" s="4">
        <f t="shared" si="71"/>
        <v>0.6342584016519206</v>
      </c>
      <c r="P151" s="4">
        <f t="shared" si="72"/>
        <v>-1.4857822307844772</v>
      </c>
      <c r="Q151" s="4">
        <f t="shared" si="73"/>
        <v>-4.9342582397383534</v>
      </c>
      <c r="R151" s="4">
        <f t="shared" si="74"/>
        <v>-1.6600771994443491</v>
      </c>
    </row>
    <row r="152" spans="1:18" x14ac:dyDescent="0.25">
      <c r="A152" t="s">
        <v>75</v>
      </c>
      <c r="B152" s="9">
        <f t="shared" si="62"/>
        <v>-0.69898807455259049</v>
      </c>
      <c r="C152">
        <f t="shared" si="62"/>
        <v>4.2727721300923855</v>
      </c>
      <c r="D152" s="9">
        <f t="shared" si="61"/>
        <v>2.5270469401685505</v>
      </c>
      <c r="E152">
        <f t="shared" si="61"/>
        <v>3.5155653551378796</v>
      </c>
      <c r="F152" s="4">
        <f t="shared" si="63"/>
        <v>0.6342584016519206</v>
      </c>
      <c r="G152" s="4">
        <f t="shared" si="64"/>
        <v>0.47081867860394383</v>
      </c>
      <c r="H152" s="4">
        <f t="shared" si="65"/>
        <v>-0.2347174694320418</v>
      </c>
      <c r="I152" s="4">
        <f t="shared" si="66"/>
        <v>4.1087074180702263</v>
      </c>
      <c r="J152" s="4">
        <f t="shared" si="67"/>
        <v>-0.69898807455259049</v>
      </c>
      <c r="K152" s="4">
        <f t="shared" si="68"/>
        <v>4.2727721300923855</v>
      </c>
      <c r="L152" s="4">
        <f t="shared" si="69"/>
        <v>2.5270469401685505</v>
      </c>
      <c r="M152" s="4">
        <f t="shared" si="70"/>
        <v>3.5155653551378796</v>
      </c>
      <c r="N152" s="4">
        <f t="shared" si="71"/>
        <v>0.6342584016519206</v>
      </c>
      <c r="O152" s="4">
        <f t="shared" si="71"/>
        <v>0.47081867860394383</v>
      </c>
      <c r="P152" s="4">
        <f t="shared" si="72"/>
        <v>-0.34914650376682793</v>
      </c>
      <c r="Q152" s="4">
        <f t="shared" si="73"/>
        <v>-1.2816046440684972</v>
      </c>
      <c r="R152" s="4">
        <f t="shared" si="74"/>
        <v>0.3257878212508436</v>
      </c>
    </row>
    <row r="153" spans="1:18" ht="15.75" thickBot="1" x14ac:dyDescent="0.3">
      <c r="A153" t="s">
        <v>134</v>
      </c>
      <c r="B153" s="9">
        <f t="shared" si="62"/>
        <v>2.5270469401685505</v>
      </c>
      <c r="C153">
        <f t="shared" si="62"/>
        <v>3.5155653551378796</v>
      </c>
      <c r="D153" s="9">
        <f t="shared" si="61"/>
        <v>4.2727721300923855</v>
      </c>
      <c r="E153">
        <f t="shared" si="61"/>
        <v>0.69898807455259004</v>
      </c>
      <c r="F153" s="4">
        <f t="shared" si="63"/>
        <v>0.47081867860394383</v>
      </c>
      <c r="G153" s="4">
        <f t="shared" si="64"/>
        <v>-0.1371270317467608</v>
      </c>
      <c r="H153" s="4">
        <f t="shared" si="65"/>
        <v>-1.6134138963236107</v>
      </c>
      <c r="I153" s="4">
        <f t="shared" si="66"/>
        <v>7.5927380050678792</v>
      </c>
      <c r="J153" s="4">
        <f t="shared" si="67"/>
        <v>2.5270469401685505</v>
      </c>
      <c r="K153" s="4">
        <f t="shared" si="68"/>
        <v>3.5155653551378796</v>
      </c>
      <c r="L153" s="4">
        <f t="shared" si="69"/>
        <v>3.8790098097665928</v>
      </c>
      <c r="M153" s="4">
        <f t="shared" si="70"/>
        <v>1.3342896740148529</v>
      </c>
      <c r="N153" s="4">
        <f t="shared" si="71"/>
        <v>0.47081867860394383</v>
      </c>
      <c r="O153" s="4">
        <f t="shared" si="71"/>
        <v>0</v>
      </c>
      <c r="P153" s="22">
        <f t="shared" si="72"/>
        <v>-1.529027745927112</v>
      </c>
      <c r="Q153" s="22">
        <f t="shared" si="73"/>
        <v>-4.1795259696577727</v>
      </c>
      <c r="R153" s="22">
        <f t="shared" si="74"/>
        <v>2.3025651150571265</v>
      </c>
    </row>
    <row r="154" spans="1:18" ht="15.75" thickTop="1" x14ac:dyDescent="0.25">
      <c r="P154" s="4">
        <f>SUM(P146:P153)</f>
        <v>-3.9180593477494847</v>
      </c>
      <c r="Q154" s="4">
        <f t="shared" ref="Q154:R154" si="75">SUM(Q146:Q153)</f>
        <v>-11.57248104533255</v>
      </c>
      <c r="R154" s="4">
        <f t="shared" si="75"/>
        <v>-3.1905493419960518E-2</v>
      </c>
    </row>
    <row r="156" spans="1:18" x14ac:dyDescent="0.25">
      <c r="O156" t="s">
        <v>96</v>
      </c>
      <c r="P156" s="1">
        <f>-1*R154/P154</f>
        <v>-8.1431878866987783E-3</v>
      </c>
    </row>
    <row r="157" spans="1:18" x14ac:dyDescent="0.25">
      <c r="O157" t="s">
        <v>97</v>
      </c>
      <c r="P157" s="1">
        <f>Q154/P154</f>
        <v>2.9536257667918506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90.000002169844734</v>
      </c>
      <c r="C159" t="s">
        <v>36</v>
      </c>
    </row>
    <row r="160" spans="1:18" x14ac:dyDescent="0.25">
      <c r="A160" s="1" t="s">
        <v>106</v>
      </c>
      <c r="B160" s="4">
        <f>Q140+I122+Q154-O122</f>
        <v>843.78416371864762</v>
      </c>
      <c r="C160" t="s">
        <v>102</v>
      </c>
    </row>
    <row r="161" spans="1:9" x14ac:dyDescent="0.25">
      <c r="A161" s="1" t="s">
        <v>107</v>
      </c>
      <c r="B161" s="4">
        <f>R140+J122+R154-P122</f>
        <v>5.3197593395475504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90.000002169844734</v>
      </c>
      <c r="C164" t="s">
        <v>36</v>
      </c>
      <c r="E164" s="8">
        <f>B2-B164</f>
        <v>-2.1698447341123028E-6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-440.00000501408459</v>
      </c>
      <c r="C165" t="s">
        <v>102</v>
      </c>
      <c r="E165" s="8">
        <f>B3+B165</f>
        <v>-5.0140845928581257E-6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-720.00000720098171</v>
      </c>
      <c r="C166" t="s">
        <v>102</v>
      </c>
      <c r="E166" s="8">
        <f>B4+B166</f>
        <v>-7.2009817131402087E-6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2.0176467640276479</v>
      </c>
      <c r="B169" s="1">
        <f>IF(E122=0,0,(MIN(H110:H121)*B65)/(B55*B56*E122))</f>
        <v>-2.0176468230655313</v>
      </c>
      <c r="C169" s="3">
        <f>A169+B169</f>
        <v>-5.903788347083605E-8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-3.1528488944641722E-8</v>
      </c>
      <c r="C175" s="27">
        <f>B65*SQRT(I175)</f>
        <v>1.3864791691092567E-7</v>
      </c>
      <c r="D175" s="27">
        <f>B66*SQRT(I175)</f>
        <v>2.9926537757750601E-8</v>
      </c>
      <c r="E175" s="27">
        <f>B67*SQRT(I175)</f>
        <v>9.5578030645205034E-8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-2.1256503225436187</v>
      </c>
      <c r="C176" s="3">
        <f>B65+C175</f>
        <v>9.3476407898640268</v>
      </c>
      <c r="D176" s="3">
        <f>D175+B66</f>
        <v>2.0176467939541856</v>
      </c>
      <c r="E176" s="3">
        <f>B67+E175</f>
        <v>6.4438696071285078</v>
      </c>
      <c r="F176" s="16" t="s">
        <v>125</v>
      </c>
    </row>
    <row r="177" spans="1:13" x14ac:dyDescent="0.25">
      <c r="B177" s="27">
        <f>B176-B64</f>
        <v>-3.1528489152776729E-8</v>
      </c>
      <c r="C177" s="27">
        <f>C176-B65</f>
        <v>1.3864791625906037E-7</v>
      </c>
      <c r="D177" s="27">
        <f>D176-B66</f>
        <v>2.9926537692404054E-8</v>
      </c>
      <c r="E177" s="27">
        <f>E176-B67</f>
        <v>9.5578030823162408E-8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-53.665603716903213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10.681930313218608</v>
      </c>
      <c r="B181" s="25">
        <f>(d_alpha_p!E136-d_alpha_m!E136)/(2*B177)</f>
        <v>6.317617343414712</v>
      </c>
      <c r="C181" s="25">
        <f>(d_alpha_p!E137-d_alpha_m!E137)/(2*B177)</f>
        <v>-1.7474701548031415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2.1698447341123028E-6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5.0140845928581257E-6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7.2009817131402087E-6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5.903788347083605E-8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-53.665603716903213</v>
      </c>
      <c r="B190" s="25">
        <f>A181</f>
        <v>10.681930313218608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6.317617343414712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-1.7474701548031415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-53.665603716903213</v>
      </c>
      <c r="B201" s="25">
        <f t="shared" ref="B201:C201" si="77">B190</f>
        <v>10.681930313218608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6.317617343414712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-1.7474701548031415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720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0.82210018496084025</v>
      </c>
      <c r="J4" t="s">
        <v>11</v>
      </c>
    </row>
    <row r="5" spans="1:29" x14ac:dyDescent="0.25">
      <c r="A5" s="10" t="s">
        <v>104</v>
      </c>
      <c r="B5" s="20">
        <f>ATAN2(B3,B4)</f>
        <v>1.0222469243443686</v>
      </c>
      <c r="C5" t="s">
        <v>19</v>
      </c>
      <c r="I5">
        <f>SUM(I2:I4)</f>
        <v>1.5960937682038825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0.34052504624021007</v>
      </c>
      <c r="AC14">
        <f>$I$2+AA14+AB14</f>
        <v>0.10972951453111424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0.82210018496084025</v>
      </c>
      <c r="AC15">
        <f t="shared" ref="AC15:AC20" si="12">$I$2+AA15+AB15</f>
        <v>0.88560057135879622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0.82210018496084025</v>
      </c>
      <c r="AC16">
        <f t="shared" si="12"/>
        <v>1.3017978500968308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0.34052504624021007</v>
      </c>
      <c r="AC17">
        <f t="shared" si="12"/>
        <v>1.1145186294832525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-0.34052504624021007</v>
      </c>
      <c r="AC18">
        <f t="shared" si="12"/>
        <v>0.43346853700283228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-0.82210018496084025</v>
      </c>
      <c r="AC19">
        <f t="shared" si="12"/>
        <v>-0.34240251982484976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-0.82210018496084025</v>
      </c>
      <c r="AC20">
        <f t="shared" si="12"/>
        <v>-0.75859979856288429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-0.34052504624021007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Analysis'!E55</f>
        <v>10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-2.1256502910151296</v>
      </c>
      <c r="C64" t="s">
        <v>19</v>
      </c>
      <c r="D64" t="s">
        <v>34</v>
      </c>
      <c r="H64" s="17">
        <f>DEGREES(B64)</f>
        <v>-121.79079039592214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9.3476403739202816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2.0176467640276479</v>
      </c>
      <c r="C66" t="s">
        <v>11</v>
      </c>
      <c r="D66">
        <f>B66/B53</f>
        <v>6.4626321495622914E-4</v>
      </c>
      <c r="I66" s="20"/>
    </row>
    <row r="67" spans="1:18" x14ac:dyDescent="0.25">
      <c r="A67" s="1" t="s">
        <v>37</v>
      </c>
      <c r="B67" s="17">
        <f>'Rigid Bearing Plate Analysis'!B67</f>
        <v>6.4438695115504769</v>
      </c>
      <c r="C67" t="s">
        <v>36</v>
      </c>
      <c r="D67" t="s">
        <v>122</v>
      </c>
      <c r="G67" s="20">
        <f>($B$56*$B$66*$B$55*$E$122)/$B$65</f>
        <v>6.4438697001030176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-11.681930325230965</v>
      </c>
      <c r="R76">
        <f>Q76</f>
        <v>-11.681930325230965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11.681930325230965</v>
      </c>
      <c r="R77">
        <f>Q77</f>
        <v>11.681930325230965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10.681930325230962</v>
      </c>
      <c r="C84" s="1">
        <f t="shared" ref="C84:C92" si="23">(-1*B73*SIN($B$64))+(C73*COS($B$64))</f>
        <v>1.7474701863814737</v>
      </c>
      <c r="H84" s="1">
        <f t="shared" ref="H84:H92" si="24">H73</f>
        <v>1</v>
      </c>
      <c r="I84" s="4">
        <f>(I73*COS($B$64))+(J73*SIN($B$64))</f>
        <v>4.2727721300923855</v>
      </c>
      <c r="J84" s="1">
        <f>(-1*I73*SIN($B$64))+(J73*COS($B$64))</f>
        <v>0.69898807455259004</v>
      </c>
    </row>
    <row r="85" spans="1:10" x14ac:dyDescent="0.25">
      <c r="A85" s="1">
        <f t="shared" si="21"/>
        <v>2</v>
      </c>
      <c r="B85" s="4">
        <f t="shared" si="22"/>
        <v>6.3176173504213748</v>
      </c>
      <c r="C85" s="1">
        <f t="shared" si="23"/>
        <v>8.7889133878446977</v>
      </c>
      <c r="H85" s="1">
        <f t="shared" si="24"/>
        <v>2</v>
      </c>
      <c r="I85" s="4">
        <f t="shared" ref="I85:I92" si="25">(I74*COS($B$64))+(J74*SIN($B$64))</f>
        <v>3.5155653551378805</v>
      </c>
      <c r="J85" s="1">
        <f t="shared" ref="J85:J92" si="26">(-1*I74*SIN($B$64))+(J74*COS($B$64))</f>
        <v>-2.52704694016855</v>
      </c>
    </row>
    <row r="86" spans="1:10" x14ac:dyDescent="0.25">
      <c r="A86" s="1">
        <f t="shared" si="21"/>
        <v>3</v>
      </c>
      <c r="B86" s="4">
        <f t="shared" si="22"/>
        <v>-1.7474701863814768</v>
      </c>
      <c r="C86" s="1">
        <f t="shared" si="23"/>
        <v>10.681930325230963</v>
      </c>
      <c r="H86" s="1">
        <f t="shared" si="24"/>
        <v>3</v>
      </c>
      <c r="I86" s="4">
        <f t="shared" si="25"/>
        <v>0.69898807455258893</v>
      </c>
      <c r="J86" s="1">
        <f t="shared" si="26"/>
        <v>-4.2727721300923864</v>
      </c>
    </row>
    <row r="87" spans="1:10" x14ac:dyDescent="0.25">
      <c r="A87" s="1">
        <f t="shared" si="21"/>
        <v>4</v>
      </c>
      <c r="B87" s="4">
        <f t="shared" si="22"/>
        <v>-8.7889133878447012</v>
      </c>
      <c r="C87" s="1">
        <f t="shared" si="23"/>
        <v>6.3176173504213757</v>
      </c>
      <c r="H87" s="1">
        <f t="shared" si="24"/>
        <v>4</v>
      </c>
      <c r="I87" s="4">
        <f t="shared" si="25"/>
        <v>-2.5270469401685505</v>
      </c>
      <c r="J87" s="1">
        <f t="shared" si="26"/>
        <v>-3.5155653551378796</v>
      </c>
    </row>
    <row r="88" spans="1:10" x14ac:dyDescent="0.25">
      <c r="A88" s="1">
        <f t="shared" si="21"/>
        <v>5</v>
      </c>
      <c r="B88" s="4">
        <f t="shared" si="22"/>
        <v>-10.681930325230965</v>
      </c>
      <c r="C88" s="1">
        <f t="shared" si="23"/>
        <v>-1.7474701863814754</v>
      </c>
      <c r="H88" s="1">
        <f t="shared" si="24"/>
        <v>5</v>
      </c>
      <c r="I88" s="4">
        <f t="shared" si="25"/>
        <v>-4.2727721300923855</v>
      </c>
      <c r="J88" s="1">
        <f t="shared" si="26"/>
        <v>-0.6989880745525896</v>
      </c>
    </row>
    <row r="89" spans="1:10" x14ac:dyDescent="0.25">
      <c r="A89" s="1">
        <f t="shared" si="21"/>
        <v>6</v>
      </c>
      <c r="B89" s="4">
        <f t="shared" si="22"/>
        <v>-6.3176173504213784</v>
      </c>
      <c r="C89" s="1">
        <f t="shared" si="23"/>
        <v>-8.7889133878446994</v>
      </c>
      <c r="H89" s="1">
        <f t="shared" si="24"/>
        <v>6</v>
      </c>
      <c r="I89" s="4">
        <f t="shared" si="25"/>
        <v>-3.5155653551378805</v>
      </c>
      <c r="J89" s="1">
        <f t="shared" si="26"/>
        <v>2.52704694016855</v>
      </c>
    </row>
    <row r="90" spans="1:10" x14ac:dyDescent="0.25">
      <c r="A90" s="1">
        <f t="shared" si="21"/>
        <v>7</v>
      </c>
      <c r="B90" s="4">
        <f t="shared" si="22"/>
        <v>1.7474701863814728</v>
      </c>
      <c r="C90" s="1">
        <f t="shared" si="23"/>
        <v>-10.681930325230965</v>
      </c>
      <c r="H90" s="1">
        <f t="shared" si="24"/>
        <v>7</v>
      </c>
      <c r="I90" s="4">
        <f t="shared" si="25"/>
        <v>-0.69898807455259049</v>
      </c>
      <c r="J90" s="1">
        <f t="shared" si="26"/>
        <v>4.2727721300923855</v>
      </c>
    </row>
    <row r="91" spans="1:10" x14ac:dyDescent="0.25">
      <c r="A91" s="1">
        <f t="shared" si="21"/>
        <v>8</v>
      </c>
      <c r="B91" s="4">
        <f t="shared" si="22"/>
        <v>8.7889133878446959</v>
      </c>
      <c r="C91" s="1">
        <f t="shared" si="23"/>
        <v>-6.3176173504213775</v>
      </c>
      <c r="H91" s="1">
        <f t="shared" si="24"/>
        <v>8</v>
      </c>
      <c r="I91" s="4">
        <f t="shared" si="25"/>
        <v>2.5270469401685505</v>
      </c>
      <c r="J91" s="1">
        <f t="shared" si="26"/>
        <v>3.5155653551378796</v>
      </c>
    </row>
    <row r="92" spans="1:10" x14ac:dyDescent="0.25">
      <c r="A92" s="1">
        <f t="shared" si="21"/>
        <v>9</v>
      </c>
      <c r="B92" s="4">
        <f t="shared" si="22"/>
        <v>10.681930325230962</v>
      </c>
      <c r="C92" s="1">
        <f t="shared" si="23"/>
        <v>1.7474701863814737</v>
      </c>
      <c r="H92" s="1">
        <f t="shared" si="24"/>
        <v>9</v>
      </c>
      <c r="I92" s="4">
        <f t="shared" si="25"/>
        <v>4.2727721300923855</v>
      </c>
      <c r="J92" s="1">
        <f t="shared" si="26"/>
        <v>0.69898807455259004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160</v>
      </c>
      <c r="O109" t="s">
        <v>158</v>
      </c>
      <c r="P109" t="s">
        <v>159</v>
      </c>
    </row>
    <row r="110" spans="1:16" x14ac:dyDescent="0.25">
      <c r="A110">
        <f>A95</f>
        <v>1</v>
      </c>
      <c r="B110" s="1">
        <f>(B95*COS($B$64))+(C95*SIN($B$64))</f>
        <v>-4.4779630190461237</v>
      </c>
      <c r="C110" s="1">
        <f>(-1*B95*SIN($B$64))+(C95*COS($B$64))</f>
        <v>7.2248077621522446</v>
      </c>
      <c r="D110" t="str">
        <f t="shared" ref="D110" si="31">D95</f>
        <v>y</v>
      </c>
      <c r="E110" s="4">
        <f t="shared" ref="E110:E121" si="32">IF($D110="y",$B$125-C110,0)</f>
        <v>-5.8905178108415628</v>
      </c>
      <c r="F110" s="1">
        <f>IF($D110="y",B110,NA())</f>
        <v>-4.4779630190461237</v>
      </c>
      <c r="G110" s="1">
        <f>IF($D110="y",C110,NA())</f>
        <v>7.2248077621522446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>H110/$B$55</f>
        <v>0</v>
      </c>
      <c r="L110">
        <f>K110/$B$54</f>
        <v>0</v>
      </c>
      <c r="M110">
        <f t="shared" ref="M110:M121" si="34">IFERROR(($D$66/$B$65)*(G110-$B$125),0)</f>
        <v>4.0724983267567271E-4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-8.2751085780571572</v>
      </c>
      <c r="C111" s="1">
        <f t="shared" ref="C111:C121" si="37">(-1*B96*SIN($B$64))+(C96*COS($B$64))</f>
        <v>1.9423125447169585</v>
      </c>
      <c r="D111" t="str">
        <f t="shared" si="35"/>
        <v>y</v>
      </c>
      <c r="E111" s="4">
        <f t="shared" si="32"/>
        <v>-0.60802259340627662</v>
      </c>
      <c r="F111" s="1">
        <f t="shared" ref="F111:G121" si="38">IF($D111="y",B111,NA())</f>
        <v>-8.2751085780571572</v>
      </c>
      <c r="G111" s="1">
        <f t="shared" si="38"/>
        <v>1.9423125447169585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>H111/$B$55</f>
        <v>0</v>
      </c>
      <c r="L111">
        <f t="shared" ref="L111:L121" si="41">K111/$B$54</f>
        <v>0</v>
      </c>
      <c r="M111">
        <f t="shared" si="34"/>
        <v>4.2036558988412316E-5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-7.2248077621522464</v>
      </c>
      <c r="C112" s="1">
        <f t="shared" si="37"/>
        <v>-4.4779630190461246</v>
      </c>
      <c r="D112" t="str">
        <f t="shared" si="35"/>
        <v>y</v>
      </c>
      <c r="E112" s="4">
        <f t="shared" si="32"/>
        <v>5.8122529703568064</v>
      </c>
      <c r="F112" s="1">
        <f t="shared" si="38"/>
        <v>-7.2248077621522464</v>
      </c>
      <c r="G112" s="1">
        <f t="shared" si="38"/>
        <v>-4.4779630190461246</v>
      </c>
      <c r="H112">
        <f t="shared" si="33"/>
        <v>-3.8975800196690167</v>
      </c>
      <c r="I112">
        <f t="shared" si="39"/>
        <v>17.453219191850923</v>
      </c>
      <c r="J112">
        <f t="shared" si="40"/>
        <v>-28.159266379714218</v>
      </c>
      <c r="K112">
        <f t="shared" ref="K112:K121" si="45">H112/$B$55</f>
        <v>-11.653327030915399</v>
      </c>
      <c r="L112">
        <f t="shared" si="41"/>
        <v>-4.0183886313501378E-4</v>
      </c>
      <c r="M112">
        <f t="shared" si="34"/>
        <v>-4.0183887489312568E-4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-1.9423125447169589</v>
      </c>
      <c r="C113" s="1">
        <f t="shared" si="37"/>
        <v>-8.2751085780571572</v>
      </c>
      <c r="D113" t="str">
        <f t="shared" si="35"/>
        <v>y</v>
      </c>
      <c r="E113" s="4">
        <f t="shared" si="32"/>
        <v>9.609398529367839</v>
      </c>
      <c r="F113" s="1">
        <f t="shared" si="38"/>
        <v>-1.9423125447169589</v>
      </c>
      <c r="G113" s="1">
        <f t="shared" si="38"/>
        <v>-8.2751085780571572</v>
      </c>
      <c r="H113">
        <f t="shared" si="33"/>
        <v>-6.4438695115504769</v>
      </c>
      <c r="I113">
        <f t="shared" si="39"/>
        <v>53.323719870912335</v>
      </c>
      <c r="J113">
        <f t="shared" si="40"/>
        <v>-12.516008588803635</v>
      </c>
      <c r="K113">
        <f t="shared" si="45"/>
        <v>-19.266446970605021</v>
      </c>
      <c r="L113">
        <f t="shared" si="41"/>
        <v>-6.6436024036569037E-4</v>
      </c>
      <c r="M113">
        <f t="shared" si="34"/>
        <v>-6.6436025980537818E-4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4.4779630190461237</v>
      </c>
      <c r="C114" s="1">
        <f t="shared" si="37"/>
        <v>-7.2248077621522446</v>
      </c>
      <c r="D114" t="str">
        <f t="shared" si="35"/>
        <v>y</v>
      </c>
      <c r="E114" s="4">
        <f t="shared" si="32"/>
        <v>8.5590977134629256</v>
      </c>
      <c r="F114" s="1">
        <f t="shared" si="38"/>
        <v>4.4779630190461237</v>
      </c>
      <c r="G114" s="1">
        <f t="shared" si="38"/>
        <v>-7.2248077621522446</v>
      </c>
      <c r="H114">
        <f t="shared" si="33"/>
        <v>-5.7395588947223599</v>
      </c>
      <c r="I114">
        <f t="shared" si="39"/>
        <v>41.467209653920065</v>
      </c>
      <c r="J114">
        <f t="shared" si="40"/>
        <v>25.701532476203973</v>
      </c>
      <c r="K114">
        <f t="shared" si="45"/>
        <v>-17.160637235378395</v>
      </c>
      <c r="L114">
        <f t="shared" si="41"/>
        <v>-5.9174611156477227E-4</v>
      </c>
      <c r="M114">
        <f t="shared" si="34"/>
        <v>-5.9174612887971526E-4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8.2751085780571572</v>
      </c>
      <c r="C115" s="1">
        <f t="shared" si="37"/>
        <v>-1.9423125447169598</v>
      </c>
      <c r="D115" t="str">
        <f t="shared" si="35"/>
        <v>y</v>
      </c>
      <c r="E115" s="4">
        <f t="shared" si="32"/>
        <v>3.2766024960276416</v>
      </c>
      <c r="F115" s="1">
        <f t="shared" si="38"/>
        <v>8.2751085780571572</v>
      </c>
      <c r="G115" s="1">
        <f t="shared" si="38"/>
        <v>-1.9423125447169598</v>
      </c>
      <c r="H115">
        <f t="shared" si="33"/>
        <v>-2.1972237763992197</v>
      </c>
      <c r="I115">
        <f t="shared" si="39"/>
        <v>4.2676953044505765</v>
      </c>
      <c r="J115">
        <f t="shared" si="40"/>
        <v>18.182265319992325</v>
      </c>
      <c r="K115">
        <f t="shared" si="45"/>
        <v>-6.5694526083539957</v>
      </c>
      <c r="L115">
        <f t="shared" si="41"/>
        <v>-2.2653284856393089E-4</v>
      </c>
      <c r="M115">
        <f t="shared" si="34"/>
        <v>-2.2653285519245498E-4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7.2248077621522446</v>
      </c>
      <c r="C116" s="1">
        <f t="shared" si="37"/>
        <v>4.4779630190461237</v>
      </c>
      <c r="D116" t="str">
        <f t="shared" si="35"/>
        <v>y</v>
      </c>
      <c r="E116" s="4">
        <f t="shared" si="32"/>
        <v>-3.1436730677354419</v>
      </c>
      <c r="F116" s="1">
        <f t="shared" si="38"/>
        <v>7.2248077621522446</v>
      </c>
      <c r="G116" s="1">
        <f t="shared" si="38"/>
        <v>4.4779630190461237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si="45"/>
        <v>0</v>
      </c>
      <c r="L116">
        <f t="shared" si="41"/>
        <v>0</v>
      </c>
      <c r="M116">
        <f t="shared" si="34"/>
        <v>2.1734257868908304E-4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1.9423125447169602</v>
      </c>
      <c r="C117" s="1">
        <f t="shared" si="37"/>
        <v>8.2751085780571572</v>
      </c>
      <c r="D117" t="str">
        <f t="shared" si="35"/>
        <v>y</v>
      </c>
      <c r="E117" s="4">
        <f t="shared" si="32"/>
        <v>-6.9408186267464753</v>
      </c>
      <c r="F117" s="1">
        <f t="shared" si="38"/>
        <v>1.9423125447169602</v>
      </c>
      <c r="G117" s="1">
        <f t="shared" si="38"/>
        <v>8.2751085780571572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si="45"/>
        <v>0</v>
      </c>
      <c r="L117">
        <f t="shared" si="41"/>
        <v>0</v>
      </c>
      <c r="M117">
        <f t="shared" si="34"/>
        <v>4.7986396360133557E-4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10.681930325230962</v>
      </c>
      <c r="C118" s="1">
        <f t="shared" si="37"/>
        <v>1.7474701863814737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si="45"/>
        <v>0</v>
      </c>
      <c r="L118">
        <f t="shared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10.681930325230962</v>
      </c>
      <c r="C119" s="1">
        <f t="shared" si="37"/>
        <v>1.7474701863814737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si="45"/>
        <v>0</v>
      </c>
      <c r="L119">
        <f t="shared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10.681930325230962</v>
      </c>
      <c r="C120" s="1">
        <f t="shared" si="37"/>
        <v>1.7474701863814737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si="45"/>
        <v>0</v>
      </c>
      <c r="L120">
        <f t="shared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10.681930325230962</v>
      </c>
      <c r="C121" s="1">
        <f t="shared" si="37"/>
        <v>1.7474701863814737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si="45"/>
        <v>0</v>
      </c>
      <c r="L121">
        <f t="shared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9.609398529367839</v>
      </c>
      <c r="H122">
        <f>SUM(H110:H121)</f>
        <v>-18.278232202341073</v>
      </c>
      <c r="I122">
        <f t="shared" ref="I122:J122" si="46">SUM(I110:I121)</f>
        <v>116.5118440211339</v>
      </c>
      <c r="J122">
        <f t="shared" si="46"/>
        <v>3.2085228276784434</v>
      </c>
      <c r="L122">
        <f>MIN(L110:L121)</f>
        <v>-6.6436024036569037E-4</v>
      </c>
      <c r="M122">
        <f>MIN(M110:M121)</f>
        <v>-6.6436025980537818E-4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1.3342899513106818</v>
      </c>
      <c r="F125" s="1" t="s">
        <v>27</v>
      </c>
      <c r="G125" s="1" t="s">
        <v>28</v>
      </c>
    </row>
    <row r="126" spans="1:16" x14ac:dyDescent="0.25">
      <c r="F126" s="4">
        <f>MIN(B84:B90)-1</f>
        <v>-11.681930325230965</v>
      </c>
      <c r="G126" s="4">
        <f>B125</f>
        <v>1.3342899513106818</v>
      </c>
    </row>
    <row r="127" spans="1:16" x14ac:dyDescent="0.25">
      <c r="F127" s="4">
        <f>MAX(B84:B90)+1</f>
        <v>11.681930325230962</v>
      </c>
      <c r="G127" s="4">
        <f>G126</f>
        <v>1.3342899513106818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10.681930325230962</v>
      </c>
      <c r="C132" s="4">
        <f>C84</f>
        <v>1.7474701863814737</v>
      </c>
      <c r="D132" s="4">
        <f t="shared" ref="D132:E139" si="47">B85</f>
        <v>6.3176173504213748</v>
      </c>
      <c r="E132" s="4">
        <f t="shared" si="47"/>
        <v>8.7889133878446977</v>
      </c>
      <c r="F132" s="4">
        <f t="shared" ref="F132:F139" si="48">($B$66/$B$65)*(C132-$B$125)</f>
        <v>8.9183123323468533E-2</v>
      </c>
      <c r="G132" s="4">
        <f t="shared" ref="G132:G139" si="49">($B$66/$B$65)*(E132-$B$125)</f>
        <v>1.6090474442866913</v>
      </c>
      <c r="H132" s="4">
        <f>IF(B132=D132,"V",(C132-E132)/(B132-D132))</f>
        <v>-1.6134138963236109</v>
      </c>
      <c r="I132" s="4">
        <f>IF(H132="V",0,(-1*B132*H132)+C132)</f>
        <v>18.981845012669694</v>
      </c>
      <c r="J132" s="4">
        <f>IF($F132&gt;=0,B132,IF(AND($F132&lt;0,$G132&gt;=0),IF(H132="V",B132,($B$125-I132)/H132),0))</f>
        <v>10.681930325230962</v>
      </c>
      <c r="K132" s="4">
        <f>IF($F132&gt;=0,C132,IF(AND($F132&lt;0,$G132&gt;=0),$B$125,0))</f>
        <v>1.7474701863814737</v>
      </c>
      <c r="L132" s="4">
        <f>IF($G132&gt;=0,D132,IF(AND($G132&lt;0,$F132&gt;=0),IF(H132="V",D132,($B$125-I132)/H132),0))</f>
        <v>6.3176173504213748</v>
      </c>
      <c r="M132" s="4">
        <f>IF($G132&gt;=0,E132,IF(AND($G132&lt;0,$F132&gt;=0),$B$125,0))</f>
        <v>8.7889133878446977</v>
      </c>
      <c r="N132" s="4">
        <f>IF(F132&lt;0,0,F132)</f>
        <v>8.9183123323468533E-2</v>
      </c>
      <c r="O132" s="4">
        <f>IF(G132&lt;0,0,G132)</f>
        <v>1.6090474442866913</v>
      </c>
      <c r="P132" s="4">
        <f>(1/6)*(M132-K132)*((N132*((2*J132)+L132))+(O132*(J132+(2*L132))))</f>
        <v>46.927868923670701</v>
      </c>
      <c r="Q132" s="4">
        <f>((1/12)*(M132-K132)*(N132*J132*((3*K132)+M132)+N132*L132*(K132+M132)+O132*J132*(K132+M132)+O132*L132*(K132+(3*M132))))</f>
        <v>285.29028731747815</v>
      </c>
      <c r="R132" s="4">
        <f>((-1/24)*(M132-K132)*(J132*J132*((3*N132)+O132)+2*J132*L132*(N132+O132)+L132*L132*(N132+(3*O132))))</f>
        <v>-187.64163639169249</v>
      </c>
    </row>
    <row r="133" spans="1:18" x14ac:dyDescent="0.25">
      <c r="A133" t="s">
        <v>70</v>
      </c>
      <c r="B133" s="4">
        <f t="shared" ref="B133:C138" si="50">D132</f>
        <v>6.3176173504213748</v>
      </c>
      <c r="C133" s="4">
        <f t="shared" si="50"/>
        <v>8.7889133878446977</v>
      </c>
      <c r="D133" s="4">
        <f t="shared" si="47"/>
        <v>-1.7474701863814768</v>
      </c>
      <c r="E133" s="4">
        <f t="shared" si="47"/>
        <v>10.681930325230963</v>
      </c>
      <c r="F133" s="4">
        <f t="shared" si="48"/>
        <v>1.6090474442866913</v>
      </c>
      <c r="G133" s="4">
        <f t="shared" si="49"/>
        <v>2.0176467640276479</v>
      </c>
      <c r="H133" s="4">
        <f t="shared" ref="H133:H139" si="51">IF(B133=D133,"V",(C133-E133)/(B133-D133))</f>
        <v>-0.23471746943204194</v>
      </c>
      <c r="I133" s="4">
        <f t="shared" ref="I133:I139" si="52">IF(H133="V",0,(-1*B133*H133)+C133)</f>
        <v>10.271768545175565</v>
      </c>
      <c r="J133" s="4">
        <f t="shared" ref="J133:J139" si="53">IF($F133&gt;=0,B133,IF(AND($F133&lt;0,$G133&gt;=0),IF(H133="V",B133,($B$125-I133)/H133),0))</f>
        <v>6.3176173504213748</v>
      </c>
      <c r="K133" s="4">
        <f t="shared" ref="K133:K139" si="54">IF($F133&gt;=0,C133,IF(AND($F133&lt;0,$G133&gt;=0),$B$125,0))</f>
        <v>8.7889133878446977</v>
      </c>
      <c r="L133" s="4">
        <f t="shared" ref="L133:L139" si="55">IF($G133&gt;=0,D133,IF(AND($G133&lt;0,$F133&gt;=0),IF(H133="V",D133,($B$125-I133)/H133),0))</f>
        <v>-1.7474701863814768</v>
      </c>
      <c r="M133" s="4">
        <f t="shared" ref="M133:M139" si="56">IF($G133&gt;=0,E133,IF(AND($G133&lt;0,$F133&gt;=0),$B$125,0))</f>
        <v>10.681930325230963</v>
      </c>
      <c r="N133" s="4">
        <f t="shared" ref="N133:O139" si="57">IF(F133&lt;0,0,F133)</f>
        <v>1.6090474442866913</v>
      </c>
      <c r="O133" s="4">
        <f t="shared" si="57"/>
        <v>2.0176467640276479</v>
      </c>
      <c r="P133" s="4">
        <f t="shared" ref="P133:P139" si="58">(1/6)*(M133-K133)*((N133*((2*J133)+L133))+(O133*(J133+(2*L133))))</f>
        <v>7.3241124201778049</v>
      </c>
      <c r="Q133" s="4">
        <f t="shared" ref="Q133:Q139" si="59">((1/12)*(M133-K133)*(N133*J133*((3*K133)+M133)+N133*L133*(K133+M133)+O133*J133*(K133+M133)+O133*L133*(K133+(3*M133))))</f>
        <v>67.214797369644998</v>
      </c>
      <c r="R133" s="4">
        <f t="shared" ref="R133:R139" si="60">((-1/24)*(M133-K133)*(J133*J133*((3*N133)+O133)+2*J133*L133*(N133+O133)+L133*L133*(N133+(3*O133))))</f>
        <v>-17.077532040256088</v>
      </c>
    </row>
    <row r="134" spans="1:18" x14ac:dyDescent="0.25">
      <c r="A134" t="s">
        <v>71</v>
      </c>
      <c r="B134" s="4">
        <f t="shared" si="50"/>
        <v>-1.7474701863814768</v>
      </c>
      <c r="C134" s="4">
        <f t="shared" si="50"/>
        <v>10.681930325230963</v>
      </c>
      <c r="D134" s="4">
        <f t="shared" si="47"/>
        <v>-8.7889133878447012</v>
      </c>
      <c r="E134" s="4">
        <f t="shared" si="47"/>
        <v>6.3176173504213757</v>
      </c>
      <c r="F134" s="4">
        <f t="shared" si="48"/>
        <v>2.0176467640276479</v>
      </c>
      <c r="G134" s="4">
        <f t="shared" si="49"/>
        <v>1.0756291426185063</v>
      </c>
      <c r="H134" s="4">
        <f t="shared" si="51"/>
        <v>0.61980376038575102</v>
      </c>
      <c r="I134" s="4">
        <f t="shared" si="52"/>
        <v>11.765018917912192</v>
      </c>
      <c r="J134" s="4">
        <f t="shared" si="53"/>
        <v>-1.7474701863814768</v>
      </c>
      <c r="K134" s="4">
        <f t="shared" si="54"/>
        <v>10.681930325230963</v>
      </c>
      <c r="L134" s="4">
        <f t="shared" si="55"/>
        <v>-8.7889133878447012</v>
      </c>
      <c r="M134" s="4">
        <f t="shared" si="56"/>
        <v>6.3176173504213757</v>
      </c>
      <c r="N134" s="4">
        <f t="shared" si="57"/>
        <v>2.0176467640276479</v>
      </c>
      <c r="O134" s="4">
        <f t="shared" si="57"/>
        <v>1.0756291426185063</v>
      </c>
      <c r="P134" s="4">
        <f t="shared" si="58"/>
        <v>33.147924751551876</v>
      </c>
      <c r="Q134" s="4">
        <f t="shared" si="59"/>
        <v>272.34079687284219</v>
      </c>
      <c r="R134" s="4">
        <f t="shared" si="60"/>
        <v>94.905171957552994</v>
      </c>
    </row>
    <row r="135" spans="1:18" x14ac:dyDescent="0.25">
      <c r="A135" t="s">
        <v>72</v>
      </c>
      <c r="B135" s="4">
        <f t="shared" si="50"/>
        <v>-8.7889133878447012</v>
      </c>
      <c r="C135" s="4">
        <f t="shared" si="50"/>
        <v>6.3176173504213757</v>
      </c>
      <c r="D135" s="4">
        <f t="shared" si="47"/>
        <v>-10.681930325230965</v>
      </c>
      <c r="E135" s="4">
        <f t="shared" si="47"/>
        <v>-1.7474701863814754</v>
      </c>
      <c r="F135" s="4">
        <f t="shared" si="48"/>
        <v>1.0756291426185063</v>
      </c>
      <c r="G135" s="4">
        <f t="shared" si="49"/>
        <v>-0.66518427331370156</v>
      </c>
      <c r="H135" s="4">
        <f t="shared" si="51"/>
        <v>4.2604412974447659</v>
      </c>
      <c r="I135" s="4">
        <f t="shared" si="52"/>
        <v>43.762266907660134</v>
      </c>
      <c r="J135" s="4">
        <f t="shared" si="53"/>
        <v>-8.7889133878447012</v>
      </c>
      <c r="K135" s="4">
        <f t="shared" si="54"/>
        <v>6.3176173504213757</v>
      </c>
      <c r="L135" s="4">
        <f t="shared" si="55"/>
        <v>-9.9585873843153241</v>
      </c>
      <c r="M135" s="4">
        <f t="shared" si="56"/>
        <v>1.3342899513106818</v>
      </c>
      <c r="N135" s="4">
        <f t="shared" si="57"/>
        <v>1.0756291426185063</v>
      </c>
      <c r="O135" s="4">
        <f t="shared" si="57"/>
        <v>0</v>
      </c>
      <c r="P135" s="4">
        <f t="shared" si="58"/>
        <v>24.600170418408052</v>
      </c>
      <c r="Q135" s="4">
        <f t="shared" si="59"/>
        <v>113.68300759737757</v>
      </c>
      <c r="R135" s="4">
        <f t="shared" si="60"/>
        <v>113.00193442454112</v>
      </c>
    </row>
    <row r="136" spans="1:18" x14ac:dyDescent="0.25">
      <c r="A136" t="s">
        <v>73</v>
      </c>
      <c r="B136" s="4">
        <f t="shared" si="50"/>
        <v>-10.681930325230965</v>
      </c>
      <c r="C136" s="4">
        <f t="shared" si="50"/>
        <v>-1.7474701863814754</v>
      </c>
      <c r="D136" s="4">
        <f t="shared" si="47"/>
        <v>-6.3176173504213784</v>
      </c>
      <c r="E136" s="4">
        <f t="shared" si="47"/>
        <v>-8.7889133878446994</v>
      </c>
      <c r="F136" s="4">
        <f t="shared" si="48"/>
        <v>-0.66518427331370156</v>
      </c>
      <c r="G136" s="4">
        <f t="shared" si="49"/>
        <v>-2.1850485942769242</v>
      </c>
      <c r="H136" s="4">
        <f t="shared" si="51"/>
        <v>-1.6134138963236109</v>
      </c>
      <c r="I136" s="4">
        <f t="shared" si="52"/>
        <v>-18.981845012669702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-6.3176173504213784</v>
      </c>
      <c r="C137" s="4">
        <f t="shared" si="50"/>
        <v>-8.7889133878446994</v>
      </c>
      <c r="D137" s="4">
        <f t="shared" si="47"/>
        <v>1.7474701863814728</v>
      </c>
      <c r="E137" s="4">
        <f t="shared" si="47"/>
        <v>-10.681930325230965</v>
      </c>
      <c r="F137" s="4">
        <f t="shared" si="48"/>
        <v>-2.1850485942769242</v>
      </c>
      <c r="G137" s="4">
        <f t="shared" si="49"/>
        <v>-2.5936479140178808</v>
      </c>
      <c r="H137" s="4">
        <f t="shared" si="51"/>
        <v>-0.23471746943204194</v>
      </c>
      <c r="I137" s="4">
        <f t="shared" si="52"/>
        <v>-10.271768545175567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1.7474701863814728</v>
      </c>
      <c r="C138" s="4">
        <f t="shared" si="50"/>
        <v>-10.681930325230965</v>
      </c>
      <c r="D138" s="4">
        <f t="shared" si="47"/>
        <v>8.7889133878446959</v>
      </c>
      <c r="E138" s="4">
        <f t="shared" si="47"/>
        <v>-6.3176173504213775</v>
      </c>
      <c r="F138" s="4">
        <f t="shared" si="48"/>
        <v>-2.5936479140178808</v>
      </c>
      <c r="G138" s="4">
        <f t="shared" si="49"/>
        <v>-1.6516302926087394</v>
      </c>
      <c r="H138" s="4">
        <f t="shared" si="51"/>
        <v>0.61980376038575113</v>
      </c>
      <c r="I138" s="4">
        <f t="shared" si="52"/>
        <v>-11.765018917912192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8.7889133878446959</v>
      </c>
      <c r="C139" s="4">
        <f>E138</f>
        <v>-6.3176173504213775</v>
      </c>
      <c r="D139" s="4">
        <f t="shared" si="47"/>
        <v>10.681930325230962</v>
      </c>
      <c r="E139" s="4">
        <f t="shared" si="47"/>
        <v>1.7474701863814737</v>
      </c>
      <c r="F139" s="4">
        <f t="shared" si="48"/>
        <v>-1.6516302926087394</v>
      </c>
      <c r="G139" s="4">
        <f t="shared" si="49"/>
        <v>8.9183123323468533E-2</v>
      </c>
      <c r="H139" s="4">
        <f t="shared" si="51"/>
        <v>4.2604412974447614</v>
      </c>
      <c r="I139" s="4">
        <f t="shared" si="52"/>
        <v>-43.76226690766007</v>
      </c>
      <c r="J139" s="4">
        <f t="shared" si="53"/>
        <v>10.584949706035809</v>
      </c>
      <c r="K139" s="4">
        <f t="shared" si="54"/>
        <v>1.3342899513106818</v>
      </c>
      <c r="L139" s="4">
        <f t="shared" si="55"/>
        <v>10.681930325230962</v>
      </c>
      <c r="M139" s="4">
        <f t="shared" si="56"/>
        <v>1.7474701863814737</v>
      </c>
      <c r="N139" s="4">
        <f t="shared" si="57"/>
        <v>0</v>
      </c>
      <c r="O139" s="4">
        <f t="shared" si="57"/>
        <v>8.9183123323468533E-2</v>
      </c>
      <c r="P139" s="31">
        <f t="shared" si="58"/>
        <v>0.19621204191305847</v>
      </c>
      <c r="Q139" s="31">
        <f t="shared" si="59"/>
        <v>0.31589206272576342</v>
      </c>
      <c r="R139" s="31">
        <f t="shared" si="60"/>
        <v>-1.0447950329419411</v>
      </c>
    </row>
    <row r="140" spans="1:18" ht="15.75" thickTop="1" x14ac:dyDescent="0.25">
      <c r="P140" s="4">
        <f>SUM(P132:P139)</f>
        <v>112.19628855572149</v>
      </c>
      <c r="Q140" s="4">
        <f>SUM(Q132:Q139)</f>
        <v>738.84478122006874</v>
      </c>
      <c r="R140" s="4">
        <f>SUM(R132:R139)</f>
        <v>2.1431429172036118</v>
      </c>
    </row>
    <row r="142" spans="1:18" x14ac:dyDescent="0.25">
      <c r="O142" t="s">
        <v>96</v>
      </c>
      <c r="P142" s="1">
        <f>-1*R140/P140</f>
        <v>-1.9101727381465341E-2</v>
      </c>
    </row>
    <row r="143" spans="1:18" x14ac:dyDescent="0.25">
      <c r="O143" t="s">
        <v>97</v>
      </c>
      <c r="P143" s="1">
        <f>Q140/P140</f>
        <v>6.5852871849065373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4.2727721300923855</v>
      </c>
      <c r="C146" s="9">
        <f>J84</f>
        <v>0.69898807455259004</v>
      </c>
      <c r="D146" s="9">
        <f t="shared" ref="D146:E153" si="61">I85</f>
        <v>3.5155653551378805</v>
      </c>
      <c r="E146">
        <f t="shared" si="61"/>
        <v>-2.52704694016855</v>
      </c>
      <c r="F146" s="4">
        <f>($B$66/$B$65)*(C146-$B$125)</f>
        <v>-0.13712709566768225</v>
      </c>
      <c r="G146" s="4">
        <f>($B$66/$B$65)*(E146-$B$125)</f>
        <v>-0.83345246204056533</v>
      </c>
      <c r="H146" s="4">
        <f>IF(B146=D146,"V",(C146-E146)/(B146-D146))</f>
        <v>4.2604412974447685</v>
      </c>
      <c r="I146" s="4">
        <f>IF(H146="V",0,(-1*B146*H146)+C146)</f>
        <v>-17.50490676306406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3.5155653551378805</v>
      </c>
      <c r="C147">
        <f t="shared" si="62"/>
        <v>-2.52704694016855</v>
      </c>
      <c r="D147" s="9">
        <f t="shared" si="61"/>
        <v>0.69898807455258893</v>
      </c>
      <c r="E147">
        <f t="shared" si="61"/>
        <v>-4.2727721300923864</v>
      </c>
      <c r="F147" s="4">
        <f t="shared" ref="F147:F153" si="63">($B$66/$B$65)*(C147-$B$125)</f>
        <v>-0.83345246204056533</v>
      </c>
      <c r="G147" s="4">
        <f t="shared" ref="G147:G153" si="64">($B$66/$B$65)*(E147-$B$125)</f>
        <v>-1.2102595106042222</v>
      </c>
      <c r="H147" s="4">
        <f t="shared" ref="H147:H153" si="65">IF(B147=D147,"V",(C147-E147)/(B147-D147))</f>
        <v>0.61980376038575102</v>
      </c>
      <c r="I147" s="4">
        <f t="shared" ref="I147:I153" si="66">IF(H147="V",0,(-1*B147*H147)+C147)</f>
        <v>-4.7060075671648764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0.69898807455258893</v>
      </c>
      <c r="C148">
        <f t="shared" si="62"/>
        <v>-4.2727721300923864</v>
      </c>
      <c r="D148" s="9">
        <f t="shared" si="61"/>
        <v>-2.5270469401685505</v>
      </c>
      <c r="E148">
        <f t="shared" si="61"/>
        <v>-3.5155653551378796</v>
      </c>
      <c r="F148" s="4">
        <f t="shared" si="63"/>
        <v>-1.2102595106042222</v>
      </c>
      <c r="G148" s="4">
        <f t="shared" si="64"/>
        <v>-1.0468197827078396</v>
      </c>
      <c r="H148" s="4">
        <f t="shared" si="65"/>
        <v>-0.23471746943204219</v>
      </c>
      <c r="I148" s="4">
        <f t="shared" si="66"/>
        <v>-4.1087074180702272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-2.5270469401685505</v>
      </c>
      <c r="C149">
        <f t="shared" si="62"/>
        <v>-3.5155653551378796</v>
      </c>
      <c r="D149" s="9">
        <f t="shared" si="61"/>
        <v>-4.2727721300923855</v>
      </c>
      <c r="E149">
        <f t="shared" si="61"/>
        <v>-0.6989880745525896</v>
      </c>
      <c r="F149" s="4">
        <f t="shared" si="63"/>
        <v>-1.0468197827078396</v>
      </c>
      <c r="G149" s="4">
        <f t="shared" si="64"/>
        <v>-0.43887405432255033</v>
      </c>
      <c r="H149" s="4">
        <f t="shared" si="65"/>
        <v>-1.6134138963236107</v>
      </c>
      <c r="I149" s="4">
        <f t="shared" si="66"/>
        <v>-7.5927380050678792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-4.2727721300923855</v>
      </c>
      <c r="C150">
        <f t="shared" si="62"/>
        <v>-0.6989880745525896</v>
      </c>
      <c r="D150" s="9">
        <f t="shared" si="61"/>
        <v>-3.5155653551378805</v>
      </c>
      <c r="E150">
        <f t="shared" si="61"/>
        <v>2.52704694016855</v>
      </c>
      <c r="F150" s="4">
        <f t="shared" si="63"/>
        <v>-0.43887405432255033</v>
      </c>
      <c r="G150" s="4">
        <f t="shared" si="64"/>
        <v>0.25745131205033273</v>
      </c>
      <c r="H150" s="4">
        <f t="shared" si="65"/>
        <v>4.2604412974447676</v>
      </c>
      <c r="I150" s="4">
        <f t="shared" si="66"/>
        <v>17.50490676306406</v>
      </c>
      <c r="J150" s="4">
        <f t="shared" si="67"/>
        <v>-3.7955262572099815</v>
      </c>
      <c r="K150" s="4">
        <f t="shared" si="68"/>
        <v>1.3342899513106818</v>
      </c>
      <c r="L150" s="4">
        <f t="shared" si="69"/>
        <v>-3.5155653551378805</v>
      </c>
      <c r="M150" s="4">
        <f t="shared" si="70"/>
        <v>2.52704694016855</v>
      </c>
      <c r="N150" s="4">
        <f t="shared" si="71"/>
        <v>0</v>
      </c>
      <c r="O150" s="4">
        <f t="shared" si="71"/>
        <v>0.25745131205033273</v>
      </c>
      <c r="P150" s="4">
        <f t="shared" si="72"/>
        <v>-0.554102622738329</v>
      </c>
      <c r="Q150" s="4">
        <f t="shared" si="73"/>
        <v>-1.1770917249260147</v>
      </c>
      <c r="R150" s="4">
        <f t="shared" si="74"/>
        <v>-1.0001807827265548</v>
      </c>
    </row>
    <row r="151" spans="1:18" x14ac:dyDescent="0.25">
      <c r="A151" t="s">
        <v>74</v>
      </c>
      <c r="B151" s="9">
        <f t="shared" si="62"/>
        <v>-3.5155653551378805</v>
      </c>
      <c r="C151">
        <f t="shared" si="62"/>
        <v>2.52704694016855</v>
      </c>
      <c r="D151" s="9">
        <f t="shared" si="61"/>
        <v>-0.69898807455259049</v>
      </c>
      <c r="E151">
        <f t="shared" si="61"/>
        <v>4.2727721300923855</v>
      </c>
      <c r="F151" s="4">
        <f t="shared" si="63"/>
        <v>0.25745131205033273</v>
      </c>
      <c r="G151" s="4">
        <f t="shared" si="64"/>
        <v>0.63425836061398944</v>
      </c>
      <c r="H151" s="4">
        <f t="shared" si="65"/>
        <v>0.61980376038575113</v>
      </c>
      <c r="I151" s="4">
        <f t="shared" si="66"/>
        <v>4.7060075671648764</v>
      </c>
      <c r="J151" s="4">
        <f t="shared" si="67"/>
        <v>-3.5155653551378805</v>
      </c>
      <c r="K151" s="4">
        <f t="shared" si="68"/>
        <v>2.52704694016855</v>
      </c>
      <c r="L151" s="4">
        <f t="shared" si="69"/>
        <v>-0.69898807455259049</v>
      </c>
      <c r="M151" s="4">
        <f t="shared" si="70"/>
        <v>4.2727721300923855</v>
      </c>
      <c r="N151" s="4">
        <f t="shared" si="71"/>
        <v>0.25745131205033273</v>
      </c>
      <c r="O151" s="4">
        <f t="shared" si="71"/>
        <v>0.63425836061398944</v>
      </c>
      <c r="P151" s="4">
        <f t="shared" si="72"/>
        <v>-1.4857820546768314</v>
      </c>
      <c r="Q151" s="4">
        <f t="shared" si="73"/>
        <v>-4.9342576803228839</v>
      </c>
      <c r="R151" s="4">
        <f t="shared" si="74"/>
        <v>-1.6600769821590866</v>
      </c>
    </row>
    <row r="152" spans="1:18" x14ac:dyDescent="0.25">
      <c r="A152" t="s">
        <v>75</v>
      </c>
      <c r="B152" s="9">
        <f t="shared" si="62"/>
        <v>-0.69898807455259049</v>
      </c>
      <c r="C152">
        <f t="shared" si="62"/>
        <v>4.2727721300923855</v>
      </c>
      <c r="D152" s="9">
        <f t="shared" si="61"/>
        <v>2.5270469401685505</v>
      </c>
      <c r="E152">
        <f t="shared" si="61"/>
        <v>3.5155653551378796</v>
      </c>
      <c r="F152" s="4">
        <f t="shared" si="63"/>
        <v>0.63425836061398944</v>
      </c>
      <c r="G152" s="4">
        <f t="shared" si="64"/>
        <v>0.47081863271760688</v>
      </c>
      <c r="H152" s="4">
        <f t="shared" si="65"/>
        <v>-0.2347174694320418</v>
      </c>
      <c r="I152" s="4">
        <f t="shared" si="66"/>
        <v>4.1087074180702263</v>
      </c>
      <c r="J152" s="4">
        <f t="shared" si="67"/>
        <v>-0.69898807455259049</v>
      </c>
      <c r="K152" s="4">
        <f t="shared" si="68"/>
        <v>4.2727721300923855</v>
      </c>
      <c r="L152" s="4">
        <f t="shared" si="69"/>
        <v>2.5270469401685505</v>
      </c>
      <c r="M152" s="4">
        <f t="shared" si="70"/>
        <v>3.5155653551378796</v>
      </c>
      <c r="N152" s="4">
        <f t="shared" si="71"/>
        <v>0.63425836061398944</v>
      </c>
      <c r="O152" s="4">
        <f t="shared" si="71"/>
        <v>0.47081863271760688</v>
      </c>
      <c r="P152" s="4">
        <f t="shared" si="72"/>
        <v>-0.3491464726993177</v>
      </c>
      <c r="Q152" s="4">
        <f t="shared" si="73"/>
        <v>-1.2816045299973877</v>
      </c>
      <c r="R152" s="4">
        <f t="shared" si="74"/>
        <v>0.32578779233054145</v>
      </c>
    </row>
    <row r="153" spans="1:18" ht="15.75" thickBot="1" x14ac:dyDescent="0.3">
      <c r="A153" t="s">
        <v>134</v>
      </c>
      <c r="B153" s="9">
        <f t="shared" si="62"/>
        <v>2.5270469401685505</v>
      </c>
      <c r="C153">
        <f t="shared" si="62"/>
        <v>3.5155653551378796</v>
      </c>
      <c r="D153" s="9">
        <f t="shared" si="61"/>
        <v>4.2727721300923855</v>
      </c>
      <c r="E153">
        <f t="shared" si="61"/>
        <v>0.69898807455259004</v>
      </c>
      <c r="F153" s="4">
        <f t="shared" si="63"/>
        <v>0.47081863271760688</v>
      </c>
      <c r="G153" s="4">
        <f t="shared" si="64"/>
        <v>-0.13712709566768225</v>
      </c>
      <c r="H153" s="4">
        <f t="shared" si="65"/>
        <v>-1.6134138963236107</v>
      </c>
      <c r="I153" s="4">
        <f t="shared" si="66"/>
        <v>7.5927380050678792</v>
      </c>
      <c r="J153" s="4">
        <f t="shared" si="67"/>
        <v>2.5270469401685505</v>
      </c>
      <c r="K153" s="4">
        <f t="shared" si="68"/>
        <v>3.5155653551378796</v>
      </c>
      <c r="L153" s="4">
        <f t="shared" si="69"/>
        <v>3.8790096378975951</v>
      </c>
      <c r="M153" s="4">
        <f t="shared" si="70"/>
        <v>1.3342899513106818</v>
      </c>
      <c r="N153" s="4">
        <f t="shared" si="71"/>
        <v>0.47081863271760688</v>
      </c>
      <c r="O153" s="4">
        <f t="shared" si="71"/>
        <v>0</v>
      </c>
      <c r="P153" s="22">
        <f t="shared" si="72"/>
        <v>-1.529027373110674</v>
      </c>
      <c r="Q153" s="22">
        <f t="shared" si="73"/>
        <v>-4.1795251116832963</v>
      </c>
      <c r="R153" s="22">
        <f t="shared" si="74"/>
        <v>2.3025645037065412</v>
      </c>
    </row>
    <row r="154" spans="1:18" ht="15.75" thickTop="1" x14ac:dyDescent="0.25">
      <c r="P154" s="4">
        <f>SUM(P146:P153)</f>
        <v>-3.9180585232251519</v>
      </c>
      <c r="Q154" s="4">
        <f t="shared" ref="Q154:R154" si="75">SUM(Q146:Q153)</f>
        <v>-11.572479046929583</v>
      </c>
      <c r="R154" s="4">
        <f t="shared" si="75"/>
        <v>-3.1905468848558716E-2</v>
      </c>
    </row>
    <row r="156" spans="1:18" x14ac:dyDescent="0.25">
      <c r="O156" t="s">
        <v>96</v>
      </c>
      <c r="P156" s="1">
        <f>-1*R154/P154</f>
        <v>-8.1431833290472929E-3</v>
      </c>
    </row>
    <row r="157" spans="1:18" x14ac:dyDescent="0.25">
      <c r="O157" t="s">
        <v>97</v>
      </c>
      <c r="P157" s="1">
        <f>Q154/P154</f>
        <v>2.9536258783096714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89.999997830155266</v>
      </c>
      <c r="C159" t="s">
        <v>36</v>
      </c>
    </row>
    <row r="160" spans="1:18" x14ac:dyDescent="0.25">
      <c r="A160" s="1" t="s">
        <v>106</v>
      </c>
      <c r="B160" s="4">
        <f>Q140+I122+Q154-O122</f>
        <v>843.78414619427303</v>
      </c>
      <c r="C160" t="s">
        <v>102</v>
      </c>
    </row>
    <row r="161" spans="1:9" x14ac:dyDescent="0.25">
      <c r="A161" s="1" t="s">
        <v>107</v>
      </c>
      <c r="B161" s="4">
        <f>R140+J122+R154-P122</f>
        <v>5.319760276033497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89.999997830155266</v>
      </c>
      <c r="C164" t="s">
        <v>36</v>
      </c>
      <c r="E164" s="8">
        <f>B2-B164</f>
        <v>2.1698447341123028E-6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-439.99999498591609</v>
      </c>
      <c r="C165" t="s">
        <v>102</v>
      </c>
      <c r="E165" s="8">
        <f>B3+B165</f>
        <v>5.0140839107370994E-6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-719.99999279901851</v>
      </c>
      <c r="C166" t="s">
        <v>102</v>
      </c>
      <c r="E166" s="8">
        <f>B4+B166</f>
        <v>7.2009814857665333E-6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2.0176467640276479</v>
      </c>
      <c r="B169" s="1">
        <f>IF(E122=0,0,(MIN(H110:H121)*B65)/(B55*B56*E122))</f>
        <v>-2.0176467049897653</v>
      </c>
      <c r="C169" s="3">
        <f>A169+B169</f>
        <v>5.903788258265763E-8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-3.1528488944641722E-8</v>
      </c>
      <c r="C175" s="27">
        <f>B65*SQRT(I175)</f>
        <v>1.3864791279796386E-7</v>
      </c>
      <c r="D175" s="27">
        <f>B66*SQRT(I175)</f>
        <v>2.9926537757750601E-8</v>
      </c>
      <c r="E175" s="27">
        <f>B67*SQRT(I175)</f>
        <v>9.5578030645205034E-8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-2.1256503225436187</v>
      </c>
      <c r="C176" s="3">
        <f>B65+C175</f>
        <v>9.3476405125681943</v>
      </c>
      <c r="D176" s="3">
        <f>D175+B66</f>
        <v>2.0176467939541856</v>
      </c>
      <c r="E176" s="3">
        <f>B67+E175</f>
        <v>6.4438696071285078</v>
      </c>
      <c r="F176" s="16" t="s">
        <v>125</v>
      </c>
    </row>
    <row r="177" spans="1:13" x14ac:dyDescent="0.25">
      <c r="B177" s="27">
        <f>B176-B64</f>
        <v>-3.1528489152776729E-8</v>
      </c>
      <c r="C177" s="27">
        <f>C176-B65</f>
        <v>1.3864791270634669E-7</v>
      </c>
      <c r="D177" s="27">
        <f>D176-B66</f>
        <v>2.9926537692404054E-8</v>
      </c>
      <c r="E177" s="27">
        <f>E176-B67</f>
        <v>9.5578030823162408E-8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-53.665603716903213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10.681930313218608</v>
      </c>
      <c r="B181" s="25">
        <f>(d_alpha_p!E136-d_alpha_m!E136)/(2*B177)</f>
        <v>6.317617343414712</v>
      </c>
      <c r="C181" s="25">
        <f>(d_alpha_p!E137-d_alpha_m!E137)/(2*B177)</f>
        <v>-1.7474701548031415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-2.1698447341123028E-6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-5.0140839107370994E-6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-7.2009814857665333E-6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-5.903788258265763E-8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-53.665603716903213</v>
      </c>
      <c r="B190" s="25">
        <f>A181</f>
        <v>10.681930313218608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6.317617343414712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-1.7474701548031415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-53.665603716903213</v>
      </c>
      <c r="B201" s="25">
        <f t="shared" ref="B201:C201" si="77">B190</f>
        <v>10.681930313218608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6.317617343414712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-1.7474701548031415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720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0.82210018496084025</v>
      </c>
      <c r="J4" t="s">
        <v>11</v>
      </c>
    </row>
    <row r="5" spans="1:29" x14ac:dyDescent="0.25">
      <c r="A5" s="10" t="s">
        <v>104</v>
      </c>
      <c r="B5" s="20">
        <f>ATAN2(B3,B4)</f>
        <v>1.0222469243443686</v>
      </c>
      <c r="C5" t="s">
        <v>19</v>
      </c>
      <c r="I5">
        <f>SUM(I2:I4)</f>
        <v>1.5960937682038825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0.34052504624021007</v>
      </c>
      <c r="AC14">
        <f>$I$2+AA14+AB14</f>
        <v>0.10972951453111424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0.82210018496084025</v>
      </c>
      <c r="AC15">
        <f t="shared" ref="AC15:AC20" si="12">$I$2+AA15+AB15</f>
        <v>0.88560057135879622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0.82210018496084025</v>
      </c>
      <c r="AC16">
        <f t="shared" si="12"/>
        <v>1.3017978500968308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0.34052504624021007</v>
      </c>
      <c r="AC17">
        <f t="shared" si="12"/>
        <v>1.1145186294832525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-0.34052504624021007</v>
      </c>
      <c r="AC18">
        <f t="shared" si="12"/>
        <v>0.43346853700283228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-0.82210018496084025</v>
      </c>
      <c r="AC19">
        <f t="shared" si="12"/>
        <v>-0.34240251982484976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-0.82210018496084025</v>
      </c>
      <c r="AC20">
        <f t="shared" si="12"/>
        <v>-0.75859979856288429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-0.34052504624021007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Analysis'!E55</f>
        <v>10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-2.1256502910151296</v>
      </c>
      <c r="C64" t="s">
        <v>19</v>
      </c>
      <c r="D64" t="s">
        <v>34</v>
      </c>
      <c r="H64" s="17">
        <f>DEGREES(B64)</f>
        <v>-121.79079039592214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9.3476405125681961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2.0176467640276479</v>
      </c>
      <c r="C66" t="s">
        <v>11</v>
      </c>
      <c r="D66">
        <f>B66/B53</f>
        <v>6.4626321495622914E-4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6.4438696071285078</v>
      </c>
      <c r="C67" t="s">
        <v>36</v>
      </c>
      <c r="D67" t="s">
        <v>122</v>
      </c>
      <c r="G67" s="20">
        <f>($B$56*$B$66*$B$55*$E$122)/$B$65</f>
        <v>6.4438695115504787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-11.681930325230965</v>
      </c>
      <c r="R76">
        <f>Q76</f>
        <v>-11.681930325230965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11.681930325230965</v>
      </c>
      <c r="R77">
        <f>Q77</f>
        <v>11.681930325230965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10.681930325230962</v>
      </c>
      <c r="C84" s="1">
        <f t="shared" ref="C84:C92" si="23">(-1*B73*SIN($B$64))+(C73*COS($B$64))</f>
        <v>1.7474701863814737</v>
      </c>
      <c r="H84" s="1">
        <f t="shared" ref="H84:H92" si="24">H73</f>
        <v>1</v>
      </c>
      <c r="I84" s="4">
        <f>(I73*COS($B$64))+(J73*SIN($B$64))</f>
        <v>4.2727721300923855</v>
      </c>
      <c r="J84" s="1">
        <f>(-1*I73*SIN($B$64))+(J73*COS($B$64))</f>
        <v>0.69898807455259004</v>
      </c>
    </row>
    <row r="85" spans="1:10" x14ac:dyDescent="0.25">
      <c r="A85" s="1">
        <f t="shared" si="21"/>
        <v>2</v>
      </c>
      <c r="B85" s="4">
        <f t="shared" si="22"/>
        <v>6.3176173504213748</v>
      </c>
      <c r="C85" s="1">
        <f t="shared" si="23"/>
        <v>8.7889133878446977</v>
      </c>
      <c r="H85" s="1">
        <f t="shared" si="24"/>
        <v>2</v>
      </c>
      <c r="I85" s="4">
        <f t="shared" ref="I85:I92" si="25">(I74*COS($B$64))+(J74*SIN($B$64))</f>
        <v>3.5155653551378805</v>
      </c>
      <c r="J85" s="1">
        <f t="shared" ref="J85:J92" si="26">(-1*I74*SIN($B$64))+(J74*COS($B$64))</f>
        <v>-2.52704694016855</v>
      </c>
    </row>
    <row r="86" spans="1:10" x14ac:dyDescent="0.25">
      <c r="A86" s="1">
        <f t="shared" si="21"/>
        <v>3</v>
      </c>
      <c r="B86" s="4">
        <f t="shared" si="22"/>
        <v>-1.7474701863814768</v>
      </c>
      <c r="C86" s="1">
        <f t="shared" si="23"/>
        <v>10.681930325230963</v>
      </c>
      <c r="H86" s="1">
        <f t="shared" si="24"/>
        <v>3</v>
      </c>
      <c r="I86" s="4">
        <f t="shared" si="25"/>
        <v>0.69898807455258893</v>
      </c>
      <c r="J86" s="1">
        <f t="shared" si="26"/>
        <v>-4.2727721300923864</v>
      </c>
    </row>
    <row r="87" spans="1:10" x14ac:dyDescent="0.25">
      <c r="A87" s="1">
        <f t="shared" si="21"/>
        <v>4</v>
      </c>
      <c r="B87" s="4">
        <f t="shared" si="22"/>
        <v>-8.7889133878447012</v>
      </c>
      <c r="C87" s="1">
        <f t="shared" si="23"/>
        <v>6.3176173504213757</v>
      </c>
      <c r="H87" s="1">
        <f t="shared" si="24"/>
        <v>4</v>
      </c>
      <c r="I87" s="4">
        <f t="shared" si="25"/>
        <v>-2.5270469401685505</v>
      </c>
      <c r="J87" s="1">
        <f t="shared" si="26"/>
        <v>-3.5155653551378796</v>
      </c>
    </row>
    <row r="88" spans="1:10" x14ac:dyDescent="0.25">
      <c r="A88" s="1">
        <f t="shared" si="21"/>
        <v>5</v>
      </c>
      <c r="B88" s="4">
        <f t="shared" si="22"/>
        <v>-10.681930325230965</v>
      </c>
      <c r="C88" s="1">
        <f t="shared" si="23"/>
        <v>-1.7474701863814754</v>
      </c>
      <c r="H88" s="1">
        <f t="shared" si="24"/>
        <v>5</v>
      </c>
      <c r="I88" s="4">
        <f t="shared" si="25"/>
        <v>-4.2727721300923855</v>
      </c>
      <c r="J88" s="1">
        <f t="shared" si="26"/>
        <v>-0.6989880745525896</v>
      </c>
    </row>
    <row r="89" spans="1:10" x14ac:dyDescent="0.25">
      <c r="A89" s="1">
        <f t="shared" si="21"/>
        <v>6</v>
      </c>
      <c r="B89" s="4">
        <f t="shared" si="22"/>
        <v>-6.3176173504213784</v>
      </c>
      <c r="C89" s="1">
        <f t="shared" si="23"/>
        <v>-8.7889133878446994</v>
      </c>
      <c r="H89" s="1">
        <f t="shared" si="24"/>
        <v>6</v>
      </c>
      <c r="I89" s="4">
        <f t="shared" si="25"/>
        <v>-3.5155653551378805</v>
      </c>
      <c r="J89" s="1">
        <f t="shared" si="26"/>
        <v>2.52704694016855</v>
      </c>
    </row>
    <row r="90" spans="1:10" x14ac:dyDescent="0.25">
      <c r="A90" s="1">
        <f t="shared" si="21"/>
        <v>7</v>
      </c>
      <c r="B90" s="4">
        <f t="shared" si="22"/>
        <v>1.7474701863814728</v>
      </c>
      <c r="C90" s="1">
        <f t="shared" si="23"/>
        <v>-10.681930325230965</v>
      </c>
      <c r="H90" s="1">
        <f t="shared" si="24"/>
        <v>7</v>
      </c>
      <c r="I90" s="4">
        <f t="shared" si="25"/>
        <v>-0.69898807455259049</v>
      </c>
      <c r="J90" s="1">
        <f t="shared" si="26"/>
        <v>4.2727721300923855</v>
      </c>
    </row>
    <row r="91" spans="1:10" x14ac:dyDescent="0.25">
      <c r="A91" s="1">
        <f t="shared" si="21"/>
        <v>8</v>
      </c>
      <c r="B91" s="4">
        <f t="shared" si="22"/>
        <v>8.7889133878446959</v>
      </c>
      <c r="C91" s="1">
        <f t="shared" si="23"/>
        <v>-6.3176173504213775</v>
      </c>
      <c r="H91" s="1">
        <f t="shared" si="24"/>
        <v>8</v>
      </c>
      <c r="I91" s="4">
        <f t="shared" si="25"/>
        <v>2.5270469401685505</v>
      </c>
      <c r="J91" s="1">
        <f t="shared" si="26"/>
        <v>3.5155653551378796</v>
      </c>
    </row>
    <row r="92" spans="1:10" x14ac:dyDescent="0.25">
      <c r="A92" s="1">
        <f t="shared" si="21"/>
        <v>9</v>
      </c>
      <c r="B92" s="4">
        <f t="shared" si="22"/>
        <v>10.681930325230962</v>
      </c>
      <c r="C92" s="1">
        <f t="shared" si="23"/>
        <v>1.7474701863814737</v>
      </c>
      <c r="H92" s="1">
        <f t="shared" si="24"/>
        <v>9</v>
      </c>
      <c r="I92" s="4">
        <f t="shared" si="25"/>
        <v>4.2727721300923855</v>
      </c>
      <c r="J92" s="1">
        <f t="shared" si="26"/>
        <v>0.69898807455259004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160</v>
      </c>
      <c r="O109" t="s">
        <v>158</v>
      </c>
      <c r="P109" t="s">
        <v>159</v>
      </c>
    </row>
    <row r="110" spans="1:16" x14ac:dyDescent="0.25">
      <c r="A110">
        <f>A95</f>
        <v>1</v>
      </c>
      <c r="B110" s="1">
        <f>(B95*COS($B$64))+(C95*SIN($B$64))</f>
        <v>-4.4779630190461237</v>
      </c>
      <c r="C110" s="1">
        <f>(-1*B95*SIN($B$64))+(C95*COS($B$64))</f>
        <v>7.2248077621522446</v>
      </c>
      <c r="D110" t="str">
        <f t="shared" ref="D110" si="31">D95</f>
        <v>y</v>
      </c>
      <c r="E110" s="4">
        <f t="shared" ref="E110:E121" si="32">IF($D110="y",$B$125-C110,0)</f>
        <v>-5.8905179494894773</v>
      </c>
      <c r="F110" s="1">
        <f>IF($D110="y",B110,NA())</f>
        <v>-4.4779630190461237</v>
      </c>
      <c r="G110" s="1">
        <f>IF($D110="y",C110,NA())</f>
        <v>7.2248077621522446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>H110/$B$55</f>
        <v>0</v>
      </c>
      <c r="L110">
        <f>K110/$B$54</f>
        <v>0</v>
      </c>
      <c r="M110">
        <f t="shared" ref="M110:M121" si="34">IFERROR(($D$66/$B$65)*(G110-$B$125),0)</f>
        <v>4.0724983622081405E-4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-8.2751085780571572</v>
      </c>
      <c r="C111" s="1">
        <f t="shared" ref="C111:C121" si="37">(-1*B96*SIN($B$64))+(C96*COS($B$64))</f>
        <v>1.9423125447169585</v>
      </c>
      <c r="D111" t="str">
        <f t="shared" si="35"/>
        <v>y</v>
      </c>
      <c r="E111" s="4">
        <f t="shared" si="32"/>
        <v>-0.60802273205419111</v>
      </c>
      <c r="F111" s="1">
        <f t="shared" ref="F111:G121" si="38">IF($D111="y",B111,NA())</f>
        <v>-8.2751085780571572</v>
      </c>
      <c r="G111" s="1">
        <f t="shared" si="38"/>
        <v>1.9423125447169585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>H111/$B$55</f>
        <v>0</v>
      </c>
      <c r="L111">
        <f t="shared" ref="L111:L121" si="41">K111/$B$54</f>
        <v>0</v>
      </c>
      <c r="M111">
        <f t="shared" si="34"/>
        <v>4.2036567950541911E-5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-7.2248077621522464</v>
      </c>
      <c r="C112" s="1">
        <f t="shared" si="37"/>
        <v>-4.4779630190461246</v>
      </c>
      <c r="D112" t="str">
        <f t="shared" si="35"/>
        <v>y</v>
      </c>
      <c r="E112" s="4">
        <f t="shared" si="32"/>
        <v>5.812252831708892</v>
      </c>
      <c r="F112" s="1">
        <f t="shared" si="38"/>
        <v>-7.2248077621522464</v>
      </c>
      <c r="G112" s="1">
        <f t="shared" si="38"/>
        <v>-4.4779630190461246</v>
      </c>
      <c r="H112">
        <f t="shared" si="33"/>
        <v>-3.897580040740674</v>
      </c>
      <c r="I112">
        <f t="shared" si="39"/>
        <v>17.453219286209027</v>
      </c>
      <c r="J112">
        <f t="shared" si="40"/>
        <v>-28.159266531952891</v>
      </c>
      <c r="K112">
        <f t="shared" ref="K112:K121" si="45">H112/$B$55</f>
        <v>-11.653327093917291</v>
      </c>
      <c r="L112">
        <f t="shared" si="41"/>
        <v>-4.0183886530749277E-4</v>
      </c>
      <c r="M112">
        <f t="shared" si="34"/>
        <v>-4.0183885934725938E-4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-1.9423125447169589</v>
      </c>
      <c r="C113" s="1">
        <f t="shared" si="37"/>
        <v>-8.2751085780571572</v>
      </c>
      <c r="D113" t="str">
        <f t="shared" si="35"/>
        <v>y</v>
      </c>
      <c r="E113" s="4">
        <f t="shared" si="32"/>
        <v>9.6093983907199245</v>
      </c>
      <c r="F113" s="1">
        <f t="shared" si="38"/>
        <v>-1.9423125447169589</v>
      </c>
      <c r="G113" s="1">
        <f t="shared" si="38"/>
        <v>-8.2751085780571572</v>
      </c>
      <c r="H113">
        <f t="shared" si="33"/>
        <v>-6.4438696071285078</v>
      </c>
      <c r="I113">
        <f t="shared" si="39"/>
        <v>53.323720661830919</v>
      </c>
      <c r="J113">
        <f t="shared" si="40"/>
        <v>-12.516008774446043</v>
      </c>
      <c r="K113">
        <f t="shared" si="45"/>
        <v>-19.266447256372611</v>
      </c>
      <c r="L113">
        <f t="shared" si="41"/>
        <v>-6.6436025021974522E-4</v>
      </c>
      <c r="M113">
        <f t="shared" si="34"/>
        <v>-6.6436024036569047E-4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4.4779630190461237</v>
      </c>
      <c r="C114" s="1">
        <f t="shared" si="37"/>
        <v>-7.2248077621522446</v>
      </c>
      <c r="D114" t="str">
        <f t="shared" si="35"/>
        <v>y</v>
      </c>
      <c r="E114" s="4">
        <f t="shared" si="32"/>
        <v>8.5590975748150129</v>
      </c>
      <c r="F114" s="1">
        <f t="shared" si="38"/>
        <v>4.4779630190461237</v>
      </c>
      <c r="G114" s="1">
        <f t="shared" si="38"/>
        <v>-7.2248077621522446</v>
      </c>
      <c r="H114">
        <f t="shared" si="33"/>
        <v>-5.7395589696917257</v>
      </c>
      <c r="I114">
        <f t="shared" si="39"/>
        <v>41.467210195559318</v>
      </c>
      <c r="J114">
        <f t="shared" si="40"/>
        <v>25.701532811914021</v>
      </c>
      <c r="K114">
        <f t="shared" si="45"/>
        <v>-17.160637459528388</v>
      </c>
      <c r="L114">
        <f t="shared" si="41"/>
        <v>-5.917461192940823E-4</v>
      </c>
      <c r="M114">
        <f t="shared" si="34"/>
        <v>-5.9174611051706933E-4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8.2751085780571572</v>
      </c>
      <c r="C115" s="1">
        <f t="shared" si="37"/>
        <v>-1.9423125447169598</v>
      </c>
      <c r="D115" t="str">
        <f t="shared" si="35"/>
        <v>y</v>
      </c>
      <c r="E115" s="4">
        <f t="shared" si="32"/>
        <v>3.2766023573797272</v>
      </c>
      <c r="F115" s="1">
        <f t="shared" si="38"/>
        <v>8.2751085780571572</v>
      </c>
      <c r="G115" s="1">
        <f t="shared" si="38"/>
        <v>-1.9423125447169598</v>
      </c>
      <c r="H115">
        <f t="shared" si="33"/>
        <v>-2.1972237477171563</v>
      </c>
      <c r="I115">
        <f t="shared" si="39"/>
        <v>4.2676952487410453</v>
      </c>
      <c r="J115">
        <f t="shared" si="40"/>
        <v>18.182265082645134</v>
      </c>
      <c r="K115">
        <f t="shared" si="45"/>
        <v>-6.5694525225978433</v>
      </c>
      <c r="L115">
        <f t="shared" si="41"/>
        <v>-2.2653284560682219E-4</v>
      </c>
      <c r="M115">
        <f t="shared" si="34"/>
        <v>-2.265328422467972E-4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7.2248077621522446</v>
      </c>
      <c r="C116" s="1">
        <f t="shared" si="37"/>
        <v>4.4779630190461237</v>
      </c>
      <c r="D116" t="str">
        <f t="shared" si="35"/>
        <v>y</v>
      </c>
      <c r="E116" s="4">
        <f t="shared" si="32"/>
        <v>-3.1436732063833563</v>
      </c>
      <c r="F116" s="1">
        <f t="shared" si="38"/>
        <v>7.2248077621522446</v>
      </c>
      <c r="G116" s="1">
        <f t="shared" si="38"/>
        <v>4.4779630190461237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si="45"/>
        <v>0</v>
      </c>
      <c r="L116">
        <f t="shared" si="41"/>
        <v>0</v>
      </c>
      <c r="M116">
        <f t="shared" si="34"/>
        <v>2.1734258505100412E-4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1.9423125447169602</v>
      </c>
      <c r="C117" s="1">
        <f t="shared" si="37"/>
        <v>8.2751085780571572</v>
      </c>
      <c r="D117" t="str">
        <f t="shared" si="35"/>
        <v>y</v>
      </c>
      <c r="E117" s="4">
        <f t="shared" si="32"/>
        <v>-6.9408187653943898</v>
      </c>
      <c r="F117" s="1">
        <f t="shared" si="38"/>
        <v>1.9423125447169602</v>
      </c>
      <c r="G117" s="1">
        <f t="shared" si="38"/>
        <v>8.2751085780571572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si="45"/>
        <v>0</v>
      </c>
      <c r="L117">
        <f t="shared" si="41"/>
        <v>0</v>
      </c>
      <c r="M117">
        <f t="shared" si="34"/>
        <v>4.7986396606943525E-4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10.681930325230962</v>
      </c>
      <c r="C118" s="1">
        <f t="shared" si="37"/>
        <v>1.7474701863814737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si="45"/>
        <v>0</v>
      </c>
      <c r="L118">
        <f t="shared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10.681930325230962</v>
      </c>
      <c r="C119" s="1">
        <f t="shared" si="37"/>
        <v>1.7474701863814737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si="45"/>
        <v>0</v>
      </c>
      <c r="L119">
        <f t="shared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10.681930325230962</v>
      </c>
      <c r="C120" s="1">
        <f t="shared" si="37"/>
        <v>1.7474701863814737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si="45"/>
        <v>0</v>
      </c>
      <c r="L120">
        <f t="shared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10.681930325230962</v>
      </c>
      <c r="C121" s="1">
        <f t="shared" si="37"/>
        <v>1.7474701863814737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si="45"/>
        <v>0</v>
      </c>
      <c r="L121">
        <f t="shared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9.6093983907199245</v>
      </c>
      <c r="H122">
        <f>SUM(H110:H121)</f>
        <v>-18.278232365278065</v>
      </c>
      <c r="I122">
        <f t="shared" ref="I122:J122" si="46">SUM(I110:I121)</f>
        <v>116.51184539234031</v>
      </c>
      <c r="J122">
        <f t="shared" si="46"/>
        <v>3.2085225881602248</v>
      </c>
      <c r="L122">
        <f>MIN(L110:L121)</f>
        <v>-6.6436025021974522E-4</v>
      </c>
      <c r="M122">
        <f>MIN(M110:M121)</f>
        <v>-6.6436024036569047E-4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1.3342898126627674</v>
      </c>
      <c r="F125" s="1" t="s">
        <v>27</v>
      </c>
      <c r="G125" s="1" t="s">
        <v>28</v>
      </c>
    </row>
    <row r="126" spans="1:16" x14ac:dyDescent="0.25">
      <c r="F126" s="4">
        <f>MIN(B84:B90)-1</f>
        <v>-11.681930325230965</v>
      </c>
      <c r="G126" s="4">
        <f>B125</f>
        <v>1.3342898126627674</v>
      </c>
    </row>
    <row r="127" spans="1:16" x14ac:dyDescent="0.25">
      <c r="F127" s="4">
        <f>MAX(B84:B90)+1</f>
        <v>11.681930325230962</v>
      </c>
      <c r="G127" s="4">
        <f>G126</f>
        <v>1.3342898126627674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10.681930325230962</v>
      </c>
      <c r="C132" s="4">
        <f>C84</f>
        <v>1.7474701863814737</v>
      </c>
      <c r="D132" s="4">
        <f t="shared" ref="D132:E139" si="47">B85</f>
        <v>6.3176173504213748</v>
      </c>
      <c r="E132" s="4">
        <f t="shared" si="47"/>
        <v>8.7889133878446977</v>
      </c>
      <c r="F132" s="4">
        <f t="shared" ref="F132:F139" si="48">($B$66/$B$65)*(C132-$B$125)</f>
        <v>8.918315192720673E-2</v>
      </c>
      <c r="G132" s="4">
        <f t="shared" ref="G132:G139" si="49">($B$66/$B$65)*(E132-$B$125)</f>
        <v>1.6090474503471988</v>
      </c>
      <c r="H132" s="4">
        <f>IF(B132=D132,"V",(C132-E132)/(B132-D132))</f>
        <v>-1.6134138963236109</v>
      </c>
      <c r="I132" s="4">
        <f>IF(H132="V",0,(-1*B132*H132)+C132)</f>
        <v>18.981845012669694</v>
      </c>
      <c r="J132" s="4">
        <f>IF($F132&gt;=0,B132,IF(AND($F132&lt;0,$G132&gt;=0),IF(H132="V",B132,($B$125-I132)/H132),0))</f>
        <v>10.681930325230962</v>
      </c>
      <c r="K132" s="4">
        <f>IF($F132&gt;=0,C132,IF(AND($F132&lt;0,$G132&gt;=0),$B$125,0))</f>
        <v>1.7474701863814737</v>
      </c>
      <c r="L132" s="4">
        <f>IF($G132&gt;=0,D132,IF(AND($G132&lt;0,$F132&gt;=0),IF(H132="V",D132,($B$125-I132)/H132),0))</f>
        <v>6.3176173504213748</v>
      </c>
      <c r="M132" s="4">
        <f>IF($G132&gt;=0,E132,IF(AND($G132&lt;0,$F132&gt;=0),$B$125,0))</f>
        <v>8.7889133878446977</v>
      </c>
      <c r="N132" s="4">
        <f>IF(F132&lt;0,0,F132)</f>
        <v>8.918315192720673E-2</v>
      </c>
      <c r="O132" s="4">
        <f>IF(G132&lt;0,0,G132)</f>
        <v>1.6090474503471988</v>
      </c>
      <c r="P132" s="4">
        <f>(1/6)*(M132-K132)*((N132*((2*J132)+L132))+(O132*(J132+(2*L132))))</f>
        <v>46.927870018741395</v>
      </c>
      <c r="Q132" s="4">
        <f>((1/12)*(M132-K132)*(N132*J132*((3*K132)+M132)+N132*L132*(K132+M132)+O132*J132*(K132+M132)+O132*L132*(K132+(3*M132))))</f>
        <v>285.29029198226846</v>
      </c>
      <c r="R132" s="4">
        <f>((-1/24)*(M132-K132)*(J132*J132*((3*N132)+O132)+2*J132*L132*(N132+O132)+L132*L132*(N132+(3*O132))))</f>
        <v>-187.64164138782894</v>
      </c>
    </row>
    <row r="133" spans="1:18" x14ac:dyDescent="0.25">
      <c r="A133" t="s">
        <v>70</v>
      </c>
      <c r="B133" s="4">
        <f t="shared" ref="B133:C138" si="50">D132</f>
        <v>6.3176173504213748</v>
      </c>
      <c r="C133" s="4">
        <f t="shared" si="50"/>
        <v>8.7889133878446977</v>
      </c>
      <c r="D133" s="4">
        <f t="shared" si="47"/>
        <v>-1.7474701863814768</v>
      </c>
      <c r="E133" s="4">
        <f t="shared" si="47"/>
        <v>10.681930325230963</v>
      </c>
      <c r="F133" s="4">
        <f t="shared" si="48"/>
        <v>1.6090474503471988</v>
      </c>
      <c r="G133" s="4">
        <f t="shared" si="49"/>
        <v>2.0176467640276479</v>
      </c>
      <c r="H133" s="4">
        <f t="shared" ref="H133:H139" si="51">IF(B133=D133,"V",(C133-E133)/(B133-D133))</f>
        <v>-0.23471746943204194</v>
      </c>
      <c r="I133" s="4">
        <f t="shared" ref="I133:I139" si="52">IF(H133="V",0,(-1*B133*H133)+C133)</f>
        <v>10.271768545175565</v>
      </c>
      <c r="J133" s="4">
        <f t="shared" ref="J133:J139" si="53">IF($F133&gt;=0,B133,IF(AND($F133&lt;0,$G133&gt;=0),IF(H133="V",B133,($B$125-I133)/H133),0))</f>
        <v>6.3176173504213748</v>
      </c>
      <c r="K133" s="4">
        <f t="shared" ref="K133:K139" si="54">IF($F133&gt;=0,C133,IF(AND($F133&lt;0,$G133&gt;=0),$B$125,0))</f>
        <v>8.7889133878446977</v>
      </c>
      <c r="L133" s="4">
        <f t="shared" ref="L133:L139" si="55">IF($G133&gt;=0,D133,IF(AND($G133&lt;0,$F133&gt;=0),IF(H133="V",D133,($B$125-I133)/H133),0))</f>
        <v>-1.7474701863814768</v>
      </c>
      <c r="M133" s="4">
        <f t="shared" ref="M133:M139" si="56">IF($G133&gt;=0,E133,IF(AND($G133&lt;0,$F133&gt;=0),$B$125,0))</f>
        <v>10.681930325230963</v>
      </c>
      <c r="N133" s="4">
        <f t="shared" ref="N133:O139" si="57">IF(F133&lt;0,0,F133)</f>
        <v>1.6090474503471988</v>
      </c>
      <c r="O133" s="4">
        <f t="shared" si="57"/>
        <v>2.0176467640276479</v>
      </c>
      <c r="P133" s="4">
        <f t="shared" ref="P133:P139" si="58">(1/6)*(M133-K133)*((N133*((2*J133)+L133))+(O133*(J133+(2*L133))))</f>
        <v>7.3241124409963767</v>
      </c>
      <c r="Q133" s="4">
        <f t="shared" ref="Q133:Q139" si="59">((1/12)*(M133-K133)*(N133*J133*((3*K133)+M133)+N133*L133*(K133+M133)+O133*J133*(K133+M133)+O133*L133*(K133+(3*M133))))</f>
        <v>67.214797560888798</v>
      </c>
      <c r="R133" s="4">
        <f t="shared" ref="R133:R139" si="60">((-1/24)*(M133-K133)*(J133*J133*((3*N133)+O133)+2*J133*L133*(N133+O133)+L133*L133*(N133+(3*O133))))</f>
        <v>-17.077532088398556</v>
      </c>
    </row>
    <row r="134" spans="1:18" x14ac:dyDescent="0.25">
      <c r="A134" t="s">
        <v>71</v>
      </c>
      <c r="B134" s="4">
        <f t="shared" si="50"/>
        <v>-1.7474701863814768</v>
      </c>
      <c r="C134" s="4">
        <f t="shared" si="50"/>
        <v>10.681930325230963</v>
      </c>
      <c r="D134" s="4">
        <f t="shared" si="47"/>
        <v>-8.7889133878447012</v>
      </c>
      <c r="E134" s="4">
        <f t="shared" si="47"/>
        <v>6.3176173504213757</v>
      </c>
      <c r="F134" s="4">
        <f t="shared" si="48"/>
        <v>2.0176467640276479</v>
      </c>
      <c r="G134" s="4">
        <f t="shared" si="49"/>
        <v>1.0756291565908858</v>
      </c>
      <c r="H134" s="4">
        <f t="shared" si="51"/>
        <v>0.61980376038575102</v>
      </c>
      <c r="I134" s="4">
        <f t="shared" si="52"/>
        <v>11.765018917912192</v>
      </c>
      <c r="J134" s="4">
        <f t="shared" si="53"/>
        <v>-1.7474701863814768</v>
      </c>
      <c r="K134" s="4">
        <f t="shared" si="54"/>
        <v>10.681930325230963</v>
      </c>
      <c r="L134" s="4">
        <f t="shared" si="55"/>
        <v>-8.7889133878447012</v>
      </c>
      <c r="M134" s="4">
        <f t="shared" si="56"/>
        <v>6.3176173504213757</v>
      </c>
      <c r="N134" s="4">
        <f t="shared" si="57"/>
        <v>2.0176467640276479</v>
      </c>
      <c r="O134" s="4">
        <f t="shared" si="57"/>
        <v>1.0756291565908858</v>
      </c>
      <c r="P134" s="4">
        <f t="shared" si="58"/>
        <v>33.147924947960782</v>
      </c>
      <c r="Q134" s="4">
        <f t="shared" si="59"/>
        <v>272.34079834735365</v>
      </c>
      <c r="R134" s="4">
        <f t="shared" si="60"/>
        <v>94.905172632156095</v>
      </c>
    </row>
    <row r="135" spans="1:18" x14ac:dyDescent="0.25">
      <c r="A135" t="s">
        <v>72</v>
      </c>
      <c r="B135" s="4">
        <f t="shared" si="50"/>
        <v>-8.7889133878447012</v>
      </c>
      <c r="C135" s="4">
        <f t="shared" si="50"/>
        <v>6.3176173504213757</v>
      </c>
      <c r="D135" s="4">
        <f t="shared" si="47"/>
        <v>-10.681930325230965</v>
      </c>
      <c r="E135" s="4">
        <f t="shared" si="47"/>
        <v>-1.7474701863814754</v>
      </c>
      <c r="F135" s="4">
        <f t="shared" si="48"/>
        <v>1.0756291565908858</v>
      </c>
      <c r="G135" s="4">
        <f t="shared" si="49"/>
        <v>-0.66518423352088674</v>
      </c>
      <c r="H135" s="4">
        <f t="shared" si="51"/>
        <v>4.2604412974447659</v>
      </c>
      <c r="I135" s="4">
        <f t="shared" si="52"/>
        <v>43.762266907660134</v>
      </c>
      <c r="J135" s="4">
        <f t="shared" si="53"/>
        <v>-8.7889133878447012</v>
      </c>
      <c r="K135" s="4">
        <f t="shared" si="54"/>
        <v>6.3176173504213757</v>
      </c>
      <c r="L135" s="4">
        <f t="shared" si="55"/>
        <v>-9.9585874168584105</v>
      </c>
      <c r="M135" s="4">
        <f t="shared" si="56"/>
        <v>1.3342898126627674</v>
      </c>
      <c r="N135" s="4">
        <f t="shared" si="57"/>
        <v>1.0756291565908858</v>
      </c>
      <c r="O135" s="4">
        <f t="shared" si="57"/>
        <v>0</v>
      </c>
      <c r="P135" s="4">
        <f t="shared" si="58"/>
        <v>24.600171451470992</v>
      </c>
      <c r="Q135" s="4">
        <f t="shared" si="59"/>
        <v>113.68301118720888</v>
      </c>
      <c r="R135" s="4">
        <f t="shared" si="60"/>
        <v>113.00193930893477</v>
      </c>
    </row>
    <row r="136" spans="1:18" x14ac:dyDescent="0.25">
      <c r="A136" t="s">
        <v>73</v>
      </c>
      <c r="B136" s="4">
        <f t="shared" si="50"/>
        <v>-10.681930325230965</v>
      </c>
      <c r="C136" s="4">
        <f t="shared" si="50"/>
        <v>-1.7474701863814754</v>
      </c>
      <c r="D136" s="4">
        <f t="shared" si="47"/>
        <v>-6.3176173504213784</v>
      </c>
      <c r="E136" s="4">
        <f t="shared" si="47"/>
        <v>-8.7889133878446994</v>
      </c>
      <c r="F136" s="4">
        <f t="shared" si="48"/>
        <v>-0.66518423352088674</v>
      </c>
      <c r="G136" s="4">
        <f t="shared" si="49"/>
        <v>-2.1850485319408786</v>
      </c>
      <c r="H136" s="4">
        <f t="shared" si="51"/>
        <v>-1.6134138963236109</v>
      </c>
      <c r="I136" s="4">
        <f t="shared" si="52"/>
        <v>-18.981845012669702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-6.3176173504213784</v>
      </c>
      <c r="C137" s="4">
        <f t="shared" si="50"/>
        <v>-8.7889133878446994</v>
      </c>
      <c r="D137" s="4">
        <f t="shared" si="47"/>
        <v>1.7474701863814728</v>
      </c>
      <c r="E137" s="4">
        <f t="shared" si="47"/>
        <v>-10.681930325230965</v>
      </c>
      <c r="F137" s="4">
        <f t="shared" si="48"/>
        <v>-2.1850485319408786</v>
      </c>
      <c r="G137" s="4">
        <f t="shared" si="49"/>
        <v>-2.5936478456213279</v>
      </c>
      <c r="H137" s="4">
        <f t="shared" si="51"/>
        <v>-0.23471746943204194</v>
      </c>
      <c r="I137" s="4">
        <f t="shared" si="52"/>
        <v>-10.271768545175567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1.7474701863814728</v>
      </c>
      <c r="C138" s="4">
        <f t="shared" si="50"/>
        <v>-10.681930325230965</v>
      </c>
      <c r="D138" s="4">
        <f t="shared" si="47"/>
        <v>8.7889133878446959</v>
      </c>
      <c r="E138" s="4">
        <f t="shared" si="47"/>
        <v>-6.3176173504213775</v>
      </c>
      <c r="F138" s="4">
        <f t="shared" si="48"/>
        <v>-2.5936478456213279</v>
      </c>
      <c r="G138" s="4">
        <f t="shared" si="49"/>
        <v>-1.6516302381845656</v>
      </c>
      <c r="H138" s="4">
        <f t="shared" si="51"/>
        <v>0.61980376038575113</v>
      </c>
      <c r="I138" s="4">
        <f t="shared" si="52"/>
        <v>-11.765018917912192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8.7889133878446959</v>
      </c>
      <c r="C139" s="4">
        <f>E138</f>
        <v>-6.3176173504213775</v>
      </c>
      <c r="D139" s="4">
        <f t="shared" si="47"/>
        <v>10.681930325230962</v>
      </c>
      <c r="E139" s="4">
        <f t="shared" si="47"/>
        <v>1.7474701863814737</v>
      </c>
      <c r="F139" s="4">
        <f t="shared" si="48"/>
        <v>-1.6516302381845656</v>
      </c>
      <c r="G139" s="4">
        <f t="shared" si="49"/>
        <v>8.918315192720673E-2</v>
      </c>
      <c r="H139" s="4">
        <f t="shared" si="51"/>
        <v>4.2604412974447614</v>
      </c>
      <c r="I139" s="4">
        <f t="shared" si="52"/>
        <v>-43.76226690766007</v>
      </c>
      <c r="J139" s="4">
        <f t="shared" si="53"/>
        <v>10.584949673492723</v>
      </c>
      <c r="K139" s="4">
        <f t="shared" si="54"/>
        <v>1.3342898126627674</v>
      </c>
      <c r="L139" s="4">
        <f t="shared" si="55"/>
        <v>10.681930325230962</v>
      </c>
      <c r="M139" s="4">
        <f t="shared" si="56"/>
        <v>1.7474701863814737</v>
      </c>
      <c r="N139" s="4">
        <f t="shared" si="57"/>
        <v>0</v>
      </c>
      <c r="O139" s="4">
        <f t="shared" si="57"/>
        <v>8.918315192720673E-2</v>
      </c>
      <c r="P139" s="31">
        <f t="shared" si="58"/>
        <v>0.19621217048584419</v>
      </c>
      <c r="Q139" s="31">
        <f t="shared" si="59"/>
        <v>0.3158922606812703</v>
      </c>
      <c r="R139" s="31">
        <f t="shared" si="60"/>
        <v>-1.044795716508697</v>
      </c>
    </row>
    <row r="140" spans="1:18" ht="15.75" thickTop="1" x14ac:dyDescent="0.25">
      <c r="P140" s="4">
        <f>SUM(P132:P139)</f>
        <v>112.1962910296554</v>
      </c>
      <c r="Q140" s="4">
        <f>SUM(Q132:Q139)</f>
        <v>738.84479133840114</v>
      </c>
      <c r="R140" s="4">
        <f>SUM(R132:R139)</f>
        <v>2.1431427483546677</v>
      </c>
    </row>
    <row r="142" spans="1:18" x14ac:dyDescent="0.25">
      <c r="O142" t="s">
        <v>96</v>
      </c>
      <c r="P142" s="1">
        <f>-1*R140/P140</f>
        <v>-1.9101725455328986E-2</v>
      </c>
    </row>
    <row r="143" spans="1:18" x14ac:dyDescent="0.25">
      <c r="O143" t="s">
        <v>97</v>
      </c>
      <c r="P143" s="1">
        <f>Q140/P140</f>
        <v>6.5852871298848177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4.2727721300923855</v>
      </c>
      <c r="C146" s="9">
        <f>J84</f>
        <v>0.69898807455259004</v>
      </c>
      <c r="D146" s="9">
        <f t="shared" ref="D146:E153" si="61">I85</f>
        <v>3.5155653551378805</v>
      </c>
      <c r="E146">
        <f t="shared" si="61"/>
        <v>-2.52704694016855</v>
      </c>
      <c r="F146" s="4">
        <f>($B$66/$B$65)*(C146-$B$125)</f>
        <v>-0.13712706370722105</v>
      </c>
      <c r="G146" s="4">
        <f>($B$66/$B$65)*(E146-$B$125)</f>
        <v>-0.83345241975192996</v>
      </c>
      <c r="H146" s="4">
        <f>IF(B146=D146,"V",(C146-E146)/(B146-D146))</f>
        <v>4.2604412974447685</v>
      </c>
      <c r="I146" s="4">
        <f>IF(H146="V",0,(-1*B146*H146)+C146)</f>
        <v>-17.50490676306406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3.5155653551378805</v>
      </c>
      <c r="C147">
        <f t="shared" si="62"/>
        <v>-2.52704694016855</v>
      </c>
      <c r="D147" s="9">
        <f t="shared" si="61"/>
        <v>0.69898807455258893</v>
      </c>
      <c r="E147">
        <f t="shared" si="61"/>
        <v>-4.2727721300923864</v>
      </c>
      <c r="F147" s="4">
        <f t="shared" ref="F147:F153" si="63">($B$66/$B$65)*(C147-$B$125)</f>
        <v>-0.83345241975192996</v>
      </c>
      <c r="G147" s="4">
        <f t="shared" ref="G147:G153" si="64">($B$66/$B$65)*(E147-$B$125)</f>
        <v>-1.2102594627266352</v>
      </c>
      <c r="H147" s="4">
        <f t="shared" ref="H147:H153" si="65">IF(B147=D147,"V",(C147-E147)/(B147-D147))</f>
        <v>0.61980376038575102</v>
      </c>
      <c r="I147" s="4">
        <f t="shared" ref="I147:I153" si="66">IF(H147="V",0,(-1*B147*H147)+C147)</f>
        <v>-4.7060075671648764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0.69898807455258893</v>
      </c>
      <c r="C148">
        <f t="shared" si="62"/>
        <v>-4.2727721300923864</v>
      </c>
      <c r="D148" s="9">
        <f t="shared" si="61"/>
        <v>-2.5270469401685505</v>
      </c>
      <c r="E148">
        <f t="shared" si="61"/>
        <v>-3.5155653551378796</v>
      </c>
      <c r="F148" s="4">
        <f t="shared" si="63"/>
        <v>-1.2102594627266352</v>
      </c>
      <c r="G148" s="4">
        <f t="shared" si="64"/>
        <v>-1.0468197372544552</v>
      </c>
      <c r="H148" s="4">
        <f t="shared" si="65"/>
        <v>-0.23471746943204219</v>
      </c>
      <c r="I148" s="4">
        <f t="shared" si="66"/>
        <v>-4.1087074180702272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-2.5270469401685505</v>
      </c>
      <c r="C149">
        <f t="shared" si="62"/>
        <v>-3.5155653551378796</v>
      </c>
      <c r="D149" s="9">
        <f t="shared" si="61"/>
        <v>-4.2727721300923855</v>
      </c>
      <c r="E149">
        <f t="shared" si="61"/>
        <v>-0.6989880745525896</v>
      </c>
      <c r="F149" s="4">
        <f t="shared" si="63"/>
        <v>-1.0468197372544552</v>
      </c>
      <c r="G149" s="4">
        <f t="shared" si="64"/>
        <v>-0.43887401788645847</v>
      </c>
      <c r="H149" s="4">
        <f t="shared" si="65"/>
        <v>-1.6134138963236107</v>
      </c>
      <c r="I149" s="4">
        <f t="shared" si="66"/>
        <v>-7.5927380050678792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-4.2727721300923855</v>
      </c>
      <c r="C150">
        <f t="shared" si="62"/>
        <v>-0.6989880745525896</v>
      </c>
      <c r="D150" s="9">
        <f t="shared" si="61"/>
        <v>-3.5155653551378805</v>
      </c>
      <c r="E150">
        <f t="shared" si="61"/>
        <v>2.52704694016855</v>
      </c>
      <c r="F150" s="4">
        <f t="shared" si="63"/>
        <v>-0.43887401788645847</v>
      </c>
      <c r="G150" s="4">
        <f t="shared" si="64"/>
        <v>0.25745133815825033</v>
      </c>
      <c r="H150" s="4">
        <f t="shared" si="65"/>
        <v>4.2604412974447676</v>
      </c>
      <c r="I150" s="4">
        <f t="shared" si="66"/>
        <v>17.50490676306406</v>
      </c>
      <c r="J150" s="4">
        <f t="shared" si="67"/>
        <v>-3.7955262897530697</v>
      </c>
      <c r="K150" s="4">
        <f t="shared" si="68"/>
        <v>1.3342898126627674</v>
      </c>
      <c r="L150" s="4">
        <f t="shared" si="69"/>
        <v>-3.5155653551378805</v>
      </c>
      <c r="M150" s="4">
        <f t="shared" si="70"/>
        <v>2.52704694016855</v>
      </c>
      <c r="N150" s="4">
        <f t="shared" si="71"/>
        <v>0</v>
      </c>
      <c r="O150" s="4">
        <f t="shared" si="71"/>
        <v>0.25745133815825033</v>
      </c>
      <c r="P150" s="4">
        <f t="shared" si="72"/>
        <v>-0.55410274500469225</v>
      </c>
      <c r="Q150" s="4">
        <f t="shared" si="73"/>
        <v>-1.1770919583969637</v>
      </c>
      <c r="R150" s="4">
        <f t="shared" si="74"/>
        <v>-1.0001810065050565</v>
      </c>
    </row>
    <row r="151" spans="1:18" x14ac:dyDescent="0.25">
      <c r="A151" t="s">
        <v>74</v>
      </c>
      <c r="B151" s="9">
        <f t="shared" si="62"/>
        <v>-3.5155653551378805</v>
      </c>
      <c r="C151">
        <f t="shared" si="62"/>
        <v>2.52704694016855</v>
      </c>
      <c r="D151" s="9">
        <f t="shared" si="61"/>
        <v>-0.69898807455259049</v>
      </c>
      <c r="E151">
        <f t="shared" si="61"/>
        <v>4.2727721300923855</v>
      </c>
      <c r="F151" s="4">
        <f t="shared" si="63"/>
        <v>0.25745133815825033</v>
      </c>
      <c r="G151" s="4">
        <f t="shared" si="64"/>
        <v>0.6342583811329553</v>
      </c>
      <c r="H151" s="4">
        <f t="shared" si="65"/>
        <v>0.61980376038575113</v>
      </c>
      <c r="I151" s="4">
        <f t="shared" si="66"/>
        <v>4.7060075671648764</v>
      </c>
      <c r="J151" s="4">
        <f t="shared" si="67"/>
        <v>-3.5155653551378805</v>
      </c>
      <c r="K151" s="4">
        <f t="shared" si="68"/>
        <v>2.52704694016855</v>
      </c>
      <c r="L151" s="4">
        <f t="shared" si="69"/>
        <v>-0.69898807455259049</v>
      </c>
      <c r="M151" s="4">
        <f t="shared" si="70"/>
        <v>4.2727721300923855</v>
      </c>
      <c r="N151" s="4">
        <f t="shared" si="71"/>
        <v>0.25745133815825033</v>
      </c>
      <c r="O151" s="4">
        <f t="shared" si="71"/>
        <v>0.6342583811329553</v>
      </c>
      <c r="P151" s="4">
        <f t="shared" si="72"/>
        <v>-1.4857821427306555</v>
      </c>
      <c r="Q151" s="4">
        <f t="shared" si="73"/>
        <v>-4.9342579600306236</v>
      </c>
      <c r="R151" s="4">
        <f t="shared" si="74"/>
        <v>-1.6600770908017193</v>
      </c>
    </row>
    <row r="152" spans="1:18" x14ac:dyDescent="0.25">
      <c r="A152" t="s">
        <v>75</v>
      </c>
      <c r="B152" s="9">
        <f t="shared" si="62"/>
        <v>-0.69898807455259049</v>
      </c>
      <c r="C152">
        <f t="shared" si="62"/>
        <v>4.2727721300923855</v>
      </c>
      <c r="D152" s="9">
        <f t="shared" si="61"/>
        <v>2.5270469401685505</v>
      </c>
      <c r="E152">
        <f t="shared" si="61"/>
        <v>3.5155653551378796</v>
      </c>
      <c r="F152" s="4">
        <f t="shared" si="63"/>
        <v>0.6342583811329553</v>
      </c>
      <c r="G152" s="4">
        <f t="shared" si="64"/>
        <v>0.47081865566077574</v>
      </c>
      <c r="H152" s="4">
        <f t="shared" si="65"/>
        <v>-0.2347174694320418</v>
      </c>
      <c r="I152" s="4">
        <f t="shared" si="66"/>
        <v>4.1087074180702263</v>
      </c>
      <c r="J152" s="4">
        <f t="shared" si="67"/>
        <v>-0.69898807455259049</v>
      </c>
      <c r="K152" s="4">
        <f t="shared" si="68"/>
        <v>4.2727721300923855</v>
      </c>
      <c r="L152" s="4">
        <f t="shared" si="69"/>
        <v>2.5270469401685505</v>
      </c>
      <c r="M152" s="4">
        <f t="shared" si="70"/>
        <v>3.5155653551378796</v>
      </c>
      <c r="N152" s="4">
        <f t="shared" si="71"/>
        <v>0.6342583811329553</v>
      </c>
      <c r="O152" s="4">
        <f t="shared" si="71"/>
        <v>0.47081865566077574</v>
      </c>
      <c r="P152" s="4">
        <f t="shared" si="72"/>
        <v>-0.34914648823307304</v>
      </c>
      <c r="Q152" s="4">
        <f t="shared" si="73"/>
        <v>-1.2816045870329433</v>
      </c>
      <c r="R152" s="4">
        <f t="shared" si="74"/>
        <v>0.3257878067906928</v>
      </c>
    </row>
    <row r="153" spans="1:18" ht="15.75" thickBot="1" x14ac:dyDescent="0.3">
      <c r="A153" t="s">
        <v>134</v>
      </c>
      <c r="B153" s="9">
        <f t="shared" si="62"/>
        <v>2.5270469401685505</v>
      </c>
      <c r="C153">
        <f t="shared" si="62"/>
        <v>3.5155653551378796</v>
      </c>
      <c r="D153" s="9">
        <f t="shared" si="61"/>
        <v>4.2727721300923855</v>
      </c>
      <c r="E153">
        <f t="shared" si="61"/>
        <v>0.69898807455259004</v>
      </c>
      <c r="F153" s="4">
        <f t="shared" si="63"/>
        <v>0.47081865566077574</v>
      </c>
      <c r="G153" s="4">
        <f t="shared" si="64"/>
        <v>-0.13712706370722105</v>
      </c>
      <c r="H153" s="4">
        <f t="shared" si="65"/>
        <v>-1.6134138963236107</v>
      </c>
      <c r="I153" s="4">
        <f t="shared" si="66"/>
        <v>7.5927380050678792</v>
      </c>
      <c r="J153" s="4">
        <f t="shared" si="67"/>
        <v>2.5270469401685505</v>
      </c>
      <c r="K153" s="4">
        <f t="shared" si="68"/>
        <v>3.5155653551378796</v>
      </c>
      <c r="L153" s="4">
        <f t="shared" si="69"/>
        <v>3.8790097238320942</v>
      </c>
      <c r="M153" s="4">
        <f t="shared" si="70"/>
        <v>1.3342898126627674</v>
      </c>
      <c r="N153" s="4">
        <f t="shared" si="71"/>
        <v>0.47081865566077574</v>
      </c>
      <c r="O153" s="4">
        <f t="shared" si="71"/>
        <v>0</v>
      </c>
      <c r="P153" s="22">
        <f t="shared" si="72"/>
        <v>-1.529027559518888</v>
      </c>
      <c r="Q153" s="22">
        <f t="shared" si="73"/>
        <v>-4.1795255406705305</v>
      </c>
      <c r="R153" s="22">
        <f t="shared" si="74"/>
        <v>2.3025648093818232</v>
      </c>
    </row>
    <row r="154" spans="1:18" ht="15.75" thickTop="1" x14ac:dyDescent="0.25">
      <c r="P154" s="4">
        <f>SUM(P146:P153)</f>
        <v>-3.9180589354873092</v>
      </c>
      <c r="Q154" s="4">
        <f t="shared" ref="Q154:R154" si="75">SUM(Q146:Q153)</f>
        <v>-11.57248004613106</v>
      </c>
      <c r="R154" s="4">
        <f t="shared" si="75"/>
        <v>-3.1905481134259617E-2</v>
      </c>
    </row>
    <row r="156" spans="1:18" x14ac:dyDescent="0.25">
      <c r="O156" t="s">
        <v>96</v>
      </c>
      <c r="P156" s="1">
        <f>-1*R154/P154</f>
        <v>-8.1431856078732941E-3</v>
      </c>
    </row>
    <row r="157" spans="1:18" x14ac:dyDescent="0.25">
      <c r="O157" t="s">
        <v>97</v>
      </c>
      <c r="P157" s="1">
        <f>Q154/P154</f>
        <v>2.9536258225507606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89.999999728890018</v>
      </c>
      <c r="C159" t="s">
        <v>36</v>
      </c>
    </row>
    <row r="160" spans="1:18" x14ac:dyDescent="0.25">
      <c r="A160" s="1" t="s">
        <v>106</v>
      </c>
      <c r="B160" s="4">
        <f>Q140+I122+Q154-O122</f>
        <v>843.78415668461037</v>
      </c>
      <c r="C160" t="s">
        <v>102</v>
      </c>
    </row>
    <row r="161" spans="1:9" x14ac:dyDescent="0.25">
      <c r="A161" s="1" t="s">
        <v>107</v>
      </c>
      <c r="B161" s="4">
        <f>R140+J122+R154-P122</f>
        <v>5.3197598553806333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89.999999728890018</v>
      </c>
      <c r="C164" t="s">
        <v>36</v>
      </c>
      <c r="E164" s="8">
        <f>B2-B164</f>
        <v>2.711099824637131E-7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-440.00000086997238</v>
      </c>
      <c r="C165" t="s">
        <v>102</v>
      </c>
      <c r="E165" s="8">
        <f>B3+B165</f>
        <v>-8.699723821337102E-7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-720.00000149395987</v>
      </c>
      <c r="C166" t="s">
        <v>102</v>
      </c>
      <c r="E166" s="8">
        <f>B4+B166</f>
        <v>-1.4939598713681335E-6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2.0176467640276479</v>
      </c>
      <c r="B169" s="1">
        <f>IF(E122=0,0,(MIN(H110:H121)*B65)/(B55*B56*E122))</f>
        <v>-2.0176467939541856</v>
      </c>
      <c r="C169" s="3">
        <f>A169+B169</f>
        <v>-2.9926537692404054E-8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-3.1528488944641722E-8</v>
      </c>
      <c r="C175" s="27">
        <f>B65*SQRT(I175)</f>
        <v>1.3864791485444477E-7</v>
      </c>
      <c r="D175" s="27">
        <f>B66*SQRT(I175)</f>
        <v>2.9926537757750601E-8</v>
      </c>
      <c r="E175" s="27">
        <f>B67*SQRT(I175)</f>
        <v>9.5578032062856324E-8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-2.1256503225436187</v>
      </c>
      <c r="C176" s="3">
        <f>B65+C175</f>
        <v>9.3476406512161105</v>
      </c>
      <c r="D176" s="3">
        <f>D175+B66</f>
        <v>2.0176467939541856</v>
      </c>
      <c r="E176" s="3">
        <f>B67+E175</f>
        <v>6.4438697027065395</v>
      </c>
      <c r="F176" s="16" t="s">
        <v>125</v>
      </c>
    </row>
    <row r="177" spans="1:13" x14ac:dyDescent="0.25">
      <c r="B177" s="27">
        <f>B176-B64</f>
        <v>-3.1528489152776729E-8</v>
      </c>
      <c r="C177" s="27">
        <f>C176-B65</f>
        <v>1.3864791448270353E-7</v>
      </c>
      <c r="D177" s="27">
        <f>D176-B66</f>
        <v>2.9926537692404054E-8</v>
      </c>
      <c r="E177" s="27">
        <f>E176-B67</f>
        <v>9.5578031711340827E-8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-53.665603716903213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10.681930313218608</v>
      </c>
      <c r="B181" s="25">
        <f>(d_alpha_p!E136-d_alpha_m!E136)/(2*B177)</f>
        <v>6.317617343414712</v>
      </c>
      <c r="C181" s="25">
        <f>(d_alpha_p!E137-d_alpha_m!E137)/(2*B177)</f>
        <v>-1.7474701548031415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-2.711099824637131E-7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8.699723821337102E-7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1.4939598713681335E-6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2.9926537692404054E-8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-53.665603716903213</v>
      </c>
      <c r="B190" s="25">
        <f>A181</f>
        <v>10.681930313218608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6.317617343414712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-1.7474701548031415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-53.665603716903213</v>
      </c>
      <c r="B201" s="25">
        <f t="shared" ref="B201:C201" si="77">B190</f>
        <v>10.681930313218608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6.317617343414712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-1.7474701548031415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45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720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0.82210018496084025</v>
      </c>
      <c r="J4" t="s">
        <v>11</v>
      </c>
    </row>
    <row r="5" spans="1:29" x14ac:dyDescent="0.25">
      <c r="A5" s="10" t="s">
        <v>104</v>
      </c>
      <c r="B5" s="20">
        <f>ATAN2(B3,B4)</f>
        <v>1.0222469243443686</v>
      </c>
      <c r="C5" t="s">
        <v>19</v>
      </c>
      <c r="I5">
        <f>SUM(I2:I4)</f>
        <v>1.5960937682038825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0.34052504624021007</v>
      </c>
      <c r="AC14">
        <f>$I$2+AA14+AB14</f>
        <v>0.10972951453111424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0.82210018496084025</v>
      </c>
      <c r="AC15">
        <f t="shared" ref="AC15:AC20" si="12">$I$2+AA15+AB15</f>
        <v>0.88560057135879622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0.82210018496084025</v>
      </c>
      <c r="AC16">
        <f t="shared" si="12"/>
        <v>1.3017978500968308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0.34052504624021007</v>
      </c>
      <c r="AC17">
        <f t="shared" si="12"/>
        <v>1.1145186294832525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-0.34052504624021007</v>
      </c>
      <c r="AC18">
        <f t="shared" si="12"/>
        <v>0.43346853700283228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-0.82210018496084025</v>
      </c>
      <c r="AC19">
        <f t="shared" si="12"/>
        <v>-0.34240251982484976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-0.82210018496084025</v>
      </c>
      <c r="AC20">
        <f t="shared" si="12"/>
        <v>-0.75859979856288429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-0.34052504624021007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Analysis'!E55</f>
        <v>10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-2.1256502910151296</v>
      </c>
      <c r="C64" t="s">
        <v>19</v>
      </c>
      <c r="D64" t="s">
        <v>34</v>
      </c>
      <c r="H64" s="17">
        <f>DEGREES(B64)</f>
        <v>-121.79079039592214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9.3476405125681961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2.0176467640276479</v>
      </c>
      <c r="C66" t="s">
        <v>11</v>
      </c>
      <c r="D66">
        <f>B66/B53</f>
        <v>6.4626321495622914E-4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6.4438694159724461</v>
      </c>
      <c r="C67" t="s">
        <v>36</v>
      </c>
      <c r="D67" t="s">
        <v>122</v>
      </c>
      <c r="G67" s="20">
        <f>($B$56*$B$66*$B$55*$E$122)/$B$65</f>
        <v>6.4438695115504787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-11.681930325230965</v>
      </c>
      <c r="R76">
        <f>Q76</f>
        <v>-11.681930325230965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11.681930325230965</v>
      </c>
      <c r="R77">
        <f>Q77</f>
        <v>11.681930325230965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10.681930325230962</v>
      </c>
      <c r="C84" s="1">
        <f t="shared" ref="C84:C92" si="23">(-1*B73*SIN($B$64))+(C73*COS($B$64))</f>
        <v>1.7474701863814737</v>
      </c>
      <c r="H84" s="1">
        <f t="shared" ref="H84:H92" si="24">H73</f>
        <v>1</v>
      </c>
      <c r="I84" s="4">
        <f>(I73*COS($B$64))+(J73*SIN($B$64))</f>
        <v>4.2727721300923855</v>
      </c>
      <c r="J84" s="1">
        <f>(-1*I73*SIN($B$64))+(J73*COS($B$64))</f>
        <v>0.69898807455259004</v>
      </c>
    </row>
    <row r="85" spans="1:10" x14ac:dyDescent="0.25">
      <c r="A85" s="1">
        <f t="shared" si="21"/>
        <v>2</v>
      </c>
      <c r="B85" s="4">
        <f t="shared" si="22"/>
        <v>6.3176173504213748</v>
      </c>
      <c r="C85" s="1">
        <f t="shared" si="23"/>
        <v>8.7889133878446977</v>
      </c>
      <c r="H85" s="1">
        <f t="shared" si="24"/>
        <v>2</v>
      </c>
      <c r="I85" s="4">
        <f t="shared" ref="I85:I92" si="25">(I74*COS($B$64))+(J74*SIN($B$64))</f>
        <v>3.5155653551378805</v>
      </c>
      <c r="J85" s="1">
        <f t="shared" ref="J85:J92" si="26">(-1*I74*SIN($B$64))+(J74*COS($B$64))</f>
        <v>-2.52704694016855</v>
      </c>
    </row>
    <row r="86" spans="1:10" x14ac:dyDescent="0.25">
      <c r="A86" s="1">
        <f t="shared" si="21"/>
        <v>3</v>
      </c>
      <c r="B86" s="4">
        <f t="shared" si="22"/>
        <v>-1.7474701863814768</v>
      </c>
      <c r="C86" s="1">
        <f t="shared" si="23"/>
        <v>10.681930325230963</v>
      </c>
      <c r="H86" s="1">
        <f t="shared" si="24"/>
        <v>3</v>
      </c>
      <c r="I86" s="4">
        <f t="shared" si="25"/>
        <v>0.69898807455258893</v>
      </c>
      <c r="J86" s="1">
        <f t="shared" si="26"/>
        <v>-4.2727721300923864</v>
      </c>
    </row>
    <row r="87" spans="1:10" x14ac:dyDescent="0.25">
      <c r="A87" s="1">
        <f t="shared" si="21"/>
        <v>4</v>
      </c>
      <c r="B87" s="4">
        <f t="shared" si="22"/>
        <v>-8.7889133878447012</v>
      </c>
      <c r="C87" s="1">
        <f t="shared" si="23"/>
        <v>6.3176173504213757</v>
      </c>
      <c r="H87" s="1">
        <f t="shared" si="24"/>
        <v>4</v>
      </c>
      <c r="I87" s="4">
        <f t="shared" si="25"/>
        <v>-2.5270469401685505</v>
      </c>
      <c r="J87" s="1">
        <f t="shared" si="26"/>
        <v>-3.5155653551378796</v>
      </c>
    </row>
    <row r="88" spans="1:10" x14ac:dyDescent="0.25">
      <c r="A88" s="1">
        <f t="shared" si="21"/>
        <v>5</v>
      </c>
      <c r="B88" s="4">
        <f t="shared" si="22"/>
        <v>-10.681930325230965</v>
      </c>
      <c r="C88" s="1">
        <f t="shared" si="23"/>
        <v>-1.7474701863814754</v>
      </c>
      <c r="H88" s="1">
        <f t="shared" si="24"/>
        <v>5</v>
      </c>
      <c r="I88" s="4">
        <f t="shared" si="25"/>
        <v>-4.2727721300923855</v>
      </c>
      <c r="J88" s="1">
        <f t="shared" si="26"/>
        <v>-0.6989880745525896</v>
      </c>
    </row>
    <row r="89" spans="1:10" x14ac:dyDescent="0.25">
      <c r="A89" s="1">
        <f t="shared" si="21"/>
        <v>6</v>
      </c>
      <c r="B89" s="4">
        <f t="shared" si="22"/>
        <v>-6.3176173504213784</v>
      </c>
      <c r="C89" s="1">
        <f t="shared" si="23"/>
        <v>-8.7889133878446994</v>
      </c>
      <c r="H89" s="1">
        <f t="shared" si="24"/>
        <v>6</v>
      </c>
      <c r="I89" s="4">
        <f t="shared" si="25"/>
        <v>-3.5155653551378805</v>
      </c>
      <c r="J89" s="1">
        <f t="shared" si="26"/>
        <v>2.52704694016855</v>
      </c>
    </row>
    <row r="90" spans="1:10" x14ac:dyDescent="0.25">
      <c r="A90" s="1">
        <f t="shared" si="21"/>
        <v>7</v>
      </c>
      <c r="B90" s="4">
        <f t="shared" si="22"/>
        <v>1.7474701863814728</v>
      </c>
      <c r="C90" s="1">
        <f t="shared" si="23"/>
        <v>-10.681930325230965</v>
      </c>
      <c r="H90" s="1">
        <f t="shared" si="24"/>
        <v>7</v>
      </c>
      <c r="I90" s="4">
        <f t="shared" si="25"/>
        <v>-0.69898807455259049</v>
      </c>
      <c r="J90" s="1">
        <f t="shared" si="26"/>
        <v>4.2727721300923855</v>
      </c>
    </row>
    <row r="91" spans="1:10" x14ac:dyDescent="0.25">
      <c r="A91" s="1">
        <f t="shared" si="21"/>
        <v>8</v>
      </c>
      <c r="B91" s="4">
        <f t="shared" si="22"/>
        <v>8.7889133878446959</v>
      </c>
      <c r="C91" s="1">
        <f t="shared" si="23"/>
        <v>-6.3176173504213775</v>
      </c>
      <c r="H91" s="1">
        <f t="shared" si="24"/>
        <v>8</v>
      </c>
      <c r="I91" s="4">
        <f t="shared" si="25"/>
        <v>2.5270469401685505</v>
      </c>
      <c r="J91" s="1">
        <f t="shared" si="26"/>
        <v>3.5155653551378796</v>
      </c>
    </row>
    <row r="92" spans="1:10" x14ac:dyDescent="0.25">
      <c r="A92" s="1">
        <f t="shared" si="21"/>
        <v>9</v>
      </c>
      <c r="B92" s="4">
        <f t="shared" si="22"/>
        <v>10.681930325230962</v>
      </c>
      <c r="C92" s="1">
        <f t="shared" si="23"/>
        <v>1.7474701863814737</v>
      </c>
      <c r="H92" s="1">
        <f t="shared" si="24"/>
        <v>9</v>
      </c>
      <c r="I92" s="4">
        <f t="shared" si="25"/>
        <v>4.2727721300923855</v>
      </c>
      <c r="J92" s="1">
        <f t="shared" si="26"/>
        <v>0.69898807455259004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160</v>
      </c>
      <c r="O109" t="s">
        <v>158</v>
      </c>
      <c r="P109" t="s">
        <v>159</v>
      </c>
    </row>
    <row r="110" spans="1:16" x14ac:dyDescent="0.25">
      <c r="A110">
        <f>A95</f>
        <v>1</v>
      </c>
      <c r="B110" s="1">
        <f>(B95*COS($B$64))+(C95*SIN($B$64))</f>
        <v>-4.4779630190461237</v>
      </c>
      <c r="C110" s="1">
        <f>(-1*B95*SIN($B$64))+(C95*COS($B$64))</f>
        <v>7.2248077621522446</v>
      </c>
      <c r="D110" t="str">
        <f t="shared" ref="D110" si="31">D95</f>
        <v>y</v>
      </c>
      <c r="E110" s="4">
        <f t="shared" ref="E110:E121" si="32">IF($D110="y",$B$125-C110,0)</f>
        <v>-5.8905179494894773</v>
      </c>
      <c r="F110" s="1">
        <f>IF($D110="y",B110,NA())</f>
        <v>-4.4779630190461237</v>
      </c>
      <c r="G110" s="1">
        <f>IF($D110="y",C110,NA())</f>
        <v>7.2248077621522446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>H110/$B$55</f>
        <v>0</v>
      </c>
      <c r="L110">
        <f>K110/$B$54</f>
        <v>0</v>
      </c>
      <c r="M110">
        <f t="shared" ref="M110:M121" si="34">IFERROR(($D$66/$B$65)*(G110-$B$125),0)</f>
        <v>4.0724983622081405E-4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-8.2751085780571572</v>
      </c>
      <c r="C111" s="1">
        <f t="shared" ref="C111:C121" si="37">(-1*B96*SIN($B$64))+(C96*COS($B$64))</f>
        <v>1.9423125447169585</v>
      </c>
      <c r="D111" t="str">
        <f t="shared" si="35"/>
        <v>y</v>
      </c>
      <c r="E111" s="4">
        <f t="shared" si="32"/>
        <v>-0.60802273205419111</v>
      </c>
      <c r="F111" s="1">
        <f t="shared" ref="F111:G121" si="38">IF($D111="y",B111,NA())</f>
        <v>-8.2751085780571572</v>
      </c>
      <c r="G111" s="1">
        <f t="shared" si="38"/>
        <v>1.9423125447169585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>H111/$B$55</f>
        <v>0</v>
      </c>
      <c r="L111">
        <f t="shared" ref="L111:L121" si="41">K111/$B$54</f>
        <v>0</v>
      </c>
      <c r="M111">
        <f t="shared" si="34"/>
        <v>4.2036567950541911E-5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-7.2248077621522464</v>
      </c>
      <c r="C112" s="1">
        <f t="shared" si="37"/>
        <v>-4.4779630190461246</v>
      </c>
      <c r="D112" t="str">
        <f t="shared" si="35"/>
        <v>y</v>
      </c>
      <c r="E112" s="4">
        <f t="shared" si="32"/>
        <v>5.812252831708892</v>
      </c>
      <c r="F112" s="1">
        <f t="shared" si="38"/>
        <v>-7.2248077621522464</v>
      </c>
      <c r="G112" s="1">
        <f t="shared" si="38"/>
        <v>-4.4779630190461246</v>
      </c>
      <c r="H112">
        <f t="shared" si="33"/>
        <v>-3.8975799251197669</v>
      </c>
      <c r="I112">
        <f t="shared" si="39"/>
        <v>17.453218768462879</v>
      </c>
      <c r="J112">
        <f t="shared" si="40"/>
        <v>-28.159265696614064</v>
      </c>
      <c r="K112">
        <f t="shared" ref="K112:K121" si="45">H112/$B$55</f>
        <v>-11.653326748223748</v>
      </c>
      <c r="L112">
        <f t="shared" si="41"/>
        <v>-4.0183885338702577E-4</v>
      </c>
      <c r="M112">
        <f t="shared" si="34"/>
        <v>-4.0183885934725938E-4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-1.9423125447169589</v>
      </c>
      <c r="C113" s="1">
        <f t="shared" si="37"/>
        <v>-8.2751085780571572</v>
      </c>
      <c r="D113" t="str">
        <f t="shared" si="35"/>
        <v>y</v>
      </c>
      <c r="E113" s="4">
        <f t="shared" si="32"/>
        <v>9.6093983907199245</v>
      </c>
      <c r="F113" s="1">
        <f t="shared" si="38"/>
        <v>-1.9423125447169589</v>
      </c>
      <c r="G113" s="1">
        <f t="shared" si="38"/>
        <v>-8.2751085780571572</v>
      </c>
      <c r="H113">
        <f t="shared" si="33"/>
        <v>-6.4438694159724461</v>
      </c>
      <c r="I113">
        <f t="shared" si="39"/>
        <v>53.323719079993751</v>
      </c>
      <c r="J113">
        <f t="shared" si="40"/>
        <v>-12.516008403161226</v>
      </c>
      <c r="K113">
        <f t="shared" si="45"/>
        <v>-19.26644668483743</v>
      </c>
      <c r="L113">
        <f t="shared" si="41"/>
        <v>-6.6436023051163551E-4</v>
      </c>
      <c r="M113">
        <f t="shared" si="34"/>
        <v>-6.6436024036569047E-4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4.4779630190461237</v>
      </c>
      <c r="C114" s="1">
        <f t="shared" si="37"/>
        <v>-7.2248077621522446</v>
      </c>
      <c r="D114" t="str">
        <f t="shared" si="35"/>
        <v>y</v>
      </c>
      <c r="E114" s="4">
        <f t="shared" si="32"/>
        <v>8.5590975748150129</v>
      </c>
      <c r="F114" s="1">
        <f t="shared" si="38"/>
        <v>4.4779630190461237</v>
      </c>
      <c r="G114" s="1">
        <f t="shared" si="38"/>
        <v>-7.2248077621522446</v>
      </c>
      <c r="H114">
        <f t="shared" si="33"/>
        <v>-5.7395587994288935</v>
      </c>
      <c r="I114">
        <f t="shared" si="39"/>
        <v>41.467208965443085</v>
      </c>
      <c r="J114">
        <f t="shared" si="40"/>
        <v>25.701532049483355</v>
      </c>
      <c r="K114">
        <f t="shared" si="45"/>
        <v>-17.160636950461619</v>
      </c>
      <c r="L114">
        <f t="shared" si="41"/>
        <v>-5.9174610174005582E-4</v>
      </c>
      <c r="M114">
        <f t="shared" si="34"/>
        <v>-5.9174611051706933E-4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8.2751085780571572</v>
      </c>
      <c r="C115" s="1">
        <f t="shared" si="37"/>
        <v>-1.9423125447169598</v>
      </c>
      <c r="D115" t="str">
        <f t="shared" si="35"/>
        <v>y</v>
      </c>
      <c r="E115" s="4">
        <f t="shared" si="32"/>
        <v>3.2766023573797272</v>
      </c>
      <c r="F115" s="1">
        <f t="shared" si="38"/>
        <v>8.2751085780571572</v>
      </c>
      <c r="G115" s="1">
        <f t="shared" si="38"/>
        <v>-1.9423125447169598</v>
      </c>
      <c r="H115">
        <f t="shared" si="33"/>
        <v>-2.1972236825369675</v>
      </c>
      <c r="I115">
        <f t="shared" si="39"/>
        <v>4.2676951221407471</v>
      </c>
      <c r="J115">
        <f t="shared" si="40"/>
        <v>18.182264543271994</v>
      </c>
      <c r="K115">
        <f t="shared" si="45"/>
        <v>-6.569452327716391</v>
      </c>
      <c r="L115">
        <f t="shared" si="41"/>
        <v>-2.2653283888677211E-4</v>
      </c>
      <c r="M115">
        <f t="shared" si="34"/>
        <v>-2.265328422467972E-4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7.2248077621522446</v>
      </c>
      <c r="C116" s="1">
        <f t="shared" si="37"/>
        <v>4.4779630190461237</v>
      </c>
      <c r="D116" t="str">
        <f t="shared" si="35"/>
        <v>y</v>
      </c>
      <c r="E116" s="4">
        <f t="shared" si="32"/>
        <v>-3.1436732063833563</v>
      </c>
      <c r="F116" s="1">
        <f t="shared" si="38"/>
        <v>7.2248077621522446</v>
      </c>
      <c r="G116" s="1">
        <f t="shared" si="38"/>
        <v>4.4779630190461237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si="45"/>
        <v>0</v>
      </c>
      <c r="L116">
        <f t="shared" si="41"/>
        <v>0</v>
      </c>
      <c r="M116">
        <f t="shared" si="34"/>
        <v>2.1734258505100412E-4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1.9423125447169602</v>
      </c>
      <c r="C117" s="1">
        <f t="shared" si="37"/>
        <v>8.2751085780571572</v>
      </c>
      <c r="D117" t="str">
        <f t="shared" si="35"/>
        <v>y</v>
      </c>
      <c r="E117" s="4">
        <f t="shared" si="32"/>
        <v>-6.9408187653943898</v>
      </c>
      <c r="F117" s="1">
        <f t="shared" si="38"/>
        <v>1.9423125447169602</v>
      </c>
      <c r="G117" s="1">
        <f t="shared" si="38"/>
        <v>8.2751085780571572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si="45"/>
        <v>0</v>
      </c>
      <c r="L117">
        <f t="shared" si="41"/>
        <v>0</v>
      </c>
      <c r="M117">
        <f t="shared" si="34"/>
        <v>4.7986396606943525E-4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10.681930325230962</v>
      </c>
      <c r="C118" s="1">
        <f t="shared" si="37"/>
        <v>1.7474701863814737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si="45"/>
        <v>0</v>
      </c>
      <c r="L118">
        <f t="shared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10.681930325230962</v>
      </c>
      <c r="C119" s="1">
        <f t="shared" si="37"/>
        <v>1.7474701863814737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si="45"/>
        <v>0</v>
      </c>
      <c r="L119">
        <f t="shared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10.681930325230962</v>
      </c>
      <c r="C120" s="1">
        <f t="shared" si="37"/>
        <v>1.7474701863814737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si="45"/>
        <v>0</v>
      </c>
      <c r="L120">
        <f t="shared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10.681930325230962</v>
      </c>
      <c r="C121" s="1">
        <f t="shared" si="37"/>
        <v>1.7474701863814737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si="45"/>
        <v>0</v>
      </c>
      <c r="L121">
        <f t="shared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9.6093983907199245</v>
      </c>
      <c r="H122">
        <f>SUM(H110:H121)</f>
        <v>-18.278231823058075</v>
      </c>
      <c r="I122">
        <f t="shared" ref="I122:J122" si="46">SUM(I110:I121)</f>
        <v>116.51184193604045</v>
      </c>
      <c r="J122">
        <f t="shared" si="46"/>
        <v>3.2085224929800553</v>
      </c>
      <c r="L122">
        <f>MIN(L110:L121)</f>
        <v>-6.6436023051163551E-4</v>
      </c>
      <c r="M122">
        <f>MIN(M110:M121)</f>
        <v>-6.6436024036569047E-4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1.3342898126627674</v>
      </c>
      <c r="F125" s="1" t="s">
        <v>27</v>
      </c>
      <c r="G125" s="1" t="s">
        <v>28</v>
      </c>
    </row>
    <row r="126" spans="1:16" x14ac:dyDescent="0.25">
      <c r="F126" s="4">
        <f>MIN(B84:B90)-1</f>
        <v>-11.681930325230965</v>
      </c>
      <c r="G126" s="4">
        <f>B125</f>
        <v>1.3342898126627674</v>
      </c>
    </row>
    <row r="127" spans="1:16" x14ac:dyDescent="0.25">
      <c r="F127" s="4">
        <f>MAX(B84:B90)+1</f>
        <v>11.681930325230962</v>
      </c>
      <c r="G127" s="4">
        <f>G126</f>
        <v>1.3342898126627674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10.681930325230962</v>
      </c>
      <c r="C132" s="4">
        <f>C84</f>
        <v>1.7474701863814737</v>
      </c>
      <c r="D132" s="4">
        <f t="shared" ref="D132:E139" si="47">B85</f>
        <v>6.3176173504213748</v>
      </c>
      <c r="E132" s="4">
        <f t="shared" si="47"/>
        <v>8.7889133878446977</v>
      </c>
      <c r="F132" s="4">
        <f t="shared" ref="F132:F139" si="48">($B$66/$B$65)*(C132-$B$125)</f>
        <v>8.918315192720673E-2</v>
      </c>
      <c r="G132" s="4">
        <f t="shared" ref="G132:G139" si="49">($B$66/$B$65)*(E132-$B$125)</f>
        <v>1.6090474503471988</v>
      </c>
      <c r="H132" s="4">
        <f>IF(B132=D132,"V",(C132-E132)/(B132-D132))</f>
        <v>-1.6134138963236109</v>
      </c>
      <c r="I132" s="4">
        <f>IF(H132="V",0,(-1*B132*H132)+C132)</f>
        <v>18.981845012669694</v>
      </c>
      <c r="J132" s="4">
        <f>IF($F132&gt;=0,B132,IF(AND($F132&lt;0,$G132&gt;=0),IF(H132="V",B132,($B$125-I132)/H132),0))</f>
        <v>10.681930325230962</v>
      </c>
      <c r="K132" s="4">
        <f>IF($F132&gt;=0,C132,IF(AND($F132&lt;0,$G132&gt;=0),$B$125,0))</f>
        <v>1.7474701863814737</v>
      </c>
      <c r="L132" s="4">
        <f>IF($G132&gt;=0,D132,IF(AND($G132&lt;0,$F132&gt;=0),IF(H132="V",D132,($B$125-I132)/H132),0))</f>
        <v>6.3176173504213748</v>
      </c>
      <c r="M132" s="4">
        <f>IF($G132&gt;=0,E132,IF(AND($G132&lt;0,$F132&gt;=0),$B$125,0))</f>
        <v>8.7889133878446977</v>
      </c>
      <c r="N132" s="4">
        <f>IF(F132&lt;0,0,F132)</f>
        <v>8.918315192720673E-2</v>
      </c>
      <c r="O132" s="4">
        <f>IF(G132&lt;0,0,G132)</f>
        <v>1.6090474503471988</v>
      </c>
      <c r="P132" s="4">
        <f>(1/6)*(M132-K132)*((N132*((2*J132)+L132))+(O132*(J132+(2*L132))))</f>
        <v>46.927870018741395</v>
      </c>
      <c r="Q132" s="4">
        <f>((1/12)*(M132-K132)*(N132*J132*((3*K132)+M132)+N132*L132*(K132+M132)+O132*J132*(K132+M132)+O132*L132*(K132+(3*M132))))</f>
        <v>285.29029198226846</v>
      </c>
      <c r="R132" s="4">
        <f>((-1/24)*(M132-K132)*(J132*J132*((3*N132)+O132)+2*J132*L132*(N132+O132)+L132*L132*(N132+(3*O132))))</f>
        <v>-187.64164138782894</v>
      </c>
    </row>
    <row r="133" spans="1:18" x14ac:dyDescent="0.25">
      <c r="A133" t="s">
        <v>70</v>
      </c>
      <c r="B133" s="4">
        <f t="shared" ref="B133:C138" si="50">D132</f>
        <v>6.3176173504213748</v>
      </c>
      <c r="C133" s="4">
        <f t="shared" si="50"/>
        <v>8.7889133878446977</v>
      </c>
      <c r="D133" s="4">
        <f t="shared" si="47"/>
        <v>-1.7474701863814768</v>
      </c>
      <c r="E133" s="4">
        <f t="shared" si="47"/>
        <v>10.681930325230963</v>
      </c>
      <c r="F133" s="4">
        <f t="shared" si="48"/>
        <v>1.6090474503471988</v>
      </c>
      <c r="G133" s="4">
        <f t="shared" si="49"/>
        <v>2.0176467640276479</v>
      </c>
      <c r="H133" s="4">
        <f t="shared" ref="H133:H139" si="51">IF(B133=D133,"V",(C133-E133)/(B133-D133))</f>
        <v>-0.23471746943204194</v>
      </c>
      <c r="I133" s="4">
        <f t="shared" ref="I133:I139" si="52">IF(H133="V",0,(-1*B133*H133)+C133)</f>
        <v>10.271768545175565</v>
      </c>
      <c r="J133" s="4">
        <f t="shared" ref="J133:J139" si="53">IF($F133&gt;=0,B133,IF(AND($F133&lt;0,$G133&gt;=0),IF(H133="V",B133,($B$125-I133)/H133),0))</f>
        <v>6.3176173504213748</v>
      </c>
      <c r="K133" s="4">
        <f t="shared" ref="K133:K139" si="54">IF($F133&gt;=0,C133,IF(AND($F133&lt;0,$G133&gt;=0),$B$125,0))</f>
        <v>8.7889133878446977</v>
      </c>
      <c r="L133" s="4">
        <f t="shared" ref="L133:L139" si="55">IF($G133&gt;=0,D133,IF(AND($G133&lt;0,$F133&gt;=0),IF(H133="V",D133,($B$125-I133)/H133),0))</f>
        <v>-1.7474701863814768</v>
      </c>
      <c r="M133" s="4">
        <f t="shared" ref="M133:M139" si="56">IF($G133&gt;=0,E133,IF(AND($G133&lt;0,$F133&gt;=0),$B$125,0))</f>
        <v>10.681930325230963</v>
      </c>
      <c r="N133" s="4">
        <f t="shared" ref="N133:O139" si="57">IF(F133&lt;0,0,F133)</f>
        <v>1.6090474503471988</v>
      </c>
      <c r="O133" s="4">
        <f t="shared" si="57"/>
        <v>2.0176467640276479</v>
      </c>
      <c r="P133" s="4">
        <f t="shared" ref="P133:P139" si="58">(1/6)*(M133-K133)*((N133*((2*J133)+L133))+(O133*(J133+(2*L133))))</f>
        <v>7.3241124409963767</v>
      </c>
      <c r="Q133" s="4">
        <f t="shared" ref="Q133:Q139" si="59">((1/12)*(M133-K133)*(N133*J133*((3*K133)+M133)+N133*L133*(K133+M133)+O133*J133*(K133+M133)+O133*L133*(K133+(3*M133))))</f>
        <v>67.214797560888798</v>
      </c>
      <c r="R133" s="4">
        <f t="shared" ref="R133:R139" si="60">((-1/24)*(M133-K133)*(J133*J133*((3*N133)+O133)+2*J133*L133*(N133+O133)+L133*L133*(N133+(3*O133))))</f>
        <v>-17.077532088398556</v>
      </c>
    </row>
    <row r="134" spans="1:18" x14ac:dyDescent="0.25">
      <c r="A134" t="s">
        <v>71</v>
      </c>
      <c r="B134" s="4">
        <f t="shared" si="50"/>
        <v>-1.7474701863814768</v>
      </c>
      <c r="C134" s="4">
        <f t="shared" si="50"/>
        <v>10.681930325230963</v>
      </c>
      <c r="D134" s="4">
        <f t="shared" si="47"/>
        <v>-8.7889133878447012</v>
      </c>
      <c r="E134" s="4">
        <f t="shared" si="47"/>
        <v>6.3176173504213757</v>
      </c>
      <c r="F134" s="4">
        <f t="shared" si="48"/>
        <v>2.0176467640276479</v>
      </c>
      <c r="G134" s="4">
        <f t="shared" si="49"/>
        <v>1.0756291565908858</v>
      </c>
      <c r="H134" s="4">
        <f t="shared" si="51"/>
        <v>0.61980376038575102</v>
      </c>
      <c r="I134" s="4">
        <f t="shared" si="52"/>
        <v>11.765018917912192</v>
      </c>
      <c r="J134" s="4">
        <f t="shared" si="53"/>
        <v>-1.7474701863814768</v>
      </c>
      <c r="K134" s="4">
        <f t="shared" si="54"/>
        <v>10.681930325230963</v>
      </c>
      <c r="L134" s="4">
        <f t="shared" si="55"/>
        <v>-8.7889133878447012</v>
      </c>
      <c r="M134" s="4">
        <f t="shared" si="56"/>
        <v>6.3176173504213757</v>
      </c>
      <c r="N134" s="4">
        <f t="shared" si="57"/>
        <v>2.0176467640276479</v>
      </c>
      <c r="O134" s="4">
        <f t="shared" si="57"/>
        <v>1.0756291565908858</v>
      </c>
      <c r="P134" s="4">
        <f t="shared" si="58"/>
        <v>33.147924947960782</v>
      </c>
      <c r="Q134" s="4">
        <f t="shared" si="59"/>
        <v>272.34079834735365</v>
      </c>
      <c r="R134" s="4">
        <f t="shared" si="60"/>
        <v>94.905172632156095</v>
      </c>
    </row>
    <row r="135" spans="1:18" x14ac:dyDescent="0.25">
      <c r="A135" t="s">
        <v>72</v>
      </c>
      <c r="B135" s="4">
        <f t="shared" si="50"/>
        <v>-8.7889133878447012</v>
      </c>
      <c r="C135" s="4">
        <f t="shared" si="50"/>
        <v>6.3176173504213757</v>
      </c>
      <c r="D135" s="4">
        <f t="shared" si="47"/>
        <v>-10.681930325230965</v>
      </c>
      <c r="E135" s="4">
        <f t="shared" si="47"/>
        <v>-1.7474701863814754</v>
      </c>
      <c r="F135" s="4">
        <f t="shared" si="48"/>
        <v>1.0756291565908858</v>
      </c>
      <c r="G135" s="4">
        <f t="shared" si="49"/>
        <v>-0.66518423352088674</v>
      </c>
      <c r="H135" s="4">
        <f t="shared" si="51"/>
        <v>4.2604412974447659</v>
      </c>
      <c r="I135" s="4">
        <f t="shared" si="52"/>
        <v>43.762266907660134</v>
      </c>
      <c r="J135" s="4">
        <f t="shared" si="53"/>
        <v>-8.7889133878447012</v>
      </c>
      <c r="K135" s="4">
        <f t="shared" si="54"/>
        <v>6.3176173504213757</v>
      </c>
      <c r="L135" s="4">
        <f t="shared" si="55"/>
        <v>-9.9585874168584105</v>
      </c>
      <c r="M135" s="4">
        <f t="shared" si="56"/>
        <v>1.3342898126627674</v>
      </c>
      <c r="N135" s="4">
        <f t="shared" si="57"/>
        <v>1.0756291565908858</v>
      </c>
      <c r="O135" s="4">
        <f t="shared" si="57"/>
        <v>0</v>
      </c>
      <c r="P135" s="4">
        <f t="shared" si="58"/>
        <v>24.600171451470992</v>
      </c>
      <c r="Q135" s="4">
        <f t="shared" si="59"/>
        <v>113.68301118720888</v>
      </c>
      <c r="R135" s="4">
        <f t="shared" si="60"/>
        <v>113.00193930893477</v>
      </c>
    </row>
    <row r="136" spans="1:18" x14ac:dyDescent="0.25">
      <c r="A136" t="s">
        <v>73</v>
      </c>
      <c r="B136" s="4">
        <f t="shared" si="50"/>
        <v>-10.681930325230965</v>
      </c>
      <c r="C136" s="4">
        <f t="shared" si="50"/>
        <v>-1.7474701863814754</v>
      </c>
      <c r="D136" s="4">
        <f t="shared" si="47"/>
        <v>-6.3176173504213784</v>
      </c>
      <c r="E136" s="4">
        <f t="shared" si="47"/>
        <v>-8.7889133878446994</v>
      </c>
      <c r="F136" s="4">
        <f t="shared" si="48"/>
        <v>-0.66518423352088674</v>
      </c>
      <c r="G136" s="4">
        <f t="shared" si="49"/>
        <v>-2.1850485319408786</v>
      </c>
      <c r="H136" s="4">
        <f t="shared" si="51"/>
        <v>-1.6134138963236109</v>
      </c>
      <c r="I136" s="4">
        <f t="shared" si="52"/>
        <v>-18.981845012669702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-6.3176173504213784</v>
      </c>
      <c r="C137" s="4">
        <f t="shared" si="50"/>
        <v>-8.7889133878446994</v>
      </c>
      <c r="D137" s="4">
        <f t="shared" si="47"/>
        <v>1.7474701863814728</v>
      </c>
      <c r="E137" s="4">
        <f t="shared" si="47"/>
        <v>-10.681930325230965</v>
      </c>
      <c r="F137" s="4">
        <f t="shared" si="48"/>
        <v>-2.1850485319408786</v>
      </c>
      <c r="G137" s="4">
        <f t="shared" si="49"/>
        <v>-2.5936478456213279</v>
      </c>
      <c r="H137" s="4">
        <f t="shared" si="51"/>
        <v>-0.23471746943204194</v>
      </c>
      <c r="I137" s="4">
        <f t="shared" si="52"/>
        <v>-10.271768545175567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1.7474701863814728</v>
      </c>
      <c r="C138" s="4">
        <f t="shared" si="50"/>
        <v>-10.681930325230965</v>
      </c>
      <c r="D138" s="4">
        <f t="shared" si="47"/>
        <v>8.7889133878446959</v>
      </c>
      <c r="E138" s="4">
        <f t="shared" si="47"/>
        <v>-6.3176173504213775</v>
      </c>
      <c r="F138" s="4">
        <f t="shared" si="48"/>
        <v>-2.5936478456213279</v>
      </c>
      <c r="G138" s="4">
        <f t="shared" si="49"/>
        <v>-1.6516302381845656</v>
      </c>
      <c r="H138" s="4">
        <f t="shared" si="51"/>
        <v>0.61980376038575113</v>
      </c>
      <c r="I138" s="4">
        <f t="shared" si="52"/>
        <v>-11.765018917912192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8.7889133878446959</v>
      </c>
      <c r="C139" s="4">
        <f>E138</f>
        <v>-6.3176173504213775</v>
      </c>
      <c r="D139" s="4">
        <f t="shared" si="47"/>
        <v>10.681930325230962</v>
      </c>
      <c r="E139" s="4">
        <f t="shared" si="47"/>
        <v>1.7474701863814737</v>
      </c>
      <c r="F139" s="4">
        <f t="shared" si="48"/>
        <v>-1.6516302381845656</v>
      </c>
      <c r="G139" s="4">
        <f t="shared" si="49"/>
        <v>8.918315192720673E-2</v>
      </c>
      <c r="H139" s="4">
        <f t="shared" si="51"/>
        <v>4.2604412974447614</v>
      </c>
      <c r="I139" s="4">
        <f t="shared" si="52"/>
        <v>-43.76226690766007</v>
      </c>
      <c r="J139" s="4">
        <f t="shared" si="53"/>
        <v>10.584949673492723</v>
      </c>
      <c r="K139" s="4">
        <f t="shared" si="54"/>
        <v>1.3342898126627674</v>
      </c>
      <c r="L139" s="4">
        <f t="shared" si="55"/>
        <v>10.681930325230962</v>
      </c>
      <c r="M139" s="4">
        <f t="shared" si="56"/>
        <v>1.7474701863814737</v>
      </c>
      <c r="N139" s="4">
        <f t="shared" si="57"/>
        <v>0</v>
      </c>
      <c r="O139" s="4">
        <f t="shared" si="57"/>
        <v>8.918315192720673E-2</v>
      </c>
      <c r="P139" s="31">
        <f t="shared" si="58"/>
        <v>0.19621217048584419</v>
      </c>
      <c r="Q139" s="31">
        <f t="shared" si="59"/>
        <v>0.3158922606812703</v>
      </c>
      <c r="R139" s="31">
        <f t="shared" si="60"/>
        <v>-1.044795716508697</v>
      </c>
    </row>
    <row r="140" spans="1:18" ht="15.75" thickTop="1" x14ac:dyDescent="0.25">
      <c r="P140" s="4">
        <f>SUM(P132:P139)</f>
        <v>112.1962910296554</v>
      </c>
      <c r="Q140" s="4">
        <f>SUM(Q132:Q139)</f>
        <v>738.84479133840114</v>
      </c>
      <c r="R140" s="4">
        <f>SUM(R132:R139)</f>
        <v>2.1431427483546677</v>
      </c>
    </row>
    <row r="142" spans="1:18" x14ac:dyDescent="0.25">
      <c r="O142" t="s">
        <v>96</v>
      </c>
      <c r="P142" s="1">
        <f>-1*R140/P140</f>
        <v>-1.9101725455328986E-2</v>
      </c>
    </row>
    <row r="143" spans="1:18" x14ac:dyDescent="0.25">
      <c r="O143" t="s">
        <v>97</v>
      </c>
      <c r="P143" s="1">
        <f>Q140/P140</f>
        <v>6.5852871298848177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4.2727721300923855</v>
      </c>
      <c r="C146" s="9">
        <f>J84</f>
        <v>0.69898807455259004</v>
      </c>
      <c r="D146" s="9">
        <f t="shared" ref="D146:E153" si="61">I85</f>
        <v>3.5155653551378805</v>
      </c>
      <c r="E146">
        <f t="shared" si="61"/>
        <v>-2.52704694016855</v>
      </c>
      <c r="F146" s="4">
        <f>($B$66/$B$65)*(C146-$B$125)</f>
        <v>-0.13712706370722105</v>
      </c>
      <c r="G146" s="4">
        <f>($B$66/$B$65)*(E146-$B$125)</f>
        <v>-0.83345241975192996</v>
      </c>
      <c r="H146" s="4">
        <f>IF(B146=D146,"V",(C146-E146)/(B146-D146))</f>
        <v>4.2604412974447685</v>
      </c>
      <c r="I146" s="4">
        <f>IF(H146="V",0,(-1*B146*H146)+C146)</f>
        <v>-17.50490676306406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3.5155653551378805</v>
      </c>
      <c r="C147">
        <f t="shared" si="62"/>
        <v>-2.52704694016855</v>
      </c>
      <c r="D147" s="9">
        <f t="shared" si="61"/>
        <v>0.69898807455258893</v>
      </c>
      <c r="E147">
        <f t="shared" si="61"/>
        <v>-4.2727721300923864</v>
      </c>
      <c r="F147" s="4">
        <f t="shared" ref="F147:F153" si="63">($B$66/$B$65)*(C147-$B$125)</f>
        <v>-0.83345241975192996</v>
      </c>
      <c r="G147" s="4">
        <f t="shared" ref="G147:G153" si="64">($B$66/$B$65)*(E147-$B$125)</f>
        <v>-1.2102594627266352</v>
      </c>
      <c r="H147" s="4">
        <f t="shared" ref="H147:H153" si="65">IF(B147=D147,"V",(C147-E147)/(B147-D147))</f>
        <v>0.61980376038575102</v>
      </c>
      <c r="I147" s="4">
        <f t="shared" ref="I147:I153" si="66">IF(H147="V",0,(-1*B147*H147)+C147)</f>
        <v>-4.7060075671648764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0.69898807455258893</v>
      </c>
      <c r="C148">
        <f t="shared" si="62"/>
        <v>-4.2727721300923864</v>
      </c>
      <c r="D148" s="9">
        <f t="shared" si="61"/>
        <v>-2.5270469401685505</v>
      </c>
      <c r="E148">
        <f t="shared" si="61"/>
        <v>-3.5155653551378796</v>
      </c>
      <c r="F148" s="4">
        <f t="shared" si="63"/>
        <v>-1.2102594627266352</v>
      </c>
      <c r="G148" s="4">
        <f t="shared" si="64"/>
        <v>-1.0468197372544552</v>
      </c>
      <c r="H148" s="4">
        <f t="shared" si="65"/>
        <v>-0.23471746943204219</v>
      </c>
      <c r="I148" s="4">
        <f t="shared" si="66"/>
        <v>-4.1087074180702272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-2.5270469401685505</v>
      </c>
      <c r="C149">
        <f t="shared" si="62"/>
        <v>-3.5155653551378796</v>
      </c>
      <c r="D149" s="9">
        <f t="shared" si="61"/>
        <v>-4.2727721300923855</v>
      </c>
      <c r="E149">
        <f t="shared" si="61"/>
        <v>-0.6989880745525896</v>
      </c>
      <c r="F149" s="4">
        <f t="shared" si="63"/>
        <v>-1.0468197372544552</v>
      </c>
      <c r="G149" s="4">
        <f t="shared" si="64"/>
        <v>-0.43887401788645847</v>
      </c>
      <c r="H149" s="4">
        <f t="shared" si="65"/>
        <v>-1.6134138963236107</v>
      </c>
      <c r="I149" s="4">
        <f t="shared" si="66"/>
        <v>-7.5927380050678792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-4.2727721300923855</v>
      </c>
      <c r="C150">
        <f t="shared" si="62"/>
        <v>-0.6989880745525896</v>
      </c>
      <c r="D150" s="9">
        <f t="shared" si="61"/>
        <v>-3.5155653551378805</v>
      </c>
      <c r="E150">
        <f t="shared" si="61"/>
        <v>2.52704694016855</v>
      </c>
      <c r="F150" s="4">
        <f t="shared" si="63"/>
        <v>-0.43887401788645847</v>
      </c>
      <c r="G150" s="4">
        <f t="shared" si="64"/>
        <v>0.25745133815825033</v>
      </c>
      <c r="H150" s="4">
        <f t="shared" si="65"/>
        <v>4.2604412974447676</v>
      </c>
      <c r="I150" s="4">
        <f t="shared" si="66"/>
        <v>17.50490676306406</v>
      </c>
      <c r="J150" s="4">
        <f t="shared" si="67"/>
        <v>-3.7955262897530697</v>
      </c>
      <c r="K150" s="4">
        <f t="shared" si="68"/>
        <v>1.3342898126627674</v>
      </c>
      <c r="L150" s="4">
        <f t="shared" si="69"/>
        <v>-3.5155653551378805</v>
      </c>
      <c r="M150" s="4">
        <f t="shared" si="70"/>
        <v>2.52704694016855</v>
      </c>
      <c r="N150" s="4">
        <f t="shared" si="71"/>
        <v>0</v>
      </c>
      <c r="O150" s="4">
        <f t="shared" si="71"/>
        <v>0.25745133815825033</v>
      </c>
      <c r="P150" s="4">
        <f t="shared" si="72"/>
        <v>-0.55410274500469225</v>
      </c>
      <c r="Q150" s="4">
        <f t="shared" si="73"/>
        <v>-1.1770919583969637</v>
      </c>
      <c r="R150" s="4">
        <f t="shared" si="74"/>
        <v>-1.0001810065050565</v>
      </c>
    </row>
    <row r="151" spans="1:18" x14ac:dyDescent="0.25">
      <c r="A151" t="s">
        <v>74</v>
      </c>
      <c r="B151" s="9">
        <f t="shared" si="62"/>
        <v>-3.5155653551378805</v>
      </c>
      <c r="C151">
        <f t="shared" si="62"/>
        <v>2.52704694016855</v>
      </c>
      <c r="D151" s="9">
        <f t="shared" si="61"/>
        <v>-0.69898807455259049</v>
      </c>
      <c r="E151">
        <f t="shared" si="61"/>
        <v>4.2727721300923855</v>
      </c>
      <c r="F151" s="4">
        <f t="shared" si="63"/>
        <v>0.25745133815825033</v>
      </c>
      <c r="G151" s="4">
        <f t="shared" si="64"/>
        <v>0.6342583811329553</v>
      </c>
      <c r="H151" s="4">
        <f t="shared" si="65"/>
        <v>0.61980376038575113</v>
      </c>
      <c r="I151" s="4">
        <f t="shared" si="66"/>
        <v>4.7060075671648764</v>
      </c>
      <c r="J151" s="4">
        <f t="shared" si="67"/>
        <v>-3.5155653551378805</v>
      </c>
      <c r="K151" s="4">
        <f t="shared" si="68"/>
        <v>2.52704694016855</v>
      </c>
      <c r="L151" s="4">
        <f t="shared" si="69"/>
        <v>-0.69898807455259049</v>
      </c>
      <c r="M151" s="4">
        <f t="shared" si="70"/>
        <v>4.2727721300923855</v>
      </c>
      <c r="N151" s="4">
        <f t="shared" si="71"/>
        <v>0.25745133815825033</v>
      </c>
      <c r="O151" s="4">
        <f t="shared" si="71"/>
        <v>0.6342583811329553</v>
      </c>
      <c r="P151" s="4">
        <f t="shared" si="72"/>
        <v>-1.4857821427306555</v>
      </c>
      <c r="Q151" s="4">
        <f t="shared" si="73"/>
        <v>-4.9342579600306236</v>
      </c>
      <c r="R151" s="4">
        <f t="shared" si="74"/>
        <v>-1.6600770908017193</v>
      </c>
    </row>
    <row r="152" spans="1:18" x14ac:dyDescent="0.25">
      <c r="A152" t="s">
        <v>75</v>
      </c>
      <c r="B152" s="9">
        <f t="shared" si="62"/>
        <v>-0.69898807455259049</v>
      </c>
      <c r="C152">
        <f t="shared" si="62"/>
        <v>4.2727721300923855</v>
      </c>
      <c r="D152" s="9">
        <f t="shared" si="61"/>
        <v>2.5270469401685505</v>
      </c>
      <c r="E152">
        <f t="shared" si="61"/>
        <v>3.5155653551378796</v>
      </c>
      <c r="F152" s="4">
        <f t="shared" si="63"/>
        <v>0.6342583811329553</v>
      </c>
      <c r="G152" s="4">
        <f t="shared" si="64"/>
        <v>0.47081865566077574</v>
      </c>
      <c r="H152" s="4">
        <f t="shared" si="65"/>
        <v>-0.2347174694320418</v>
      </c>
      <c r="I152" s="4">
        <f t="shared" si="66"/>
        <v>4.1087074180702263</v>
      </c>
      <c r="J152" s="4">
        <f t="shared" si="67"/>
        <v>-0.69898807455259049</v>
      </c>
      <c r="K152" s="4">
        <f t="shared" si="68"/>
        <v>4.2727721300923855</v>
      </c>
      <c r="L152" s="4">
        <f t="shared" si="69"/>
        <v>2.5270469401685505</v>
      </c>
      <c r="M152" s="4">
        <f t="shared" si="70"/>
        <v>3.5155653551378796</v>
      </c>
      <c r="N152" s="4">
        <f t="shared" si="71"/>
        <v>0.6342583811329553</v>
      </c>
      <c r="O152" s="4">
        <f t="shared" si="71"/>
        <v>0.47081865566077574</v>
      </c>
      <c r="P152" s="4">
        <f t="shared" si="72"/>
        <v>-0.34914648823307304</v>
      </c>
      <c r="Q152" s="4">
        <f t="shared" si="73"/>
        <v>-1.2816045870329433</v>
      </c>
      <c r="R152" s="4">
        <f t="shared" si="74"/>
        <v>0.3257878067906928</v>
      </c>
    </row>
    <row r="153" spans="1:18" ht="15.75" thickBot="1" x14ac:dyDescent="0.3">
      <c r="A153" t="s">
        <v>134</v>
      </c>
      <c r="B153" s="9">
        <f t="shared" si="62"/>
        <v>2.5270469401685505</v>
      </c>
      <c r="C153">
        <f t="shared" si="62"/>
        <v>3.5155653551378796</v>
      </c>
      <c r="D153" s="9">
        <f t="shared" si="61"/>
        <v>4.2727721300923855</v>
      </c>
      <c r="E153">
        <f t="shared" si="61"/>
        <v>0.69898807455259004</v>
      </c>
      <c r="F153" s="4">
        <f t="shared" si="63"/>
        <v>0.47081865566077574</v>
      </c>
      <c r="G153" s="4">
        <f t="shared" si="64"/>
        <v>-0.13712706370722105</v>
      </c>
      <c r="H153" s="4">
        <f t="shared" si="65"/>
        <v>-1.6134138963236107</v>
      </c>
      <c r="I153" s="4">
        <f t="shared" si="66"/>
        <v>7.5927380050678792</v>
      </c>
      <c r="J153" s="4">
        <f t="shared" si="67"/>
        <v>2.5270469401685505</v>
      </c>
      <c r="K153" s="4">
        <f t="shared" si="68"/>
        <v>3.5155653551378796</v>
      </c>
      <c r="L153" s="4">
        <f t="shared" si="69"/>
        <v>3.8790097238320942</v>
      </c>
      <c r="M153" s="4">
        <f t="shared" si="70"/>
        <v>1.3342898126627674</v>
      </c>
      <c r="N153" s="4">
        <f t="shared" si="71"/>
        <v>0.47081865566077574</v>
      </c>
      <c r="O153" s="4">
        <f t="shared" si="71"/>
        <v>0</v>
      </c>
      <c r="P153" s="22">
        <f t="shared" si="72"/>
        <v>-1.529027559518888</v>
      </c>
      <c r="Q153" s="22">
        <f t="shared" si="73"/>
        <v>-4.1795255406705305</v>
      </c>
      <c r="R153" s="22">
        <f t="shared" si="74"/>
        <v>2.3025648093818232</v>
      </c>
    </row>
    <row r="154" spans="1:18" ht="15.75" thickTop="1" x14ac:dyDescent="0.25">
      <c r="P154" s="4">
        <f>SUM(P146:P153)</f>
        <v>-3.9180589354873092</v>
      </c>
      <c r="Q154" s="4">
        <f t="shared" ref="Q154:R154" si="75">SUM(Q146:Q153)</f>
        <v>-11.57248004613106</v>
      </c>
      <c r="R154" s="4">
        <f t="shared" si="75"/>
        <v>-3.1905481134259617E-2</v>
      </c>
    </row>
    <row r="156" spans="1:18" x14ac:dyDescent="0.25">
      <c r="O156" t="s">
        <v>96</v>
      </c>
      <c r="P156" s="1">
        <f>-1*R154/P154</f>
        <v>-8.1431856078732941E-3</v>
      </c>
    </row>
    <row r="157" spans="1:18" x14ac:dyDescent="0.25">
      <c r="O157" t="s">
        <v>97</v>
      </c>
      <c r="P157" s="1">
        <f>Q154/P154</f>
        <v>2.9536258225507606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90.000000271110011</v>
      </c>
      <c r="C159" t="s">
        <v>36</v>
      </c>
    </row>
    <row r="160" spans="1:18" x14ac:dyDescent="0.25">
      <c r="A160" s="1" t="s">
        <v>106</v>
      </c>
      <c r="B160" s="4">
        <f>Q140+I122+Q154-O122</f>
        <v>843.78415322831052</v>
      </c>
      <c r="C160" t="s">
        <v>102</v>
      </c>
    </row>
    <row r="161" spans="1:9" x14ac:dyDescent="0.25">
      <c r="A161" s="1" t="s">
        <v>107</v>
      </c>
      <c r="B161" s="4">
        <f>R140+J122+R154-P122</f>
        <v>5.3197597602004638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90.000000271110011</v>
      </c>
      <c r="C164" t="s">
        <v>36</v>
      </c>
      <c r="E164" s="8">
        <f>B2-B164</f>
        <v>-2.7111001088542253E-7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-439.99999913002836</v>
      </c>
      <c r="C165" t="s">
        <v>102</v>
      </c>
      <c r="E165" s="8">
        <f>B3+B165</f>
        <v>8.6997164316926501E-7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-719.99999850604047</v>
      </c>
      <c r="C166" t="s">
        <v>102</v>
      </c>
      <c r="E166" s="8">
        <f>B4+B166</f>
        <v>1.4939595303076203E-6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2.0176467640276479</v>
      </c>
      <c r="B169" s="1">
        <f>IF(E122=0,0,(MIN(H110:H121)*B65)/(B55*B56*E122))</f>
        <v>-2.0176467341011097</v>
      </c>
      <c r="C169" s="3">
        <f>A169+B169</f>
        <v>2.9926538136493264E-8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-3.1528488944641722E-8</v>
      </c>
      <c r="C175" s="27">
        <f>B65*SQRT(I175)</f>
        <v>1.3864791485444477E-7</v>
      </c>
      <c r="D175" s="27">
        <f>B66*SQRT(I175)</f>
        <v>2.9926537757750601E-8</v>
      </c>
      <c r="E175" s="27">
        <f>B67*SQRT(I175)</f>
        <v>9.557802922755373E-8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-2.1256503225436187</v>
      </c>
      <c r="C176" s="3">
        <f>B65+C175</f>
        <v>9.3476406512161105</v>
      </c>
      <c r="D176" s="3">
        <f>D175+B66</f>
        <v>2.0176467939541856</v>
      </c>
      <c r="E176" s="3">
        <f>B67+E175</f>
        <v>6.4438695115504752</v>
      </c>
      <c r="F176" s="16" t="s">
        <v>125</v>
      </c>
    </row>
    <row r="177" spans="1:13" x14ac:dyDescent="0.25">
      <c r="B177" s="27">
        <f>B176-B64</f>
        <v>-3.1528489152776729E-8</v>
      </c>
      <c r="C177" s="27">
        <f>C176-B65</f>
        <v>1.3864791448270353E-7</v>
      </c>
      <c r="D177" s="27">
        <f>D176-B66</f>
        <v>2.9926537692404054E-8</v>
      </c>
      <c r="E177" s="27">
        <f>E176-B67</f>
        <v>9.5578029046805568E-8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-53.665603716903213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10.681930313218608</v>
      </c>
      <c r="B181" s="25">
        <f>(d_alpha_p!E136-d_alpha_m!E136)/(2*B177)</f>
        <v>6.317617343414712</v>
      </c>
      <c r="C181" s="25">
        <f>(d_alpha_p!E137-d_alpha_m!E137)/(2*B177)</f>
        <v>-1.7474701548031415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2.7111001088542253E-7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-8.6997164316926501E-7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-1.4939595303076203E-6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-2.9926538136493264E-8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-53.665603716903213</v>
      </c>
      <c r="B190" s="25">
        <f>A181</f>
        <v>10.681930313218608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6.317617343414712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-1.7474701548031415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-53.665603716903213</v>
      </c>
      <c r="B201" s="25">
        <f t="shared" ref="B201:C201" si="77">B190</f>
        <v>10.681930313218608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6.317617343414712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-1.7474701548031415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LICENSE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2020-10-31T17:53:36Z</dcterms:modified>
</cp:coreProperties>
</file>