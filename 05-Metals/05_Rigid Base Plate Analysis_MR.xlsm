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6DFAA09D-7CDF-4466-9B4E-3D6FBE9BF2D5}" xr6:coauthVersionLast="45" xr6:coauthVersionMax="45" xr10:uidLastSave="{00000000-0000-0000-0000-000000000000}"/>
  <bookViews>
    <workbookView xWindow="2355" yWindow="630" windowWidth="25350" windowHeight="16815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4" i="6" l="1"/>
  <c r="N55" i="6"/>
  <c r="N56" i="6"/>
  <c r="N57" i="6"/>
  <c r="N58" i="6"/>
  <c r="N59" i="6"/>
  <c r="N60" i="6"/>
  <c r="L54" i="6"/>
  <c r="M54" i="6"/>
  <c r="L55" i="6"/>
  <c r="M55" i="6"/>
  <c r="L56" i="6"/>
  <c r="M56" i="6"/>
  <c r="L58" i="6"/>
  <c r="M58" i="6"/>
  <c r="L59" i="6"/>
  <c r="L60" i="6"/>
  <c r="G54" i="6"/>
  <c r="H54" i="6"/>
  <c r="I54" i="6"/>
  <c r="J54" i="6"/>
  <c r="K54" i="6"/>
  <c r="G55" i="6"/>
  <c r="H55" i="6"/>
  <c r="J55" i="6"/>
  <c r="K55" i="6"/>
  <c r="G56" i="6"/>
  <c r="H56" i="6"/>
  <c r="J56" i="6"/>
  <c r="K56" i="6"/>
  <c r="G57" i="6"/>
  <c r="H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F55" i="6"/>
  <c r="F56" i="6"/>
  <c r="F57" i="6"/>
  <c r="F58" i="6"/>
  <c r="F59" i="6"/>
  <c r="F60" i="6"/>
  <c r="F54" i="6"/>
  <c r="G54" i="3"/>
  <c r="H54" i="3"/>
  <c r="I54" i="3"/>
  <c r="J54" i="3"/>
  <c r="K54" i="3"/>
  <c r="L54" i="3"/>
  <c r="M54" i="3"/>
  <c r="N54" i="3"/>
  <c r="O54" i="3"/>
  <c r="G55" i="3"/>
  <c r="H55" i="3"/>
  <c r="J55" i="3"/>
  <c r="K55" i="3"/>
  <c r="L55" i="3"/>
  <c r="M55" i="3"/>
  <c r="N55" i="3"/>
  <c r="O55" i="3"/>
  <c r="G56" i="3"/>
  <c r="H56" i="3"/>
  <c r="J56" i="3"/>
  <c r="K56" i="3"/>
  <c r="L56" i="3"/>
  <c r="M56" i="3"/>
  <c r="N56" i="3"/>
  <c r="O56" i="3"/>
  <c r="G57" i="3"/>
  <c r="H57" i="3"/>
  <c r="J57" i="3"/>
  <c r="K57" i="3"/>
  <c r="N57" i="3"/>
  <c r="O57" i="3"/>
  <c r="G58" i="3"/>
  <c r="H58" i="3"/>
  <c r="I58" i="3"/>
  <c r="J58" i="3"/>
  <c r="K58" i="3"/>
  <c r="L58" i="3"/>
  <c r="M58" i="3"/>
  <c r="N58" i="3"/>
  <c r="O58" i="3"/>
  <c r="G59" i="3"/>
  <c r="H59" i="3"/>
  <c r="I59" i="3"/>
  <c r="J59" i="3"/>
  <c r="K59" i="3"/>
  <c r="L59" i="3"/>
  <c r="N59" i="3"/>
  <c r="O59" i="3"/>
  <c r="G60" i="3"/>
  <c r="H60" i="3"/>
  <c r="I60" i="3"/>
  <c r="J60" i="3"/>
  <c r="K60" i="3"/>
  <c r="L60" i="3"/>
  <c r="N60" i="3"/>
  <c r="O60" i="3"/>
  <c r="F55" i="3"/>
  <c r="F56" i="3"/>
  <c r="F57" i="3"/>
  <c r="F58" i="3"/>
  <c r="F59" i="3"/>
  <c r="F60" i="3"/>
  <c r="F54" i="3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G54" i="7"/>
  <c r="H54" i="7"/>
  <c r="I54" i="7"/>
  <c r="J54" i="7"/>
  <c r="K54" i="7"/>
  <c r="L54" i="7"/>
  <c r="M54" i="7"/>
  <c r="G55" i="7"/>
  <c r="H55" i="7"/>
  <c r="J55" i="7"/>
  <c r="K55" i="7"/>
  <c r="L55" i="7"/>
  <c r="M55" i="7"/>
  <c r="G56" i="7"/>
  <c r="H56" i="7"/>
  <c r="J56" i="7"/>
  <c r="K56" i="7"/>
  <c r="L56" i="7"/>
  <c r="M56" i="7"/>
  <c r="G57" i="7"/>
  <c r="H57" i="7"/>
  <c r="J57" i="7"/>
  <c r="K57" i="7"/>
  <c r="G58" i="7"/>
  <c r="H58" i="7"/>
  <c r="I58" i="7"/>
  <c r="J58" i="7"/>
  <c r="K58" i="7"/>
  <c r="L58" i="7"/>
  <c r="M58" i="7"/>
  <c r="G59" i="7"/>
  <c r="H59" i="7"/>
  <c r="I59" i="7"/>
  <c r="J59" i="7"/>
  <c r="K59" i="7"/>
  <c r="L59" i="7"/>
  <c r="G60" i="7"/>
  <c r="H60" i="7"/>
  <c r="I60" i="7"/>
  <c r="J60" i="7"/>
  <c r="K60" i="7"/>
  <c r="L60" i="7"/>
  <c r="F55" i="7"/>
  <c r="F56" i="7"/>
  <c r="F57" i="7"/>
  <c r="F58" i="7"/>
  <c r="F59" i="7"/>
  <c r="F60" i="7"/>
  <c r="F54" i="7"/>
  <c r="G54" i="4"/>
  <c r="H54" i="4"/>
  <c r="I54" i="4"/>
  <c r="J54" i="4"/>
  <c r="K54" i="4"/>
  <c r="L54" i="4"/>
  <c r="M54" i="4"/>
  <c r="G55" i="4"/>
  <c r="H55" i="4"/>
  <c r="J55" i="4"/>
  <c r="K55" i="4"/>
  <c r="L55" i="4"/>
  <c r="M55" i="4"/>
  <c r="G56" i="4"/>
  <c r="H56" i="4"/>
  <c r="J56" i="4"/>
  <c r="K56" i="4"/>
  <c r="L56" i="4"/>
  <c r="M56" i="4"/>
  <c r="G57" i="4"/>
  <c r="H57" i="4"/>
  <c r="J57" i="4"/>
  <c r="K57" i="4"/>
  <c r="G58" i="4"/>
  <c r="H58" i="4"/>
  <c r="I58" i="4"/>
  <c r="J58" i="4"/>
  <c r="K58" i="4"/>
  <c r="L58" i="4"/>
  <c r="M58" i="4"/>
  <c r="G59" i="4"/>
  <c r="H59" i="4"/>
  <c r="I59" i="4"/>
  <c r="J59" i="4"/>
  <c r="K59" i="4"/>
  <c r="L59" i="4"/>
  <c r="G60" i="4"/>
  <c r="H60" i="4"/>
  <c r="I60" i="4"/>
  <c r="J60" i="4"/>
  <c r="K60" i="4"/>
  <c r="L60" i="4"/>
  <c r="F55" i="4"/>
  <c r="F56" i="4"/>
  <c r="F57" i="4"/>
  <c r="F58" i="4"/>
  <c r="F59" i="4"/>
  <c r="F60" i="4"/>
  <c r="F54" i="4"/>
  <c r="G54" i="8"/>
  <c r="H54" i="8"/>
  <c r="I54" i="8"/>
  <c r="J54" i="8"/>
  <c r="K54" i="8"/>
  <c r="L54" i="8"/>
  <c r="M54" i="8"/>
  <c r="N54" i="8"/>
  <c r="G55" i="8"/>
  <c r="H55" i="8"/>
  <c r="J55" i="8"/>
  <c r="K55" i="8"/>
  <c r="L55" i="8"/>
  <c r="M55" i="8"/>
  <c r="N55" i="8"/>
  <c r="G56" i="8"/>
  <c r="H56" i="8"/>
  <c r="J56" i="8"/>
  <c r="K56" i="8"/>
  <c r="L56" i="8"/>
  <c r="M56" i="8"/>
  <c r="N56" i="8"/>
  <c r="G57" i="8"/>
  <c r="H57" i="8"/>
  <c r="J57" i="8"/>
  <c r="K57" i="8"/>
  <c r="N57" i="8"/>
  <c r="G58" i="8"/>
  <c r="H58" i="8"/>
  <c r="I58" i="8"/>
  <c r="J58" i="8"/>
  <c r="K58" i="8"/>
  <c r="L58" i="8"/>
  <c r="M58" i="8"/>
  <c r="N58" i="8"/>
  <c r="G59" i="8"/>
  <c r="H59" i="8"/>
  <c r="I59" i="8"/>
  <c r="J59" i="8"/>
  <c r="K59" i="8"/>
  <c r="L59" i="8"/>
  <c r="N59" i="8"/>
  <c r="G60" i="8"/>
  <c r="H60" i="8"/>
  <c r="I60" i="8"/>
  <c r="J60" i="8"/>
  <c r="K60" i="8"/>
  <c r="L60" i="8"/>
  <c r="N60" i="8"/>
  <c r="F55" i="8"/>
  <c r="F56" i="8"/>
  <c r="F57" i="8"/>
  <c r="F58" i="8"/>
  <c r="F59" i="8"/>
  <c r="F60" i="8"/>
  <c r="F54" i="8"/>
  <c r="G54" i="5"/>
  <c r="H54" i="5"/>
  <c r="I54" i="5"/>
  <c r="J54" i="5"/>
  <c r="K54" i="5"/>
  <c r="L54" i="5"/>
  <c r="M54" i="5"/>
  <c r="G55" i="5"/>
  <c r="H55" i="5"/>
  <c r="J55" i="5"/>
  <c r="K55" i="5"/>
  <c r="L55" i="5"/>
  <c r="M55" i="5"/>
  <c r="G56" i="5"/>
  <c r="H56" i="5"/>
  <c r="J56" i="5"/>
  <c r="K56" i="5"/>
  <c r="L56" i="5"/>
  <c r="M56" i="5"/>
  <c r="G57" i="5"/>
  <c r="H57" i="5"/>
  <c r="J57" i="5"/>
  <c r="K57" i="5"/>
  <c r="G58" i="5"/>
  <c r="H58" i="5"/>
  <c r="I58" i="5"/>
  <c r="J58" i="5"/>
  <c r="K58" i="5"/>
  <c r="L58" i="5"/>
  <c r="M58" i="5"/>
  <c r="G59" i="5"/>
  <c r="H59" i="5"/>
  <c r="I59" i="5"/>
  <c r="J59" i="5"/>
  <c r="K59" i="5"/>
  <c r="L59" i="5"/>
  <c r="G60" i="5"/>
  <c r="H60" i="5"/>
  <c r="I60" i="5"/>
  <c r="J60" i="5"/>
  <c r="K60" i="5"/>
  <c r="L60" i="5"/>
  <c r="F55" i="5"/>
  <c r="F56" i="5"/>
  <c r="F57" i="5"/>
  <c r="F58" i="5"/>
  <c r="F59" i="5"/>
  <c r="F60" i="5"/>
  <c r="F54" i="5"/>
  <c r="G54" i="9"/>
  <c r="H54" i="9"/>
  <c r="I54" i="9"/>
  <c r="J54" i="9"/>
  <c r="K54" i="9"/>
  <c r="L54" i="9"/>
  <c r="M54" i="9"/>
  <c r="N54" i="9"/>
  <c r="G55" i="9"/>
  <c r="H55" i="9"/>
  <c r="J55" i="9"/>
  <c r="K55" i="9"/>
  <c r="L55" i="9"/>
  <c r="M55" i="9"/>
  <c r="N55" i="9"/>
  <c r="G56" i="9"/>
  <c r="H56" i="9"/>
  <c r="J56" i="9"/>
  <c r="K56" i="9"/>
  <c r="L56" i="9"/>
  <c r="M56" i="9"/>
  <c r="N56" i="9"/>
  <c r="G57" i="9"/>
  <c r="H57" i="9"/>
  <c r="J57" i="9"/>
  <c r="K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N59" i="9"/>
  <c r="G60" i="9"/>
  <c r="H60" i="9"/>
  <c r="I60" i="9"/>
  <c r="J60" i="9"/>
  <c r="K60" i="9"/>
  <c r="L60" i="9"/>
  <c r="N60" i="9"/>
  <c r="F55" i="9"/>
  <c r="F56" i="9"/>
  <c r="F57" i="9"/>
  <c r="F58" i="9"/>
  <c r="F59" i="9"/>
  <c r="F60" i="9"/>
  <c r="F54" i="9"/>
  <c r="H54" i="2"/>
  <c r="I54" i="2"/>
  <c r="G55" i="2"/>
  <c r="H55" i="2"/>
  <c r="J55" i="2"/>
  <c r="K55" i="2"/>
  <c r="H56" i="2"/>
  <c r="J56" i="2"/>
  <c r="H57" i="2"/>
  <c r="J57" i="2"/>
  <c r="H59" i="2"/>
  <c r="I59" i="2"/>
  <c r="K59" i="2"/>
  <c r="L59" i="2"/>
  <c r="H60" i="2"/>
  <c r="I60" i="2"/>
  <c r="L60" i="2"/>
  <c r="F54" i="2"/>
  <c r="F56" i="2"/>
  <c r="F58" i="2"/>
  <c r="F59" i="2"/>
  <c r="Q25" i="1" l="1"/>
  <c r="M60" i="1" l="1"/>
  <c r="W218" i="1"/>
  <c r="L218" i="1"/>
  <c r="M60" i="2" l="1"/>
  <c r="M60" i="5"/>
  <c r="M60" i="6"/>
  <c r="M60" i="7"/>
  <c r="M60" i="4"/>
  <c r="M60" i="8"/>
  <c r="M60" i="9"/>
  <c r="M60" i="3"/>
  <c r="AU48" i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7" i="1" l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5" i="9" l="1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E32" i="1"/>
  <c r="AK29" i="1"/>
  <c r="AJ29" i="1"/>
  <c r="AJ31" i="1" s="1"/>
  <c r="D180" i="2" l="1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9" i="1" l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9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8" i="1" l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O151" i="1" s="1"/>
  <c r="H132" i="1"/>
  <c r="I132" i="1" s="1"/>
  <c r="G138" i="1"/>
  <c r="O138" i="1" s="1"/>
  <c r="F147" i="1"/>
  <c r="N147" i="1" s="1"/>
  <c r="M115" i="1"/>
  <c r="N115" i="1" s="1"/>
  <c r="M119" i="1"/>
  <c r="N119" i="1" s="1"/>
  <c r="G147" i="1"/>
  <c r="O147" i="1" s="1"/>
  <c r="G148" i="1"/>
  <c r="O148" i="1" s="1"/>
  <c r="M113" i="1"/>
  <c r="Y113" i="1" s="1"/>
  <c r="M116" i="1"/>
  <c r="Y116" i="1" s="1"/>
  <c r="F151" i="1"/>
  <c r="N151" i="1" s="1"/>
  <c r="F139" i="1"/>
  <c r="N139" i="1" s="1"/>
  <c r="F153" i="1"/>
  <c r="N153" i="1" s="1"/>
  <c r="M112" i="1"/>
  <c r="N112" i="1" s="1"/>
  <c r="G153" i="1"/>
  <c r="O153" i="1" s="1"/>
  <c r="F148" i="1"/>
  <c r="N148" i="1" s="1"/>
  <c r="F149" i="1"/>
  <c r="N149" i="1" s="1"/>
  <c r="G135" i="1"/>
  <c r="O135" i="1" s="1"/>
  <c r="M120" i="1"/>
  <c r="N120" i="1" s="1"/>
  <c r="G149" i="1"/>
  <c r="O149" i="1" s="1"/>
  <c r="G146" i="1"/>
  <c r="O146" i="1" s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O136" i="1" s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N132" i="1" s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N136" i="1" s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N137" i="1" s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N150" i="1" s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N135" i="1" s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N138" i="1" s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N133" i="1" s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N134" i="1" s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H153" i="9"/>
  <c r="I153" i="9" s="1"/>
  <c r="C136" i="9"/>
  <c r="H146" i="9"/>
  <c r="I146" i="9" s="1"/>
  <c r="E111" i="1"/>
  <c r="G126" i="1"/>
  <c r="E110" i="1"/>
  <c r="M111" i="1"/>
  <c r="E114" i="5" l="1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O139" i="8" s="1"/>
  <c r="F149" i="5"/>
  <c r="N149" i="5" s="1"/>
  <c r="G147" i="8"/>
  <c r="O147" i="8" s="1"/>
  <c r="G147" i="5"/>
  <c r="O147" i="5" s="1"/>
  <c r="G138" i="8"/>
  <c r="O138" i="8" s="1"/>
  <c r="G149" i="5"/>
  <c r="O149" i="5" s="1"/>
  <c r="F139" i="8"/>
  <c r="N139" i="8" s="1"/>
  <c r="M121" i="8"/>
  <c r="N121" i="8" s="1"/>
  <c r="O121" i="8" s="1"/>
  <c r="F139" i="5"/>
  <c r="N139" i="5" s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J152" i="1"/>
  <c r="F149" i="2"/>
  <c r="N149" i="2" s="1"/>
  <c r="M113" i="7"/>
  <c r="N113" i="7" s="1"/>
  <c r="P113" i="7" s="1"/>
  <c r="K151" i="1"/>
  <c r="K148" i="1"/>
  <c r="K152" i="1"/>
  <c r="M114" i="8"/>
  <c r="N114" i="8" s="1"/>
  <c r="P114" i="8" s="1"/>
  <c r="G151" i="2"/>
  <c r="O151" i="2" s="1"/>
  <c r="G135" i="5"/>
  <c r="O135" i="5" s="1"/>
  <c r="F147" i="5"/>
  <c r="N147" i="5" s="1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N134" i="2" s="1"/>
  <c r="M117" i="5"/>
  <c r="N117" i="5" s="1"/>
  <c r="O117" i="5" s="1"/>
  <c r="M121" i="5"/>
  <c r="N121" i="5" s="1"/>
  <c r="P121" i="5" s="1"/>
  <c r="G150" i="8"/>
  <c r="O150" i="8" s="1"/>
  <c r="M112" i="8"/>
  <c r="N112" i="8" s="1"/>
  <c r="P112" i="8" s="1"/>
  <c r="G132" i="8"/>
  <c r="O132" i="8" s="1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N133" i="8" s="1"/>
  <c r="F150" i="5"/>
  <c r="N150" i="5" s="1"/>
  <c r="G149" i="8"/>
  <c r="O149" i="8" s="1"/>
  <c r="G148" i="2"/>
  <c r="O148" i="2" s="1"/>
  <c r="G134" i="8"/>
  <c r="O134" i="8" s="1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O135" i="8" s="1"/>
  <c r="F148" i="5"/>
  <c r="N148" i="5" s="1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N132" i="2" s="1"/>
  <c r="G134" i="9"/>
  <c r="O134" i="9" s="1"/>
  <c r="G150" i="9"/>
  <c r="O150" i="9" s="1"/>
  <c r="M153" i="1"/>
  <c r="F134" i="8"/>
  <c r="N134" i="8" s="1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F147" i="9"/>
  <c r="N147" i="9" s="1"/>
  <c r="G134" i="4"/>
  <c r="O134" i="4" s="1"/>
  <c r="N116" i="1"/>
  <c r="P116" i="1" s="1"/>
  <c r="G147" i="2"/>
  <c r="O147" i="2" s="1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N132" i="7" s="1"/>
  <c r="G146" i="8"/>
  <c r="O146" i="8" s="1"/>
  <c r="G134" i="2"/>
  <c r="O134" i="2" s="1"/>
  <c r="M114" i="7"/>
  <c r="N114" i="7" s="1"/>
  <c r="O114" i="7" s="1"/>
  <c r="G146" i="2"/>
  <c r="O146" i="2" s="1"/>
  <c r="M115" i="7"/>
  <c r="N115" i="7" s="1"/>
  <c r="P115" i="7" s="1"/>
  <c r="F151" i="2"/>
  <c r="N151" i="2" s="1"/>
  <c r="G133" i="9"/>
  <c r="O133" i="9" s="1"/>
  <c r="F149" i="9"/>
  <c r="N149" i="9" s="1"/>
  <c r="F139" i="9"/>
  <c r="N139" i="9" s="1"/>
  <c r="M118" i="2"/>
  <c r="N118" i="2" s="1"/>
  <c r="P118" i="2" s="1"/>
  <c r="M117" i="2"/>
  <c r="N117" i="2" s="1"/>
  <c r="O117" i="2" s="1"/>
  <c r="F146" i="9"/>
  <c r="N146" i="9" s="1"/>
  <c r="N113" i="1"/>
  <c r="O113" i="1" s="1"/>
  <c r="F148" i="2"/>
  <c r="N148" i="2" s="1"/>
  <c r="G149" i="7"/>
  <c r="O149" i="7" s="1"/>
  <c r="F150" i="2"/>
  <c r="N150" i="2" s="1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O152" i="5" s="1"/>
  <c r="F136" i="9"/>
  <c r="N136" i="9" s="1"/>
  <c r="M116" i="2"/>
  <c r="N116" i="2" s="1"/>
  <c r="O116" i="2" s="1"/>
  <c r="F137" i="7"/>
  <c r="N137" i="7" s="1"/>
  <c r="G133" i="2"/>
  <c r="O133" i="2" s="1"/>
  <c r="F147" i="7"/>
  <c r="N147" i="7" s="1"/>
  <c r="G153" i="2"/>
  <c r="O153" i="2" s="1"/>
  <c r="F132" i="8"/>
  <c r="N132" i="8" s="1"/>
  <c r="F146" i="5"/>
  <c r="N146" i="5" s="1"/>
  <c r="F153" i="5"/>
  <c r="N153" i="5" s="1"/>
  <c r="G148" i="6"/>
  <c r="O148" i="6" s="1"/>
  <c r="F151" i="6"/>
  <c r="N151" i="6" s="1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N138" i="6" s="1"/>
  <c r="F148" i="9"/>
  <c r="N148" i="9" s="1"/>
  <c r="H132" i="7"/>
  <c r="I132" i="7" s="1"/>
  <c r="E110" i="7"/>
  <c r="E111" i="7"/>
  <c r="G126" i="7"/>
  <c r="G127" i="7" s="1"/>
  <c r="G153" i="4"/>
  <c r="O153" i="4" s="1"/>
  <c r="M113" i="8"/>
  <c r="N113" i="8" s="1"/>
  <c r="F152" i="8"/>
  <c r="N152" i="8" s="1"/>
  <c r="H136" i="9"/>
  <c r="I136" i="9" s="1"/>
  <c r="G135" i="2"/>
  <c r="O135" i="2" s="1"/>
  <c r="G146" i="9"/>
  <c r="O146" i="9" s="1"/>
  <c r="F146" i="7"/>
  <c r="N146" i="7" s="1"/>
  <c r="F152" i="4"/>
  <c r="N152" i="4" s="1"/>
  <c r="M121" i="6"/>
  <c r="N121" i="6" s="1"/>
  <c r="M116" i="8"/>
  <c r="N116" i="8" s="1"/>
  <c r="F136" i="5"/>
  <c r="N136" i="5" s="1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N153" i="9" s="1"/>
  <c r="F152" i="7"/>
  <c r="N152" i="7" s="1"/>
  <c r="F148" i="4"/>
  <c r="N148" i="4" s="1"/>
  <c r="F137" i="6"/>
  <c r="N137" i="6" s="1"/>
  <c r="F152" i="9"/>
  <c r="N152" i="9" s="1"/>
  <c r="F135" i="5"/>
  <c r="N135" i="5" s="1"/>
  <c r="M117" i="7"/>
  <c r="N117" i="7" s="1"/>
  <c r="H136" i="4"/>
  <c r="I136" i="4" s="1"/>
  <c r="M120" i="6"/>
  <c r="N120" i="6" s="1"/>
  <c r="F146" i="4"/>
  <c r="N146" i="4" s="1"/>
  <c r="P115" i="1"/>
  <c r="O115" i="1"/>
  <c r="K137" i="1"/>
  <c r="J137" i="1"/>
  <c r="K136" i="1"/>
  <c r="J136" i="1"/>
  <c r="N111" i="1"/>
  <c r="Y111" i="1"/>
  <c r="M119" i="6"/>
  <c r="N119" i="6" s="1"/>
  <c r="F151" i="4"/>
  <c r="N151" i="4" s="1"/>
  <c r="F147" i="6"/>
  <c r="N147" i="6" s="1"/>
  <c r="F150" i="4"/>
  <c r="N150" i="4" s="1"/>
  <c r="G147" i="6"/>
  <c r="O147" i="6" s="1"/>
  <c r="F149" i="6"/>
  <c r="N149" i="6" s="1"/>
  <c r="F132" i="6"/>
  <c r="N132" i="6" s="1"/>
  <c r="E110" i="9"/>
  <c r="E111" i="9"/>
  <c r="G126" i="9"/>
  <c r="G127" i="9" s="1"/>
  <c r="K134" i="1"/>
  <c r="J134" i="1"/>
  <c r="M119" i="7"/>
  <c r="N119" i="7" s="1"/>
  <c r="M120" i="7"/>
  <c r="N120" i="7" s="1"/>
  <c r="M111" i="4"/>
  <c r="N111" i="4" s="1"/>
  <c r="F135" i="6"/>
  <c r="N135" i="6" s="1"/>
  <c r="G136" i="7"/>
  <c r="O136" i="7" s="1"/>
  <c r="G149" i="9"/>
  <c r="O149" i="9" s="1"/>
  <c r="G146" i="7"/>
  <c r="O146" i="7" s="1"/>
  <c r="M120" i="4"/>
  <c r="N120" i="4" s="1"/>
  <c r="E110" i="2"/>
  <c r="E111" i="2"/>
  <c r="G126" i="2"/>
  <c r="G127" i="2" s="1"/>
  <c r="G153" i="9"/>
  <c r="O153" i="9" s="1"/>
  <c r="F136" i="7"/>
  <c r="N136" i="7" s="1"/>
  <c r="F138" i="4"/>
  <c r="N138" i="4" s="1"/>
  <c r="F133" i="6"/>
  <c r="N133" i="6" s="1"/>
  <c r="E111" i="8"/>
  <c r="E110" i="8"/>
  <c r="G126" i="8"/>
  <c r="G127" i="8" s="1"/>
  <c r="F135" i="2"/>
  <c r="N135" i="2" s="1"/>
  <c r="E110" i="5"/>
  <c r="E111" i="5"/>
  <c r="G126" i="5"/>
  <c r="G127" i="5" s="1"/>
  <c r="H134" i="2"/>
  <c r="I134" i="2" s="1"/>
  <c r="F151" i="9"/>
  <c r="N151" i="9" s="1"/>
  <c r="G151" i="5"/>
  <c r="O151" i="5" s="1"/>
  <c r="F133" i="7"/>
  <c r="N133" i="7" s="1"/>
  <c r="G148" i="4"/>
  <c r="O148" i="4" s="1"/>
  <c r="G153" i="6"/>
  <c r="O153" i="6" s="1"/>
  <c r="F146" i="8"/>
  <c r="N146" i="8" s="1"/>
  <c r="G132" i="2"/>
  <c r="O132" i="2" s="1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O148" i="8" s="1"/>
  <c r="F152" i="2"/>
  <c r="N152" i="2" s="1"/>
  <c r="G153" i="5"/>
  <c r="O153" i="5" s="1"/>
  <c r="F134" i="7"/>
  <c r="N134" i="7" s="1"/>
  <c r="M117" i="4"/>
  <c r="N117" i="4" s="1"/>
  <c r="F148" i="6"/>
  <c r="N148" i="6" s="1"/>
  <c r="M115" i="8"/>
  <c r="N115" i="8" s="1"/>
  <c r="M112" i="2"/>
  <c r="N112" i="2" s="1"/>
  <c r="F134" i="9"/>
  <c r="N134" i="9" s="1"/>
  <c r="G150" i="5"/>
  <c r="O150" i="5" s="1"/>
  <c r="M113" i="5"/>
  <c r="N113" i="5" s="1"/>
  <c r="G136" i="4"/>
  <c r="O136" i="4" s="1"/>
  <c r="M115" i="6"/>
  <c r="N115" i="6" s="1"/>
  <c r="Q77" i="8"/>
  <c r="R77" i="8" s="1"/>
  <c r="R76" i="8"/>
  <c r="O112" i="1"/>
  <c r="P112" i="1"/>
  <c r="G139" i="6"/>
  <c r="O139" i="6" s="1"/>
  <c r="D181" i="3"/>
  <c r="B193" i="3" s="1"/>
  <c r="B178" i="3"/>
  <c r="F135" i="4"/>
  <c r="N135" i="4" s="1"/>
  <c r="G137" i="4"/>
  <c r="O137" i="4" s="1"/>
  <c r="M115" i="4"/>
  <c r="N115" i="4" s="1"/>
  <c r="M118" i="4"/>
  <c r="N118" i="4" s="1"/>
  <c r="G133" i="4"/>
  <c r="O133" i="4" s="1"/>
  <c r="K138" i="1"/>
  <c r="J138" i="1"/>
  <c r="F150" i="9"/>
  <c r="N150" i="9" s="1"/>
  <c r="M112" i="4"/>
  <c r="N112" i="4" s="1"/>
  <c r="R76" i="6"/>
  <c r="Q77" i="6"/>
  <c r="R77" i="6" s="1"/>
  <c r="G137" i="9"/>
  <c r="O137" i="9" s="1"/>
  <c r="G148" i="7"/>
  <c r="O148" i="7" s="1"/>
  <c r="M116" i="6"/>
  <c r="N116" i="6" s="1"/>
  <c r="Q77" i="9"/>
  <c r="R77" i="9" s="1"/>
  <c r="R76" i="9"/>
  <c r="M113" i="2"/>
  <c r="N113" i="2" s="1"/>
  <c r="M111" i="2"/>
  <c r="N111" i="2" s="1"/>
  <c r="G132" i="9"/>
  <c r="O132" i="9" s="1"/>
  <c r="F152" i="5"/>
  <c r="N152" i="5" s="1"/>
  <c r="H136" i="7"/>
  <c r="I136" i="7" s="1"/>
  <c r="F149" i="4"/>
  <c r="N149" i="4" s="1"/>
  <c r="G133" i="6"/>
  <c r="O133" i="6" s="1"/>
  <c r="H136" i="8"/>
  <c r="I136" i="8" s="1"/>
  <c r="F133" i="2"/>
  <c r="N133" i="2" s="1"/>
  <c r="C132" i="3"/>
  <c r="B125" i="3"/>
  <c r="E118" i="3" s="1"/>
  <c r="C153" i="3"/>
  <c r="H153" i="3" s="1"/>
  <c r="I153" i="3" s="1"/>
  <c r="F149" i="8"/>
  <c r="N149" i="8" s="1"/>
  <c r="G137" i="2"/>
  <c r="O137" i="2" s="1"/>
  <c r="H135" i="9"/>
  <c r="I135" i="9" s="1"/>
  <c r="M110" i="5"/>
  <c r="G150" i="7"/>
  <c r="O150" i="7" s="1"/>
  <c r="H132" i="4"/>
  <c r="I132" i="4" s="1"/>
  <c r="G146" i="4"/>
  <c r="O146" i="4" s="1"/>
  <c r="H133" i="6"/>
  <c r="I133" i="6" s="1"/>
  <c r="Q77" i="2"/>
  <c r="R77" i="2" s="1"/>
  <c r="R76" i="2"/>
  <c r="K132" i="1"/>
  <c r="J132" i="1"/>
  <c r="M113" i="9"/>
  <c r="N113" i="9" s="1"/>
  <c r="F151" i="5"/>
  <c r="N151" i="5" s="1"/>
  <c r="F137" i="4"/>
  <c r="N137" i="4" s="1"/>
  <c r="M113" i="6"/>
  <c r="N113" i="6" s="1"/>
  <c r="G149" i="6"/>
  <c r="O149" i="6" s="1"/>
  <c r="H134" i="8"/>
  <c r="I134" i="8" s="1"/>
  <c r="G149" i="4"/>
  <c r="O149" i="4" s="1"/>
  <c r="F132" i="4"/>
  <c r="N132" i="4" s="1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N146" i="6" s="1"/>
  <c r="B181" i="6"/>
  <c r="B191" i="6" s="1"/>
  <c r="B202" i="6" s="1"/>
  <c r="M111" i="9"/>
  <c r="N111" i="9" s="1"/>
  <c r="H135" i="4"/>
  <c r="I135" i="4" s="1"/>
  <c r="F138" i="9"/>
  <c r="N138" i="9" s="1"/>
  <c r="F149" i="7"/>
  <c r="N149" i="7" s="1"/>
  <c r="M111" i="6"/>
  <c r="N111" i="6" s="1"/>
  <c r="G152" i="7"/>
  <c r="O152" i="7" s="1"/>
  <c r="J150" i="1"/>
  <c r="K150" i="1"/>
  <c r="F133" i="9"/>
  <c r="N133" i="9" s="1"/>
  <c r="G137" i="7"/>
  <c r="O137" i="7" s="1"/>
  <c r="G132" i="4"/>
  <c r="O132" i="4" s="1"/>
  <c r="F134" i="6"/>
  <c r="N134" i="6" s="1"/>
  <c r="G136" i="2"/>
  <c r="O136" i="2" s="1"/>
  <c r="C133" i="3"/>
  <c r="C149" i="3"/>
  <c r="H149" i="3" s="1"/>
  <c r="I149" i="3" s="1"/>
  <c r="C151" i="3"/>
  <c r="H151" i="3" s="1"/>
  <c r="I151" i="3" s="1"/>
  <c r="M120" i="8"/>
  <c r="N120" i="8" s="1"/>
  <c r="F138" i="2"/>
  <c r="N138" i="2" s="1"/>
  <c r="M116" i="9"/>
  <c r="N116" i="9" s="1"/>
  <c r="F151" i="7"/>
  <c r="N151" i="7" s="1"/>
  <c r="G135" i="4"/>
  <c r="O135" i="4" s="1"/>
  <c r="F147" i="4"/>
  <c r="N147" i="4" s="1"/>
  <c r="G136" i="8"/>
  <c r="O136" i="8" s="1"/>
  <c r="G136" i="5"/>
  <c r="O136" i="5" s="1"/>
  <c r="F137" i="5"/>
  <c r="N137" i="5" s="1"/>
  <c r="G147" i="7"/>
  <c r="O147" i="7" s="1"/>
  <c r="H132" i="8"/>
  <c r="I132" i="8" s="1"/>
  <c r="F150" i="6"/>
  <c r="N150" i="6" s="1"/>
  <c r="O119" i="1"/>
  <c r="P119" i="1"/>
  <c r="J133" i="1"/>
  <c r="K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O134" i="6" s="1"/>
  <c r="R76" i="4"/>
  <c r="Q77" i="4"/>
  <c r="R77" i="4" s="1"/>
  <c r="G138" i="6"/>
  <c r="O138" i="6" s="1"/>
  <c r="M110" i="7"/>
  <c r="G135" i="6"/>
  <c r="O135" i="6" s="1"/>
  <c r="M116" i="4"/>
  <c r="N116" i="4" s="1"/>
  <c r="G136" i="9"/>
  <c r="O136" i="9" s="1"/>
  <c r="M114" i="4"/>
  <c r="N114" i="4" s="1"/>
  <c r="H132" i="6"/>
  <c r="I132" i="6" s="1"/>
  <c r="M110" i="9"/>
  <c r="F138" i="8"/>
  <c r="N138" i="8" s="1"/>
  <c r="F153" i="7"/>
  <c r="N153" i="7" s="1"/>
  <c r="H136" i="2"/>
  <c r="I136" i="2" s="1"/>
  <c r="Y110" i="1"/>
  <c r="M122" i="1"/>
  <c r="N110" i="1"/>
  <c r="M121" i="9"/>
  <c r="N121" i="9" s="1"/>
  <c r="G132" i="5"/>
  <c r="O132" i="5" s="1"/>
  <c r="F138" i="7"/>
  <c r="N138" i="7" s="1"/>
  <c r="F133" i="4"/>
  <c r="N133" i="4" s="1"/>
  <c r="M117" i="6"/>
  <c r="N117" i="6" s="1"/>
  <c r="M119" i="8"/>
  <c r="N119" i="8" s="1"/>
  <c r="F137" i="2"/>
  <c r="N137" i="2" s="1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O152" i="2" s="1"/>
  <c r="G138" i="2"/>
  <c r="O138" i="2" s="1"/>
  <c r="M120" i="9"/>
  <c r="N120" i="9" s="1"/>
  <c r="G138" i="7"/>
  <c r="O138" i="7" s="1"/>
  <c r="F136" i="4"/>
  <c r="N136" i="4" s="1"/>
  <c r="F152" i="6"/>
  <c r="N152" i="6" s="1"/>
  <c r="F137" i="8"/>
  <c r="N137" i="8" s="1"/>
  <c r="M116" i="5"/>
  <c r="N116" i="5" s="1"/>
  <c r="F148" i="7"/>
  <c r="N148" i="7" s="1"/>
  <c r="M112" i="6"/>
  <c r="N112" i="6" s="1"/>
  <c r="G152" i="8"/>
  <c r="O152" i="8" s="1"/>
  <c r="H135" i="8"/>
  <c r="I135" i="8" s="1"/>
  <c r="E110" i="4"/>
  <c r="G126" i="4"/>
  <c r="G127" i="4" s="1"/>
  <c r="E111" i="4"/>
  <c r="M110" i="4"/>
  <c r="G132" i="6"/>
  <c r="O132" i="6" s="1"/>
  <c r="F153" i="6"/>
  <c r="N153" i="6" s="1"/>
  <c r="P120" i="1"/>
  <c r="O120" i="1"/>
  <c r="M113" i="4"/>
  <c r="N113" i="4" s="1"/>
  <c r="F134" i="4"/>
  <c r="N134" i="4" s="1"/>
  <c r="G138" i="4"/>
  <c r="O138" i="4" s="1"/>
  <c r="E122" i="1"/>
  <c r="G135" i="9"/>
  <c r="O135" i="9" s="1"/>
  <c r="F139" i="4"/>
  <c r="N139" i="4" s="1"/>
  <c r="F139" i="6"/>
  <c r="N139" i="6" s="1"/>
  <c r="H135" i="7"/>
  <c r="I135" i="7" s="1"/>
  <c r="G139" i="4"/>
  <c r="O139" i="4" s="1"/>
  <c r="F136" i="6"/>
  <c r="N136" i="6" s="1"/>
  <c r="H133" i="8"/>
  <c r="I133" i="8" s="1"/>
  <c r="G137" i="6"/>
  <c r="O137" i="6" s="1"/>
  <c r="G147" i="9"/>
  <c r="O147" i="9" s="1"/>
  <c r="F137" i="9"/>
  <c r="N137" i="9" s="1"/>
  <c r="Q77" i="7"/>
  <c r="R77" i="7" s="1"/>
  <c r="R76" i="7"/>
  <c r="J135" i="1"/>
  <c r="K135" i="1"/>
  <c r="F134" i="5"/>
  <c r="N134" i="5" s="1"/>
  <c r="F153" i="4"/>
  <c r="N153" i="4" s="1"/>
  <c r="G151" i="8"/>
  <c r="O151" i="8" s="1"/>
  <c r="H132" i="9"/>
  <c r="I132" i="9" s="1"/>
  <c r="H135" i="2"/>
  <c r="I135" i="2" s="1"/>
  <c r="H133" i="9"/>
  <c r="I133" i="9" s="1"/>
  <c r="M134" i="1"/>
  <c r="F133" i="5"/>
  <c r="N133" i="5" s="1"/>
  <c r="F138" i="5"/>
  <c r="N138" i="5" s="1"/>
  <c r="H133" i="7"/>
  <c r="I133" i="7" s="1"/>
  <c r="G151" i="4"/>
  <c r="O151" i="4" s="1"/>
  <c r="M118" i="6"/>
  <c r="N118" i="6" s="1"/>
  <c r="M118" i="8"/>
  <c r="N118" i="8" s="1"/>
  <c r="M117" i="9"/>
  <c r="N117" i="9" s="1"/>
  <c r="C148" i="3"/>
  <c r="H148" i="3" s="1"/>
  <c r="I148" i="3" s="1"/>
  <c r="F153" i="2"/>
  <c r="N153" i="2" s="1"/>
  <c r="F139" i="2"/>
  <c r="N139" i="2" s="1"/>
  <c r="G152" i="9"/>
  <c r="O152" i="9" s="1"/>
  <c r="G151" i="7"/>
  <c r="O151" i="7" s="1"/>
  <c r="F139" i="7"/>
  <c r="N139" i="7" s="1"/>
  <c r="G147" i="4"/>
  <c r="O147" i="4" s="1"/>
  <c r="G136" i="6"/>
  <c r="O136" i="6" s="1"/>
  <c r="M120" i="2"/>
  <c r="N120" i="2" s="1"/>
  <c r="H132" i="2"/>
  <c r="I132" i="2" s="1"/>
  <c r="G151" i="9"/>
  <c r="O151" i="9" s="1"/>
  <c r="G134" i="5"/>
  <c r="O134" i="5" s="1"/>
  <c r="M112" i="7"/>
  <c r="N112" i="7" s="1"/>
  <c r="F153" i="8"/>
  <c r="N153" i="8" s="1"/>
  <c r="G139" i="7"/>
  <c r="O139" i="7" s="1"/>
  <c r="G67" i="1" l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M148" i="9"/>
  <c r="U152" i="1"/>
  <c r="AD152" i="1"/>
  <c r="K132" i="9"/>
  <c r="P118" i="5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K147" i="8"/>
  <c r="P118" i="7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J150" i="7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K132" i="5"/>
  <c r="O119" i="9"/>
  <c r="O115" i="5"/>
  <c r="M133" i="2"/>
  <c r="L146" i="6"/>
  <c r="L146" i="8"/>
  <c r="K139" i="5"/>
  <c r="L139" i="5"/>
  <c r="O112" i="8"/>
  <c r="M150" i="9"/>
  <c r="K148" i="8"/>
  <c r="L139" i="2"/>
  <c r="P113" i="1"/>
  <c r="L135" i="8"/>
  <c r="K147" i="9"/>
  <c r="M133" i="7"/>
  <c r="M135" i="8"/>
  <c r="K147" i="7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3" i="1"/>
  <c r="L132" i="7"/>
  <c r="M132" i="8"/>
  <c r="M134" i="4"/>
  <c r="P153" i="1"/>
  <c r="AD153" i="1"/>
  <c r="O121" i="7"/>
  <c r="R153" i="1"/>
  <c r="M132" i="7"/>
  <c r="M153" i="2"/>
  <c r="K149" i="2"/>
  <c r="U153" i="1"/>
  <c r="L135" i="5"/>
  <c r="O120" i="5"/>
  <c r="AE153" i="1"/>
  <c r="M135" i="5"/>
  <c r="K148" i="5"/>
  <c r="L153" i="2"/>
  <c r="P121" i="2"/>
  <c r="P117" i="8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O136" i="3" s="1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L149" i="7"/>
  <c r="L134" i="9"/>
  <c r="P137" i="1"/>
  <c r="M138" i="5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O151" i="3" s="1"/>
  <c r="G153" i="3"/>
  <c r="O153" i="3" s="1"/>
  <c r="K150" i="2"/>
  <c r="M153" i="7"/>
  <c r="M117" i="3"/>
  <c r="N117" i="3" s="1"/>
  <c r="O117" i="3" s="1"/>
  <c r="L134" i="8"/>
  <c r="O115" i="2"/>
  <c r="G133" i="3"/>
  <c r="O133" i="3" s="1"/>
  <c r="J133" i="8"/>
  <c r="G149" i="3"/>
  <c r="O149" i="3" s="1"/>
  <c r="F152" i="3"/>
  <c r="N152" i="3" s="1"/>
  <c r="G150" i="3"/>
  <c r="O150" i="3" s="1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N147" i="3" s="1"/>
  <c r="L146" i="5"/>
  <c r="H133" i="3"/>
  <c r="I133" i="3" s="1"/>
  <c r="G134" i="3"/>
  <c r="O134" i="3" s="1"/>
  <c r="F150" i="3"/>
  <c r="N150" i="3" s="1"/>
  <c r="L134" i="2"/>
  <c r="M152" i="6"/>
  <c r="AD149" i="1"/>
  <c r="F151" i="3"/>
  <c r="N151" i="3" s="1"/>
  <c r="J150" i="2"/>
  <c r="M139" i="9"/>
  <c r="G152" i="3"/>
  <c r="O152" i="3" s="1"/>
  <c r="M114" i="3"/>
  <c r="N114" i="3" s="1"/>
  <c r="P114" i="3" s="1"/>
  <c r="J147" i="7"/>
  <c r="Q138" i="1"/>
  <c r="G135" i="3"/>
  <c r="O135" i="3" s="1"/>
  <c r="R136" i="1"/>
  <c r="K135" i="7"/>
  <c r="L137" i="5"/>
  <c r="G147" i="3"/>
  <c r="O147" i="3" s="1"/>
  <c r="M153" i="8"/>
  <c r="F135" i="3"/>
  <c r="N135" i="3" s="1"/>
  <c r="M134" i="2"/>
  <c r="M152" i="5"/>
  <c r="AF149" i="1"/>
  <c r="G148" i="3"/>
  <c r="O148" i="3" s="1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M152" i="8"/>
  <c r="L152" i="8"/>
  <c r="L135" i="6"/>
  <c r="M135" i="6"/>
  <c r="O116" i="9"/>
  <c r="P116" i="9"/>
  <c r="AF138" i="1"/>
  <c r="V138" i="1"/>
  <c r="U138" i="1"/>
  <c r="AD138" i="1"/>
  <c r="W138" i="1"/>
  <c r="AE138" i="1"/>
  <c r="K152" i="2"/>
  <c r="J152" i="2"/>
  <c r="M147" i="6"/>
  <c r="L147" i="6"/>
  <c r="P110" i="6"/>
  <c r="O110" i="6"/>
  <c r="N122" i="6"/>
  <c r="J136" i="4"/>
  <c r="K136" i="4"/>
  <c r="K137" i="4"/>
  <c r="J137" i="4"/>
  <c r="J139" i="2"/>
  <c r="K139" i="2"/>
  <c r="P117" i="9"/>
  <c r="O117" i="9"/>
  <c r="L139" i="4"/>
  <c r="M139" i="4"/>
  <c r="Q136" i="1"/>
  <c r="K137" i="2"/>
  <c r="J137" i="2"/>
  <c r="M136" i="9"/>
  <c r="L136" i="9"/>
  <c r="E122" i="6"/>
  <c r="J151" i="7"/>
  <c r="K151" i="7"/>
  <c r="P110" i="8"/>
  <c r="N122" i="8"/>
  <c r="O110" i="8"/>
  <c r="H136" i="3"/>
  <c r="I136" i="3" s="1"/>
  <c r="M149" i="6"/>
  <c r="L149" i="6"/>
  <c r="M137" i="2"/>
  <c r="L137" i="2"/>
  <c r="K152" i="5"/>
  <c r="J152" i="5"/>
  <c r="L137" i="9"/>
  <c r="M137" i="9"/>
  <c r="O113" i="5"/>
  <c r="P113" i="5"/>
  <c r="M153" i="5"/>
  <c r="L153" i="5"/>
  <c r="F139" i="3"/>
  <c r="N139" i="3" s="1"/>
  <c r="M151" i="5"/>
  <c r="L151" i="5"/>
  <c r="E122" i="8"/>
  <c r="M153" i="9"/>
  <c r="L153" i="9"/>
  <c r="M149" i="9"/>
  <c r="L149" i="9"/>
  <c r="P111" i="1"/>
  <c r="O111" i="1"/>
  <c r="J135" i="5"/>
  <c r="K135" i="5"/>
  <c r="G137" i="3"/>
  <c r="O137" i="3" s="1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M137" i="4"/>
  <c r="L137" i="4"/>
  <c r="J149" i="6"/>
  <c r="K149" i="6"/>
  <c r="K137" i="6"/>
  <c r="J137" i="6"/>
  <c r="J152" i="4"/>
  <c r="K152" i="4"/>
  <c r="M151" i="9"/>
  <c r="L151" i="9"/>
  <c r="M136" i="6"/>
  <c r="L136" i="6"/>
  <c r="M151" i="4"/>
  <c r="L151" i="4"/>
  <c r="M151" i="8"/>
  <c r="L151" i="8"/>
  <c r="P138" i="1"/>
  <c r="K139" i="4"/>
  <c r="J139" i="4"/>
  <c r="M132" i="6"/>
  <c r="L132" i="6"/>
  <c r="J148" i="7"/>
  <c r="K148" i="7"/>
  <c r="M138" i="7"/>
  <c r="L138" i="7"/>
  <c r="J133" i="4"/>
  <c r="K133" i="4"/>
  <c r="J153" i="7"/>
  <c r="K153" i="7"/>
  <c r="N110" i="9"/>
  <c r="M122" i="9"/>
  <c r="L134" i="6"/>
  <c r="M134" i="6"/>
  <c r="J137" i="5"/>
  <c r="K137" i="5"/>
  <c r="O120" i="8"/>
  <c r="P120" i="8"/>
  <c r="J149" i="7"/>
  <c r="K149" i="7"/>
  <c r="K132" i="4"/>
  <c r="J132" i="4"/>
  <c r="K151" i="5"/>
  <c r="J151" i="5"/>
  <c r="M146" i="4"/>
  <c r="L146" i="4"/>
  <c r="F153" i="3"/>
  <c r="N153" i="3" s="1"/>
  <c r="K133" i="2"/>
  <c r="J133" i="2"/>
  <c r="P113" i="2"/>
  <c r="O113" i="2"/>
  <c r="M122" i="2"/>
  <c r="J135" i="4"/>
  <c r="K135" i="4"/>
  <c r="O115" i="6"/>
  <c r="P115" i="6"/>
  <c r="P112" i="2"/>
  <c r="O112" i="2"/>
  <c r="L132" i="2"/>
  <c r="M132" i="2"/>
  <c r="K138" i="4"/>
  <c r="J138" i="4"/>
  <c r="E122" i="2"/>
  <c r="K147" i="6"/>
  <c r="J147" i="6"/>
  <c r="K148" i="4"/>
  <c r="J148" i="4"/>
  <c r="F134" i="3"/>
  <c r="N134" i="3" s="1"/>
  <c r="J146" i="7"/>
  <c r="K146" i="7"/>
  <c r="J138" i="6"/>
  <c r="K138" i="6"/>
  <c r="R80" i="1"/>
  <c r="R83" i="1" s="1"/>
  <c r="Q80" i="1"/>
  <c r="Q83" i="1" s="1"/>
  <c r="O118" i="8"/>
  <c r="P118" i="8"/>
  <c r="J149" i="8"/>
  <c r="K149" i="8"/>
  <c r="M150" i="5"/>
  <c r="L150" i="5"/>
  <c r="P120" i="2"/>
  <c r="O120" i="2"/>
  <c r="R138" i="1"/>
  <c r="J138" i="2"/>
  <c r="K138" i="2"/>
  <c r="K153" i="4"/>
  <c r="J153" i="4"/>
  <c r="M135" i="9"/>
  <c r="L135" i="9"/>
  <c r="K153" i="6"/>
  <c r="J153" i="6"/>
  <c r="P116" i="5"/>
  <c r="O116" i="5"/>
  <c r="P120" i="9"/>
  <c r="O120" i="9"/>
  <c r="K138" i="7"/>
  <c r="J138" i="7"/>
  <c r="K138" i="8"/>
  <c r="J138" i="8"/>
  <c r="P116" i="4"/>
  <c r="O116" i="4"/>
  <c r="L136" i="5"/>
  <c r="M136" i="5"/>
  <c r="M136" i="2"/>
  <c r="L136" i="2"/>
  <c r="J135" i="9"/>
  <c r="P113" i="9"/>
  <c r="O113" i="9"/>
  <c r="P116" i="6"/>
  <c r="O116" i="6"/>
  <c r="O110" i="2"/>
  <c r="P110" i="2"/>
  <c r="N122" i="2"/>
  <c r="L136" i="4"/>
  <c r="M136" i="4"/>
  <c r="P115" i="8"/>
  <c r="O115" i="8"/>
  <c r="F146" i="3"/>
  <c r="N146" i="3" s="1"/>
  <c r="K146" i="8"/>
  <c r="J146" i="8"/>
  <c r="J136" i="7"/>
  <c r="K136" i="7"/>
  <c r="P120" i="4"/>
  <c r="O120" i="4"/>
  <c r="AE134" i="1"/>
  <c r="AF134" i="1"/>
  <c r="U134" i="1"/>
  <c r="AD134" i="1"/>
  <c r="V134" i="1"/>
  <c r="V137" i="1"/>
  <c r="U137" i="1"/>
  <c r="AD137" i="1"/>
  <c r="AE137" i="1"/>
  <c r="AF137" i="1"/>
  <c r="W137" i="1"/>
  <c r="J146" i="4"/>
  <c r="K146" i="4"/>
  <c r="M120" i="3"/>
  <c r="N120" i="3" s="1"/>
  <c r="M146" i="9"/>
  <c r="L146" i="9"/>
  <c r="E122" i="7"/>
  <c r="O121" i="4"/>
  <c r="P121" i="4"/>
  <c r="L134" i="4"/>
  <c r="P113" i="6"/>
  <c r="O113" i="6"/>
  <c r="M137" i="6"/>
  <c r="L137" i="6"/>
  <c r="P112" i="6"/>
  <c r="O112" i="6"/>
  <c r="J133" i="9"/>
  <c r="K133" i="9"/>
  <c r="M148" i="8"/>
  <c r="L148" i="8"/>
  <c r="J133" i="6"/>
  <c r="K133" i="6"/>
  <c r="J150" i="4"/>
  <c r="K150" i="4"/>
  <c r="K137" i="8"/>
  <c r="J137" i="8"/>
  <c r="L138" i="2"/>
  <c r="M138" i="2"/>
  <c r="M132" i="5"/>
  <c r="L132" i="5"/>
  <c r="O114" i="4"/>
  <c r="P114" i="4"/>
  <c r="M136" i="8"/>
  <c r="L136" i="8"/>
  <c r="J134" i="6"/>
  <c r="K134" i="6"/>
  <c r="AF150" i="1"/>
  <c r="V150" i="1"/>
  <c r="U150" i="1"/>
  <c r="AD150" i="1"/>
  <c r="AE150" i="1"/>
  <c r="K135" i="9"/>
  <c r="M149" i="4"/>
  <c r="L149" i="4"/>
  <c r="M150" i="7"/>
  <c r="L150" i="7"/>
  <c r="M133" i="6"/>
  <c r="L133" i="6"/>
  <c r="L148" i="7"/>
  <c r="M148" i="7"/>
  <c r="P118" i="4"/>
  <c r="O118" i="4"/>
  <c r="J148" i="6"/>
  <c r="K148" i="6"/>
  <c r="L153" i="6"/>
  <c r="M153" i="6"/>
  <c r="E122" i="5"/>
  <c r="M146" i="7"/>
  <c r="L146" i="7"/>
  <c r="K135" i="6"/>
  <c r="J135" i="6"/>
  <c r="P120" i="6"/>
  <c r="O120" i="6"/>
  <c r="M135" i="2"/>
  <c r="L135" i="2"/>
  <c r="R137" i="1"/>
  <c r="U133" i="1"/>
  <c r="AD133" i="1"/>
  <c r="AF133" i="1"/>
  <c r="AE133" i="1"/>
  <c r="W133" i="1"/>
  <c r="V133" i="1"/>
  <c r="M133" i="4"/>
  <c r="L133" i="4"/>
  <c r="K151" i="9"/>
  <c r="J151" i="9"/>
  <c r="AF136" i="1"/>
  <c r="W136" i="1"/>
  <c r="AE136" i="1"/>
  <c r="AD136" i="1"/>
  <c r="V136" i="1"/>
  <c r="U136" i="1"/>
  <c r="K152" i="9"/>
  <c r="J152" i="9"/>
  <c r="M153" i="4"/>
  <c r="L153" i="4"/>
  <c r="K139" i="6"/>
  <c r="J139" i="6"/>
  <c r="P117" i="6"/>
  <c r="O117" i="6"/>
  <c r="M138" i="6"/>
  <c r="L138" i="6"/>
  <c r="M147" i="7"/>
  <c r="L147" i="7"/>
  <c r="P111" i="2"/>
  <c r="O111" i="2"/>
  <c r="O119" i="7"/>
  <c r="P119" i="7"/>
  <c r="M147" i="4"/>
  <c r="L147" i="4"/>
  <c r="J138" i="5"/>
  <c r="K138" i="5"/>
  <c r="J137" i="9"/>
  <c r="K137" i="9"/>
  <c r="M151" i="7"/>
  <c r="L151" i="7"/>
  <c r="K133" i="5"/>
  <c r="J133" i="5"/>
  <c r="P121" i="9"/>
  <c r="O121" i="9"/>
  <c r="K150" i="6"/>
  <c r="J150" i="6"/>
  <c r="K147" i="4"/>
  <c r="J147" i="4"/>
  <c r="M132" i="4"/>
  <c r="L132" i="4"/>
  <c r="M152" i="7"/>
  <c r="L152" i="7"/>
  <c r="J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K149" i="4"/>
  <c r="J149" i="4"/>
  <c r="O112" i="4"/>
  <c r="P112" i="4"/>
  <c r="O115" i="4"/>
  <c r="P115" i="4"/>
  <c r="M112" i="3"/>
  <c r="N112" i="3" s="1"/>
  <c r="M139" i="6"/>
  <c r="L139" i="6"/>
  <c r="O117" i="4"/>
  <c r="P117" i="4"/>
  <c r="M148" i="4"/>
  <c r="L148" i="4"/>
  <c r="K135" i="2"/>
  <c r="J135" i="2"/>
  <c r="P111" i="4"/>
  <c r="O111" i="4"/>
  <c r="P119" i="6"/>
  <c r="O119" i="6"/>
  <c r="K152" i="7"/>
  <c r="J152" i="7"/>
  <c r="M116" i="3"/>
  <c r="N116" i="3" s="1"/>
  <c r="Q137" i="1"/>
  <c r="K153" i="2"/>
  <c r="J153" i="2"/>
  <c r="M132" i="9"/>
  <c r="L132" i="9"/>
  <c r="L136" i="7"/>
  <c r="M136" i="7"/>
  <c r="K151" i="6"/>
  <c r="J151" i="6"/>
  <c r="L134" i="5"/>
  <c r="M134" i="5"/>
  <c r="R76" i="3"/>
  <c r="Q77" i="3"/>
  <c r="R77" i="3" s="1"/>
  <c r="O111" i="6"/>
  <c r="P111" i="6"/>
  <c r="J134" i="9"/>
  <c r="K134" i="9"/>
  <c r="K151" i="4"/>
  <c r="J151" i="4"/>
  <c r="J135" i="7"/>
  <c r="R79" i="1"/>
  <c r="R82" i="1" s="1"/>
  <c r="Q79" i="1"/>
  <c r="Q82" i="1" s="1"/>
  <c r="M139" i="7"/>
  <c r="L139" i="7"/>
  <c r="J153" i="8"/>
  <c r="K153" i="8"/>
  <c r="K139" i="7"/>
  <c r="J139" i="7"/>
  <c r="K134" i="5"/>
  <c r="J134" i="5"/>
  <c r="M147" i="9"/>
  <c r="L147" i="9"/>
  <c r="M138" i="4"/>
  <c r="L138" i="4"/>
  <c r="K134" i="4"/>
  <c r="J134" i="4"/>
  <c r="K152" i="6"/>
  <c r="J152" i="6"/>
  <c r="M152" i="2"/>
  <c r="L152" i="2"/>
  <c r="P133" i="1"/>
  <c r="L152" i="9"/>
  <c r="M152" i="9"/>
  <c r="AE135" i="1"/>
  <c r="AD135" i="1"/>
  <c r="AF135" i="1"/>
  <c r="V135" i="1"/>
  <c r="U135" i="1"/>
  <c r="J136" i="6"/>
  <c r="K136" i="6"/>
  <c r="O113" i="4"/>
  <c r="P113" i="4"/>
  <c r="N110" i="4"/>
  <c r="M122" i="4"/>
  <c r="O110" i="1"/>
  <c r="P110" i="1"/>
  <c r="N122" i="1"/>
  <c r="N110" i="7"/>
  <c r="M122" i="7"/>
  <c r="G146" i="3"/>
  <c r="O146" i="3" s="1"/>
  <c r="A201" i="2"/>
  <c r="A205" i="2" s="1" a="1"/>
  <c r="M135" i="4"/>
  <c r="L135" i="4"/>
  <c r="F149" i="3"/>
  <c r="N149" i="3" s="1"/>
  <c r="L137" i="7"/>
  <c r="M137" i="7"/>
  <c r="M122" i="8"/>
  <c r="K146" i="6"/>
  <c r="J146" i="6"/>
  <c r="F132" i="3"/>
  <c r="N132" i="3" s="1"/>
  <c r="J150" i="9"/>
  <c r="K150" i="9"/>
  <c r="K134" i="7"/>
  <c r="J134" i="7"/>
  <c r="G138" i="3"/>
  <c r="O138" i="3" s="1"/>
  <c r="K133" i="7"/>
  <c r="J133" i="7"/>
  <c r="P120" i="7"/>
  <c r="O120" i="7"/>
  <c r="J132" i="6"/>
  <c r="K132" i="6"/>
  <c r="M118" i="3"/>
  <c r="N118" i="3" s="1"/>
  <c r="O117" i="7"/>
  <c r="P117" i="7"/>
  <c r="J153" i="9"/>
  <c r="K153" i="9"/>
  <c r="K136" i="5"/>
  <c r="J136" i="5"/>
  <c r="J152" i="8"/>
  <c r="K152" i="8"/>
  <c r="J148" i="9"/>
  <c r="K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P132" i="8"/>
  <c r="Q148" i="2"/>
  <c r="K136" i="3"/>
  <c r="P134" i="8"/>
  <c r="P121" i="3"/>
  <c r="J136" i="3"/>
  <c r="M147" i="3"/>
  <c r="K147" i="3"/>
  <c r="M133" i="3"/>
  <c r="M136" i="3"/>
  <c r="Y149" i="1"/>
  <c r="AB149" i="1" s="1"/>
  <c r="P135" i="5"/>
  <c r="P132" i="7"/>
  <c r="M135" i="3"/>
  <c r="K152" i="3"/>
  <c r="K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K137" i="3"/>
  <c r="X151" i="1"/>
  <c r="AA151" i="1" s="1"/>
  <c r="AH147" i="1"/>
  <c r="Q149" i="2"/>
  <c r="Q133" i="8"/>
  <c r="R149" i="2"/>
  <c r="R148" i="5"/>
  <c r="Q148" i="5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K134" i="3"/>
  <c r="J134" i="3"/>
  <c r="P136" i="9"/>
  <c r="Q136" i="9"/>
  <c r="R136" i="9"/>
  <c r="Q150" i="9"/>
  <c r="K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J153" i="3"/>
  <c r="P118" i="3"/>
  <c r="O118" i="3"/>
  <c r="J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L137" i="3"/>
  <c r="M137" i="3"/>
  <c r="Q149" i="9"/>
  <c r="P149" i="9"/>
  <c r="R149" i="9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P142" i="8"/>
  <c r="P143" i="2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B67" i="9" s="1"/>
  <c r="E176" i="1" l="1"/>
  <c r="E177" i="1" s="1"/>
  <c r="E178" i="1" s="1"/>
  <c r="AB113" i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H119" i="9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C182" i="1"/>
  <c r="A195" i="7" a="1"/>
  <c r="A201" i="7"/>
  <c r="A205" i="7" s="1" a="1"/>
  <c r="B182" i="1"/>
  <c r="F186" i="4"/>
  <c r="A202" i="1" l="1"/>
  <c r="C183" i="1"/>
  <c r="D192" i="1" s="1"/>
  <c r="Z192" i="1" s="1"/>
  <c r="B183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205" i="1" a="1"/>
  <c r="A205" i="1" s="1"/>
  <c r="C217" i="1" l="1"/>
  <c r="B216" i="1"/>
  <c r="C218" i="1"/>
  <c r="A217" i="1"/>
  <c r="B217" i="1"/>
  <c r="B218" i="1"/>
  <c r="A216" i="1"/>
  <c r="C216" i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B205" i="1"/>
  <c r="C207" i="1"/>
  <c r="C205" i="1"/>
  <c r="C206" i="1"/>
  <c r="A206" i="1"/>
  <c r="A207" i="1"/>
  <c r="B207" i="1"/>
  <c r="B206" i="1"/>
  <c r="P135" i="1"/>
  <c r="W135" i="1"/>
  <c r="Q135" i="1"/>
  <c r="R135" i="1"/>
  <c r="P134" i="1"/>
  <c r="R134" i="1"/>
  <c r="Q134" i="1"/>
  <c r="W134" i="1"/>
  <c r="R140" i="1" l="1"/>
  <c r="B161" i="1" s="1"/>
  <c r="Q140" i="1"/>
  <c r="B160" i="1" s="1"/>
  <c r="P140" i="1"/>
  <c r="T140" i="1" s="1"/>
  <c r="B166" i="1" l="1"/>
  <c r="E166" i="1" s="1"/>
  <c r="AE192" i="1" s="1"/>
  <c r="B165" i="1"/>
  <c r="E165" i="1" s="1"/>
  <c r="AD191" i="1" s="1"/>
  <c r="B159" i="1"/>
  <c r="B164" i="1" s="1"/>
  <c r="E164" i="1" s="1"/>
  <c r="AD190" i="1" s="1"/>
  <c r="P143" i="1"/>
  <c r="P142" i="1"/>
  <c r="AD192" i="1" l="1"/>
  <c r="I57" i="1"/>
  <c r="I57" i="3" s="1"/>
  <c r="AB192" i="1"/>
  <c r="F187" i="1"/>
  <c r="AC192" i="1"/>
  <c r="I55" i="1"/>
  <c r="I55" i="7" s="1"/>
  <c r="F185" i="1"/>
  <c r="AE190" i="1"/>
  <c r="I56" i="1"/>
  <c r="I56" i="8" s="1"/>
  <c r="AB191" i="1"/>
  <c r="AC190" i="1"/>
  <c r="F186" i="1"/>
  <c r="AB190" i="1"/>
  <c r="AC191" i="1"/>
  <c r="AE191" i="1"/>
  <c r="Q87" i="1"/>
  <c r="Q90" i="1" s="1"/>
  <c r="R87" i="1"/>
  <c r="R90" i="1" s="1"/>
  <c r="I55" i="3" l="1"/>
  <c r="I57" i="9"/>
  <c r="I57" i="7"/>
  <c r="I57" i="5"/>
  <c r="I57" i="8"/>
  <c r="I57" i="2"/>
  <c r="I57" i="4"/>
  <c r="I57" i="6"/>
  <c r="I55" i="4"/>
  <c r="I55" i="8"/>
  <c r="I55" i="2"/>
  <c r="I55" i="6"/>
  <c r="H195" i="1" a="1"/>
  <c r="H196" i="1" s="1"/>
  <c r="I55" i="9"/>
  <c r="I55" i="5"/>
  <c r="I56" i="4"/>
  <c r="I56" i="7"/>
  <c r="I56" i="2"/>
  <c r="I56" i="3"/>
  <c r="L57" i="1"/>
  <c r="L57" i="8" s="1"/>
  <c r="I56" i="9"/>
  <c r="H205" i="1" a="1"/>
  <c r="H205" i="1" s="1"/>
  <c r="H216" i="1" a="1"/>
  <c r="S218" i="1" s="1"/>
  <c r="U218" i="1" s="1"/>
  <c r="W219" i="1" s="1"/>
  <c r="H185" i="1" a="1"/>
  <c r="H185" i="1" s="1"/>
  <c r="J185" i="1" s="1"/>
  <c r="L187" i="1" s="1"/>
  <c r="I56" i="5"/>
  <c r="I56" i="6"/>
  <c r="AB195" i="1" a="1"/>
  <c r="AD197" i="1" s="1"/>
  <c r="H198" i="1" l="1"/>
  <c r="J198" i="1" s="1"/>
  <c r="L198" i="1" s="1"/>
  <c r="H195" i="1"/>
  <c r="J195" i="1" s="1"/>
  <c r="L197" i="1" s="1"/>
  <c r="H197" i="1"/>
  <c r="J197" i="1" s="1"/>
  <c r="L196" i="1" s="1"/>
  <c r="M59" i="1"/>
  <c r="M59" i="6" s="1"/>
  <c r="L57" i="4"/>
  <c r="L57" i="3"/>
  <c r="L57" i="6"/>
  <c r="L57" i="9"/>
  <c r="L57" i="5"/>
  <c r="L57" i="7"/>
  <c r="J217" i="1"/>
  <c r="L217" i="1" s="1"/>
  <c r="J218" i="1"/>
  <c r="L219" i="1" s="1"/>
  <c r="H206" i="1"/>
  <c r="S206" i="1" s="1"/>
  <c r="U206" i="1" s="1"/>
  <c r="W205" i="1" s="1"/>
  <c r="H207" i="1"/>
  <c r="J207" i="1" s="1"/>
  <c r="L206" i="1" s="1"/>
  <c r="H216" i="1"/>
  <c r="J216" i="1" s="1"/>
  <c r="L216" i="1" s="1"/>
  <c r="H187" i="1"/>
  <c r="J187" i="1" s="1"/>
  <c r="L186" i="1" s="1"/>
  <c r="S217" i="1"/>
  <c r="U217" i="1" s="1"/>
  <c r="W217" i="1" s="1"/>
  <c r="H188" i="1"/>
  <c r="J188" i="1" s="1"/>
  <c r="L188" i="1" s="1"/>
  <c r="H186" i="1"/>
  <c r="J186" i="1" s="1"/>
  <c r="L185" i="1" s="1"/>
  <c r="AD198" i="1"/>
  <c r="AE196" i="1"/>
  <c r="AE197" i="1"/>
  <c r="AC197" i="1"/>
  <c r="AB197" i="1"/>
  <c r="AB196" i="1"/>
  <c r="AE198" i="1"/>
  <c r="AC195" i="1"/>
  <c r="AD196" i="1"/>
  <c r="AC196" i="1"/>
  <c r="AB195" i="1"/>
  <c r="AE195" i="1"/>
  <c r="AC198" i="1"/>
  <c r="AB198" i="1"/>
  <c r="AD195" i="1"/>
  <c r="S205" i="1"/>
  <c r="U205" i="1" s="1"/>
  <c r="W207" i="1" s="1"/>
  <c r="J205" i="1"/>
  <c r="L207" i="1" s="1"/>
  <c r="S196" i="1"/>
  <c r="U196" i="1" s="1"/>
  <c r="W195" i="1" s="1"/>
  <c r="J196" i="1"/>
  <c r="L195" i="1" s="1"/>
  <c r="S195" i="1" l="1"/>
  <c r="U195" i="1" s="1"/>
  <c r="W197" i="1" s="1"/>
  <c r="S198" i="1"/>
  <c r="U198" i="1" s="1"/>
  <c r="W198" i="1" s="1"/>
  <c r="S197" i="1"/>
  <c r="U197" i="1" s="1"/>
  <c r="W196" i="1" s="1"/>
  <c r="M59" i="3"/>
  <c r="M57" i="1"/>
  <c r="M57" i="4" s="1"/>
  <c r="M59" i="4"/>
  <c r="M59" i="7"/>
  <c r="M59" i="5"/>
  <c r="M59" i="8"/>
  <c r="M59" i="2"/>
  <c r="M59" i="9"/>
  <c r="J206" i="1"/>
  <c r="L205" i="1" s="1"/>
  <c r="S207" i="1"/>
  <c r="U207" i="1" s="1"/>
  <c r="W206" i="1" s="1"/>
  <c r="S216" i="1"/>
  <c r="U216" i="1" s="1"/>
  <c r="W216" i="1" s="1"/>
  <c r="AG195" i="1" a="1"/>
  <c r="AH198" i="1" s="1"/>
  <c r="Q30" i="1" l="1"/>
  <c r="M57" i="9"/>
  <c r="M57" i="6"/>
  <c r="M57" i="3"/>
  <c r="M57" i="7"/>
  <c r="M57" i="5"/>
  <c r="M57" i="8"/>
  <c r="M57" i="2"/>
  <c r="AJ198" i="1"/>
  <c r="AH196" i="1"/>
  <c r="AI196" i="1"/>
  <c r="AJ196" i="1"/>
  <c r="AH197" i="1"/>
  <c r="AJ197" i="1"/>
  <c r="AI198" i="1"/>
  <c r="AJ195" i="1"/>
  <c r="AG195" i="1"/>
  <c r="AG198" i="1"/>
  <c r="AG197" i="1"/>
  <c r="AI195" i="1"/>
  <c r="AI197" i="1"/>
  <c r="AG196" i="1"/>
  <c r="AH195" i="1"/>
  <c r="AL195" i="1" l="1" a="1"/>
  <c r="AL198" i="1" s="1"/>
  <c r="AL197" i="1" l="1"/>
  <c r="AL196" i="1"/>
  <c r="AL1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<sst xmlns="http://schemas.openxmlformats.org/spreadsheetml/2006/main" count="2463" uniqueCount="236">
  <si>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</si>
  <si>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</si>
  <si>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</si>
  <si>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</si>
  <si>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</si>
  <si>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</si>
  <si>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</si>
  <si>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</si>
  <si>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</si>
  <si>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</si>
  <si>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</si>
  <si>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</si>
  <si>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</si>
  <si>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</si>
  <si>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</si>
  <si>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</si>
  <si>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</si>
  <si>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</si>
  <si>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</si>
  <si>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</si>
  <si>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</si>
  <si>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</si>
  <si>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</si>
  <si>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</si>
  <si>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</si>
  <si>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</si>
  <si>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</si>
  <si>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</si>
  <si>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</si>
  <si>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</si>
  <si>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</si>
  <si>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</si>
  <si>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</si>
  <si>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</si>
  <si>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</si>
  <si>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</si>
  <si>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</si>
  <si>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</si>
  <si>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</si>
  <si>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</si>
  <si>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</si>
  <si>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</si>
  <si>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</si>
  <si>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</si>
  <si>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</si>
  <si>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</si>
  <si>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</si>
  <si>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</si>
  <si>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</si>
  <si>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</si>
  <si>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</si>
  <si>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</si>
  <si>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</si>
  <si>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</si>
  <si>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</si>
  <si>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</si>
  <si>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</si>
  <si>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</si>
  <si>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</si>
  <si>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</si>
  <si>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</si>
  <si>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</si>
  <si>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</si>
  <si>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</si>
  <si>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</si>
  <si>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</si>
  <si>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</si>
  <si>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</si>
  <si>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</si>
  <si>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</si>
  <si>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</si>
  <si>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</si>
  <si>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</si>
  <si>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</si>
  <si>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</si>
  <si>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</si>
  <si>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</si>
  <si>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</si>
  <si>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</si>
  <si>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</si>
  <si>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</si>
  <si>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</si>
  <si>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</si>
  <si>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</si>
  <si>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</si>
  <si>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</si>
  <si>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</si>
  <si>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</si>
  <si>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</si>
  <si>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</si>
  <si>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</si>
  <si>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</si>
  <si>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</si>
  <si>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</si>
  <si>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</si>
  <si>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</si>
  <si>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</si>
  <si>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</si>
  <si>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</si>
  <si>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</si>
  <si>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</si>
  <si>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</si>
  <si>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</si>
  <si>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</si>
  <si>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</si>
  <si>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</si>
  <si>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</si>
  <si>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</si>
  <si>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</si>
  <si>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</si>
  <si>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</si>
  <si>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</si>
  <si>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</si>
  <si>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</si>
  <si>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</si>
  <si>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</si>
  <si>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</si>
  <si>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</si>
  <si>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</si>
  <si>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</si>
  <si>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</si>
  <si>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</si>
  <si>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</si>
  <si>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</si>
  <si>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</si>
  <si>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</si>
  <si>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</si>
  <si>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</si>
  <si>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</si>
  <si>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</si>
  <si>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</si>
  <si>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</si>
  <si>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</si>
  <si>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</si>
  <si>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</si>
  <si>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</si>
  <si>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</si>
  <si>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</si>
  <si>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</si>
  <si>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</si>
  <si>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</si>
  <si>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</si>
  <si>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</si>
  <si>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</si>
  <si>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</si>
  <si>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</si>
  <si>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</si>
  <si>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</si>
  <si>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</si>
  <si>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</si>
  <si>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</si>
  <si>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</si>
  <si>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</si>
  <si>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</si>
  <si>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</si>
  <si>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</si>
  <si>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</si>
  <si>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</si>
  <si>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</si>
  <si>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</si>
  <si>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</si>
  <si>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</si>
  <si>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</si>
  <si>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</si>
  <si>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</si>
  <si>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</si>
  <si>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</si>
  <si>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</si>
  <si>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</si>
  <si>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</si>
  <si>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</si>
  <si>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</si>
  <si>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</si>
  <si>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</si>
  <si>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</si>
  <si>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</si>
  <si>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</si>
  <si>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</si>
  <si>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</si>
  <si>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</si>
  <si>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</si>
  <si>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</si>
  <si>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</si>
  <si>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</si>
  <si>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</si>
  <si>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</si>
  <si>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</si>
  <si>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</si>
  <si>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</si>
  <si>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</si>
  <si>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</si>
  <si>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</si>
  <si>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</si>
  <si>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</si>
  <si>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</si>
  <si>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</si>
  <si>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</si>
  <si>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</si>
  <si>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</si>
  <si>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</si>
  <si>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</si>
  <si>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</si>
  <si>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</si>
  <si>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</si>
  <si>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</si>
  <si>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</si>
  <si>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</si>
  <si>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</si>
  <si>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</si>
  <si>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</si>
  <si>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</si>
  <si>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</si>
  <si>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</si>
  <si>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</si>
  <si>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</si>
  <si>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</si>
  <si>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</si>
  <si>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</si>
  <si>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</si>
  <si>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</si>
  <si>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</si>
  <si>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</si>
  <si>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</si>
  <si>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</si>
  <si>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</si>
  <si>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</si>
  <si>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</si>
  <si>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</si>
  <si>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</si>
  <si>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</si>
  <si>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</si>
  <si>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</si>
  <si>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</si>
  <si>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</si>
  <si>
    <t>Stress Block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</si>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</sst>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2.1074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D9E266-611A-4FDD-9F3C-EA60397901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3AE215-2D1C-407B-BD3A-067C8DCD28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7FB835-4DEE-408B-B876-396FD69906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48C6EA-57DE-4D10-90DA-9427D2B111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347B5F-D231-4EA1-99C2-EBFB61AC8A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38A09B-926C-4EBD-AAD1-F35C6A94F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A1120F-4AC1-4EF5-8548-5754567B8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976EF7-5443-4880-A398-952C23500E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2D5447-8AE7-452D-991C-E0AEB2BAB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EBFE4D-A860-4EE6-9237-4318B5067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A59CA2-E8CD-4D6F-8F5A-CFD3D05193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BF5A85-DD25-4202-A1CD-F6E00D518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2</c:v>
                </c:pt>
                <c:pt idx="9">
                  <c:v>12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6.3886 kips</c:v>
                  </c:pt>
                  <c:pt idx="1">
                    <c:v>
6.3886 kips</c:v>
                  </c:pt>
                  <c:pt idx="2">
                    <c:v>
3.6577 kips</c:v>
                  </c:pt>
                  <c:pt idx="3">
                    <c:v>
3.6577 kips</c:v>
                  </c:pt>
                  <c:pt idx="4">
                    <c:v>
0.9268 kips</c:v>
                  </c:pt>
                  <c:pt idx="5">
                    <c:v>
0.9268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250 kips
Mx: -3500 kip-in
My: 0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9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-1.0000000000003233</c:v>
                </c:pt>
                <c:pt idx="1">
                  <c:v>15.000000000000259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16.036357236113034</c:v>
                </c:pt>
                <c:pt idx="1">
                  <c:v>16.036357236112778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7.0000000000000266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29.345452412037638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7.0000000000000044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22.012119078704302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D8EE6A-9D5D-42B6-97B1-06689C7441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863529-B913-44B8-89E6-AE67396E50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44EF64-1CA3-451E-9F39-1416B096B6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16.036357236112792</c:v>
                </c:pt>
                <c:pt idx="2">
                  <c:v>36</c:v>
                </c:pt>
                <c:pt idx="3">
                  <c:v>36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2.1074 ksi</c:v>
                  </c:pt>
                  <c:pt idx="3">
                    <c:v>2.1074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16.03635723611302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E760F3-8B17-4445-BCE9-B5D3042C2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2C6C84-BB96-4DCC-B0AE-B731893FEF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AD7075-2CE6-45EA-9E2F-4F0D951C82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16.036357236112938</c:v>
                </c:pt>
                <c:pt idx="1">
                  <c:v>25</c:v>
                </c:pt>
                <c:pt idx="2">
                  <c:v>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0 ksi</c:v>
                  </c:pt>
                  <c:pt idx="1">
                    <c:v>
-0.9462 ksi</c:v>
                  </c:pt>
                  <c:pt idx="2">
                    <c:v>
-0.9462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D3D420-F31C-4ACA-BDD1-2820C0203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16.036357236112874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  <c:pt idx="2">
                    <c:v>
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2</c:v>
                </c:pt>
                <c:pt idx="9">
                  <c:v>12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C6818065-8AC4-4235-A21A-437CEB4D55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2.1074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9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-1.0000000000003233</c:v>
                </c:pt>
                <c:pt idx="1">
                  <c:v>15.000000000000259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16.036357236113034</c:v>
                </c:pt>
                <c:pt idx="1">
                  <c:v>16.036357236112778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7.0000000000000266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29.345452412037638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7.0000000000000044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22.012119078704302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-6.9999999999997087</c:v>
                </c:pt>
                <c:pt idx="1">
                  <c:v>7.0000000000002913</c:v>
                </c:pt>
                <c:pt idx="2">
                  <c:v>6.9999999999997087</c:v>
                </c:pt>
                <c:pt idx="3">
                  <c:v>-7.0000000000002913</c:v>
                </c:pt>
                <c:pt idx="4">
                  <c:v>-6.9999999999997087</c:v>
                </c:pt>
                <c:pt idx="5">
                  <c:v>-6.9999999999997087</c:v>
                </c:pt>
                <c:pt idx="6">
                  <c:v>-6.9999999999997087</c:v>
                </c:pt>
                <c:pt idx="7">
                  <c:v>-6.9999999999997087</c:v>
                </c:pt>
                <c:pt idx="8">
                  <c:v>-6.9999999999997087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-18.000000000000114</c:v>
                </c:pt>
                <c:pt idx="1">
                  <c:v>-17.999999999999886</c:v>
                </c:pt>
                <c:pt idx="2">
                  <c:v>18.000000000000114</c:v>
                </c:pt>
                <c:pt idx="3">
                  <c:v>17.999999999999886</c:v>
                </c:pt>
                <c:pt idx="4">
                  <c:v>-18.000000000000114</c:v>
                </c:pt>
                <c:pt idx="5">
                  <c:v>-18.000000000000114</c:v>
                </c:pt>
                <c:pt idx="6">
                  <c:v>-18.000000000000114</c:v>
                </c:pt>
                <c:pt idx="7">
                  <c:v>-18.000000000000114</c:v>
                </c:pt>
                <c:pt idx="8">
                  <c:v>-18.000000000000114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-4.9999999999997415</c:v>
                </c:pt>
                <c:pt idx="1">
                  <c:v>5.0000000000002585</c:v>
                </c:pt>
                <c:pt idx="2">
                  <c:v>-4.9999999999998384</c:v>
                </c:pt>
                <c:pt idx="3">
                  <c:v>5.0000000000001616</c:v>
                </c:pt>
                <c:pt idx="4">
                  <c:v>-4.9999999999999352</c:v>
                </c:pt>
                <c:pt idx="5">
                  <c:v>5.0000000000000648</c:v>
                </c:pt>
                <c:pt idx="6">
                  <c:v>-5.000000000000032</c:v>
                </c:pt>
                <c:pt idx="7">
                  <c:v>4.999999999999968</c:v>
                </c:pt>
                <c:pt idx="8">
                  <c:v>-5.0000000000001297</c:v>
                </c:pt>
                <c:pt idx="9">
                  <c:v>4.9999999999998703</c:v>
                </c:pt>
                <c:pt idx="10">
                  <c:v>-5.0000000000002265</c:v>
                </c:pt>
                <c:pt idx="11">
                  <c:v>4.9999999999997735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-16.000000000000082</c:v>
                </c:pt>
                <c:pt idx="1">
                  <c:v>-15.99999999999992</c:v>
                </c:pt>
                <c:pt idx="2">
                  <c:v>-10.00000000000008</c:v>
                </c:pt>
                <c:pt idx="3">
                  <c:v>-9.9999999999999201</c:v>
                </c:pt>
                <c:pt idx="4">
                  <c:v>-4.0000000000000808</c:v>
                </c:pt>
                <c:pt idx="5">
                  <c:v>-3.9999999999999192</c:v>
                </c:pt>
                <c:pt idx="6">
                  <c:v>1.9999999999999192</c:v>
                </c:pt>
                <c:pt idx="7">
                  <c:v>2.0000000000000808</c:v>
                </c:pt>
                <c:pt idx="8">
                  <c:v>7.9999999999999192</c:v>
                </c:pt>
                <c:pt idx="9">
                  <c:v>8.0000000000000799</c:v>
                </c:pt>
                <c:pt idx="10">
                  <c:v>13.99999999999992</c:v>
                </c:pt>
                <c:pt idx="11">
                  <c:v>14.00000000000008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-8.0000000000002913</c:v>
                </c:pt>
                <c:pt idx="1">
                  <c:v>8.0000000000002913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-1.9636427638870941</c:v>
                </c:pt>
                <c:pt idx="1">
                  <c:v>-1.9636427638870941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7.0000000000000311</c:v>
                </c:pt>
                <c:pt idx="2">
                  <c:v>6.9999999999997087</c:v>
                </c:pt>
                <c:pt idx="3">
                  <c:v>-7.0000000000002913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-1.9636427638870941</c:v>
                </c:pt>
                <c:pt idx="2">
                  <c:v>18.000000000000114</c:v>
                </c:pt>
                <c:pt idx="3">
                  <c:v>17.999999999999886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6.9999999999997087</c:v>
                </c:pt>
                <c:pt idx="2">
                  <c:v>-7.0000000000002913</c:v>
                </c:pt>
                <c:pt idx="3">
                  <c:v>-6.9999999999999689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18.000000000000114</c:v>
                </c:pt>
                <c:pt idx="2">
                  <c:v>17.999999999999886</c:v>
                </c:pt>
                <c:pt idx="3">
                  <c:v>-1.9636427638870941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-1.5711278214060954E-13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11.345452412037636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-19.000000000000114</c:v>
                </c:pt>
                <c:pt idx="1">
                  <c:v>19.000000000000114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-19.000000000000114</c:v>
                </c:pt>
                <c:pt idx="1">
                  <c:v>19.000000000000114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-1.9999999999998708</c:v>
                </c:pt>
                <c:pt idx="1">
                  <c:v>-2.0000000000001132</c:v>
                </c:pt>
                <c:pt idx="2">
                  <c:v>1.999999999999887</c:v>
                </c:pt>
                <c:pt idx="3">
                  <c:v>2.0000000000001292</c:v>
                </c:pt>
                <c:pt idx="4">
                  <c:v>-1.9999999999998708</c:v>
                </c:pt>
                <c:pt idx="5">
                  <c:v>-1.9999999999998708</c:v>
                </c:pt>
                <c:pt idx="6">
                  <c:v>-1.9999999999998708</c:v>
                </c:pt>
                <c:pt idx="7">
                  <c:v>-1.9999999999998708</c:v>
                </c:pt>
                <c:pt idx="8">
                  <c:v>-1.9999999999998708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-8.000000000000032</c:v>
                </c:pt>
                <c:pt idx="1">
                  <c:v>6.999999999999968</c:v>
                </c:pt>
                <c:pt idx="2">
                  <c:v>7.000000000000032</c:v>
                </c:pt>
                <c:pt idx="3">
                  <c:v>-7.999999999999968</c:v>
                </c:pt>
                <c:pt idx="4">
                  <c:v>-8.000000000000032</c:v>
                </c:pt>
                <c:pt idx="5">
                  <c:v>-8.000000000000032</c:v>
                </c:pt>
                <c:pt idx="6">
                  <c:v>-8.000000000000032</c:v>
                </c:pt>
                <c:pt idx="7">
                  <c:v>-8.000000000000032</c:v>
                </c:pt>
                <c:pt idx="8">
                  <c:v>-8.000000000000032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-1.9999999999999682</c:v>
                </c:pt>
                <c:pt idx="1">
                  <c:v>-2.0000000000001132</c:v>
                </c:pt>
                <c:pt idx="2">
                  <c:v>1.999999999999887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-1.9636427638870941</c:v>
                </c:pt>
                <c:pt idx="1">
                  <c:v>6.999999999999968</c:v>
                </c:pt>
                <c:pt idx="2">
                  <c:v>7.000000000000032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-2.0000000000001132</c:v>
                </c:pt>
                <c:pt idx="1">
                  <c:v>1.999999999999887</c:v>
                </c:pt>
                <c:pt idx="2">
                  <c:v>2.000000000000032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6.999999999999968</c:v>
                </c:pt>
                <c:pt idx="1">
                  <c:v>7.000000000000032</c:v>
                </c:pt>
                <c:pt idx="2">
                  <c:v>-1.9636427638870941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-6.0002632162889733E-14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4.012119078704302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-4.9999999999997415</c:v>
                </c:pt>
                <c:pt idx="1">
                  <c:v>5.0000000000002585</c:v>
                </c:pt>
                <c:pt idx="2">
                  <c:v>-4.9999999999998384</c:v>
                </c:pt>
                <c:pt idx="3">
                  <c:v>5.0000000000001616</c:v>
                </c:pt>
                <c:pt idx="4">
                  <c:v>-4.9999999999999352</c:v>
                </c:pt>
                <c:pt idx="5">
                  <c:v>5.0000000000000648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-16.000000000000082</c:v>
                </c:pt>
                <c:pt idx="1">
                  <c:v>-15.99999999999992</c:v>
                </c:pt>
                <c:pt idx="2">
                  <c:v>-10.00000000000008</c:v>
                </c:pt>
                <c:pt idx="3">
                  <c:v>-9.9999999999999201</c:v>
                </c:pt>
                <c:pt idx="4">
                  <c:v>-4.0000000000000808</c:v>
                </c:pt>
                <c:pt idx="5">
                  <c:v>-3.9999999999999192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36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10.285714285714285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-29</c:v>
                </c:pt>
                <c:pt idx="1">
                  <c:v>43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10.285714285714285</c:v>
                </c:pt>
                <c:pt idx="1">
                  <c:v>10.285714285714285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43</c:v>
                </c:pt>
                <c:pt idx="1">
                  <c:v>-43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43</c:v>
                </c:pt>
                <c:pt idx="1">
                  <c:v>-43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209</v>
      </c>
    </row>
    <row r="4" spans="1:1" x14ac:dyDescent="0.25">
      <c r="A4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211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212</v>
      </c>
      <c r="B10" s="2">
        <v>24</v>
      </c>
      <c r="C10" t="s">
        <v>22</v>
      </c>
    </row>
    <row r="12" spans="1:10" x14ac:dyDescent="0.25">
      <c r="A12" t="s">
        <v>0</v>
      </c>
      <c r="B12" t="s">
        <v>202</v>
      </c>
      <c r="H12" t="s">
        <v>133</v>
      </c>
      <c r="I12" t="s">
        <v>201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topLeftCell="A26" zoomScale="85" zoomScaleNormal="85" workbookViewId="0">
      <selection activeCell="J60" sqref="J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203</v>
      </c>
    </row>
    <row r="2" spans="1:40" x14ac:dyDescent="0.25">
      <c r="A2" s="10" t="s">
        <v>78</v>
      </c>
      <c r="B2" s="6">
        <v>250</v>
      </c>
      <c r="C2" t="s">
        <v>36</v>
      </c>
      <c r="D2" t="s">
        <v>103</v>
      </c>
      <c r="G2" s="1" t="s">
        <v>204</v>
      </c>
      <c r="H2" s="10" t="s">
        <v>185</v>
      </c>
      <c r="I2">
        <f>B2/D22</f>
        <v>0.49603174603174605</v>
      </c>
      <c r="J2" t="s">
        <v>11</v>
      </c>
      <c r="N2" t="s">
        <v>187</v>
      </c>
      <c r="V2" s="10" t="s">
        <v>227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-3500</v>
      </c>
      <c r="C3" t="s">
        <v>102</v>
      </c>
      <c r="D3" t="str">
        <f>"- Mx puts compression on +y"</f>
        <v>- Mx puts compression on +y</v>
      </c>
      <c r="G3" s="4">
        <f>B3/12</f>
        <v>-291.66666666666669</v>
      </c>
      <c r="H3" s="10" t="s">
        <v>176</v>
      </c>
      <c r="I3" s="3">
        <f>B9-E22</f>
        <v>0</v>
      </c>
      <c r="J3" t="s">
        <v>22</v>
      </c>
      <c r="K3" t="s">
        <v>178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226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177</v>
      </c>
      <c r="I4" s="3">
        <f>C9-F22</f>
        <v>0</v>
      </c>
      <c r="J4" t="s">
        <v>22</v>
      </c>
      <c r="K4" t="s">
        <v>179</v>
      </c>
      <c r="L4" s="4">
        <f>B2*I4*-1</f>
        <v>0</v>
      </c>
      <c r="M4" t="str">
        <f>"+Mx"</f>
        <v>+Mx</v>
      </c>
      <c r="N4" s="4">
        <f>B3+L4</f>
        <v>-3500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186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7</v>
      </c>
      <c r="C9" s="2">
        <v>18</v>
      </c>
      <c r="D9" t="s">
        <v>21</v>
      </c>
    </row>
    <row r="11" spans="1:40" x14ac:dyDescent="0.25">
      <c r="A11" t="s">
        <v>0</v>
      </c>
      <c r="B11" t="s">
        <v>202</v>
      </c>
      <c r="E11" s="59" t="str">
        <f>IF(D22&lt;0,"Plate Coordinates entered in the wrong order","")</f>
        <v/>
      </c>
      <c r="N11" t="s">
        <v>175</v>
      </c>
      <c r="AD11" t="s">
        <v>180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181</v>
      </c>
      <c r="AE12" s="18"/>
      <c r="AG12" s="18" t="s">
        <v>182</v>
      </c>
      <c r="AH12" s="18" t="s">
        <v>183</v>
      </c>
      <c r="AK12" s="18" t="s">
        <v>184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G22-(D22*F22*F22)</f>
        <v>54432</v>
      </c>
      <c r="O13" s="19">
        <f>H22-(D22*E22*E22)</f>
        <v>8232</v>
      </c>
      <c r="P13" s="19">
        <f>I22-(D22*E22*F22)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N13/(MAX(C13:C20)-F22)</f>
        <v>3024</v>
      </c>
      <c r="V13" s="19">
        <f>N13/(MIN(C13:C20)-F22)</f>
        <v>-3024</v>
      </c>
      <c r="W13" s="19">
        <f>O13/(MIN(B13:B20)-E22)</f>
        <v>-1176</v>
      </c>
      <c r="X13" s="19">
        <f>O13/(MAX(B13:B20)-E22)</f>
        <v>1176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L14">
        <f>IF(AND(B14=B15,C14=C15),0,1)</f>
        <v>1</v>
      </c>
      <c r="Y14" s="1">
        <f>$N$13/(C14-$F$22)</f>
        <v>-3024</v>
      </c>
      <c r="Z14">
        <f>$O$13/(B14-$E$22)</f>
        <v>1176</v>
      </c>
      <c r="AA14">
        <f>-1*$B$3/Y14</f>
        <v>-1.1574074074074074</v>
      </c>
      <c r="AB14">
        <f>$B$4/Z14</f>
        <v>0</v>
      </c>
      <c r="AC14">
        <f>$I$2+AG14+AK14</f>
        <v>-0.66137566137566139</v>
      </c>
      <c r="AD14" s="9">
        <f>C14-$F$22</f>
        <v>-18</v>
      </c>
      <c r="AE14">
        <f>(AD14*$N$4*$O$13)/(($N$13*$O$13)-($P$13*$P$13))</f>
        <v>1.1574074074074074</v>
      </c>
      <c r="AF14">
        <f>(AD14*$N$3*$P$13)/(($N$13*$O$13)-($P$13*$P$13))</f>
        <v>0</v>
      </c>
      <c r="AG14">
        <f>(AE14+AF14)*-1</f>
        <v>-1.1574074074074074</v>
      </c>
      <c r="AH14" s="9">
        <f>B14-$E$22</f>
        <v>7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-0.66137566137566139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36</v>
      </c>
      <c r="D15" s="5">
        <f t="shared" ref="D15:D18" si="0">((B14*C15)-(B15*C14))*0.5</f>
        <v>252</v>
      </c>
      <c r="E15" s="5">
        <f t="shared" ref="E15:E18" si="1">(B15+B14)*((B14*C15)-(B15*C14))*(1/6)</f>
        <v>2352</v>
      </c>
      <c r="F15" s="5">
        <f t="shared" ref="F15:F18" si="2">(C15+C14)*((B14*C15)-(B15*C14))*(1/6)</f>
        <v>3024</v>
      </c>
      <c r="G15" s="5">
        <f t="shared" ref="G15:G18" si="3">(((C14*C14)+(C14*C15)+(C15*C15))*((B14*C15)-(B15*C14)))/12</f>
        <v>54432</v>
      </c>
      <c r="H15" s="5">
        <f t="shared" ref="H15:H18" si="4">(((B14*B14)+(B14*B15)+(B15*B15))*((B14*C15)-(B15*C14)))/12</f>
        <v>24696</v>
      </c>
      <c r="I15" s="5">
        <f t="shared" ref="I15:I18" si="5">(((B14*C15)+(2*B14*C14)+(2*B15*C15)+(B15*C14))*((B14*C15)-(B15*C14)))/24</f>
        <v>31752</v>
      </c>
      <c r="J15" s="5">
        <f t="shared" ref="J15:J18" si="6">G15+H15</f>
        <v>79128</v>
      </c>
      <c r="K15">
        <f t="shared" ref="K15:K21" si="7">ATAN2((B15-$E$22),(C15-$F$22))</f>
        <v>1.1999050379822342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3024</v>
      </c>
      <c r="Z15">
        <f t="shared" ref="Z15:Z21" si="10">$O$13/(B15-$E$22)</f>
        <v>1176</v>
      </c>
      <c r="AA15">
        <f t="shared" ref="AA15:AA21" si="11">-1*$B$3/Y15</f>
        <v>1.1574074074074074</v>
      </c>
      <c r="AB15">
        <f t="shared" ref="AB15:AB21" si="12">$B$4/Z15</f>
        <v>0</v>
      </c>
      <c r="AC15">
        <f t="shared" ref="AC15:AC21" si="13">$I$2+AG15+AK15</f>
        <v>1.6534391534391535</v>
      </c>
      <c r="AD15" s="9">
        <f t="shared" ref="AD15:AD21" si="14">C15-$F$22</f>
        <v>18</v>
      </c>
      <c r="AE15">
        <f t="shared" ref="AE15:AE21" si="15">(AD15*$N$4*$O$13)/(($N$13*$O$13)-($P$13*$P$13))</f>
        <v>-1.1574074074074074</v>
      </c>
      <c r="AF15">
        <f t="shared" ref="AF15:AF21" si="16">(AD15*$N$3*$P$13)/(($N$13*$O$13)-($P$13*$P$13))</f>
        <v>0</v>
      </c>
      <c r="AG15">
        <f t="shared" ref="AG15:AG21" si="17">(AE15+AF15)*-1</f>
        <v>1.1574074074074074</v>
      </c>
      <c r="AH15" s="9">
        <f t="shared" ref="AH15:AH21" si="18">B15-$E$22</f>
        <v>7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1.6534391534391535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3024</v>
      </c>
      <c r="Z16">
        <f t="shared" si="10"/>
        <v>-1176</v>
      </c>
      <c r="AA16">
        <f t="shared" si="11"/>
        <v>1.1574074074074074</v>
      </c>
      <c r="AB16">
        <f t="shared" si="12"/>
        <v>0</v>
      </c>
      <c r="AC16">
        <f t="shared" si="13"/>
        <v>1.6534391534391535</v>
      </c>
      <c r="AD16" s="9">
        <f t="shared" si="14"/>
        <v>18</v>
      </c>
      <c r="AE16">
        <f t="shared" si="15"/>
        <v>-1.1574074074074074</v>
      </c>
      <c r="AF16">
        <f t="shared" si="16"/>
        <v>0</v>
      </c>
      <c r="AG16">
        <f t="shared" si="17"/>
        <v>1.1574074074074074</v>
      </c>
      <c r="AH16" s="9">
        <f t="shared" si="18"/>
        <v>-7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1.6534391534391535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L17">
        <f t="shared" si="8"/>
        <v>0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9"/>
        <v>-3024</v>
      </c>
      <c r="Z17">
        <f t="shared" si="10"/>
        <v>-1176</v>
      </c>
      <c r="AA17">
        <f t="shared" si="11"/>
        <v>-1.1574074074074074</v>
      </c>
      <c r="AB17">
        <f t="shared" si="12"/>
        <v>0</v>
      </c>
      <c r="AC17">
        <f t="shared" si="13"/>
        <v>-0.66137566137566139</v>
      </c>
      <c r="AD17" s="9">
        <f t="shared" si="14"/>
        <v>-18</v>
      </c>
      <c r="AE17">
        <f t="shared" si="15"/>
        <v>1.1574074074074074</v>
      </c>
      <c r="AF17">
        <f t="shared" si="16"/>
        <v>0</v>
      </c>
      <c r="AG17">
        <f t="shared" si="17"/>
        <v>-1.1574074074074074</v>
      </c>
      <c r="AH17" s="9">
        <f t="shared" si="18"/>
        <v>-7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-0.66137566137566139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-3024</v>
      </c>
      <c r="Z18">
        <f t="shared" si="10"/>
        <v>-1176</v>
      </c>
      <c r="AA18">
        <f t="shared" si="11"/>
        <v>-1.1574074074074074</v>
      </c>
      <c r="AB18">
        <f t="shared" si="12"/>
        <v>0</v>
      </c>
      <c r="AC18">
        <f t="shared" si="13"/>
        <v>-0.66137566137566139</v>
      </c>
      <c r="AD18" s="9">
        <f t="shared" si="14"/>
        <v>-18</v>
      </c>
      <c r="AE18">
        <f t="shared" si="15"/>
        <v>1.1574074074074074</v>
      </c>
      <c r="AF18">
        <f t="shared" si="16"/>
        <v>0</v>
      </c>
      <c r="AG18">
        <f t="shared" si="17"/>
        <v>-1.1574074074074074</v>
      </c>
      <c r="AH18" s="9">
        <f t="shared" si="18"/>
        <v>-7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-0.66137566137566139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-1.9416876156075589</v>
      </c>
      <c r="L19">
        <f t="shared" si="8"/>
        <v>0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9"/>
        <v>-3024</v>
      </c>
      <c r="Z19">
        <f t="shared" si="10"/>
        <v>-1176</v>
      </c>
      <c r="AA19">
        <f t="shared" si="11"/>
        <v>-1.1574074074074074</v>
      </c>
      <c r="AB19">
        <f t="shared" si="12"/>
        <v>0</v>
      </c>
      <c r="AC19">
        <f t="shared" si="13"/>
        <v>-0.66137566137566139</v>
      </c>
      <c r="AD19" s="9">
        <f t="shared" si="14"/>
        <v>-18</v>
      </c>
      <c r="AE19">
        <f t="shared" si="15"/>
        <v>1.1574074074074074</v>
      </c>
      <c r="AF19">
        <f t="shared" si="16"/>
        <v>0</v>
      </c>
      <c r="AG19">
        <f t="shared" si="17"/>
        <v>-1.1574074074074074</v>
      </c>
      <c r="AH19" s="9">
        <f t="shared" si="18"/>
        <v>-7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-0.66137566137566139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-1.9416876156075589</v>
      </c>
      <c r="L20">
        <f t="shared" si="8"/>
        <v>0</v>
      </c>
      <c r="Y20" s="1">
        <f t="shared" si="9"/>
        <v>-3024</v>
      </c>
      <c r="Z20">
        <f t="shared" si="10"/>
        <v>-1176</v>
      </c>
      <c r="AA20">
        <f t="shared" si="11"/>
        <v>-1.1574074074074074</v>
      </c>
      <c r="AB20">
        <f t="shared" si="12"/>
        <v>0</v>
      </c>
      <c r="AC20">
        <f t="shared" si="13"/>
        <v>-0.66137566137566139</v>
      </c>
      <c r="AD20" s="9">
        <f t="shared" si="14"/>
        <v>-18</v>
      </c>
      <c r="AE20">
        <f t="shared" si="15"/>
        <v>1.1574074074074074</v>
      </c>
      <c r="AF20">
        <f t="shared" si="16"/>
        <v>0</v>
      </c>
      <c r="AG20">
        <f t="shared" si="17"/>
        <v>-1.1574074074074074</v>
      </c>
      <c r="AH20" s="9">
        <f t="shared" si="18"/>
        <v>-7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-0.66137566137566139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-1.9416876156075589</v>
      </c>
      <c r="L21">
        <v>1</v>
      </c>
      <c r="Y21" s="1">
        <f t="shared" si="9"/>
        <v>-3024</v>
      </c>
      <c r="Z21">
        <f t="shared" si="10"/>
        <v>-1176</v>
      </c>
      <c r="AA21">
        <f t="shared" si="11"/>
        <v>-1.1574074074074074</v>
      </c>
      <c r="AB21">
        <f t="shared" si="12"/>
        <v>0</v>
      </c>
      <c r="AC21">
        <f t="shared" si="13"/>
        <v>-0.66137566137566139</v>
      </c>
      <c r="AD21" s="9">
        <f t="shared" si="14"/>
        <v>-18</v>
      </c>
      <c r="AE21">
        <f t="shared" si="15"/>
        <v>1.1574074074074074</v>
      </c>
      <c r="AF21">
        <f t="shared" si="16"/>
        <v>0</v>
      </c>
      <c r="AG21">
        <f t="shared" si="17"/>
        <v>-1.1574074074074074</v>
      </c>
      <c r="AH21" s="9">
        <f t="shared" si="18"/>
        <v>-7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-0.66137566137566139</v>
      </c>
      <c r="AN21" t="b">
        <f t="shared" si="23"/>
        <v>1</v>
      </c>
    </row>
    <row r="22" spans="1:40" x14ac:dyDescent="0.25">
      <c r="D22" s="5">
        <f>SUM(D13:D21)</f>
        <v>504</v>
      </c>
      <c r="E22" s="3">
        <f>SUM(E14:E21)/D22</f>
        <v>7</v>
      </c>
      <c r="F22" s="3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  <c r="AC22">
        <f>COUNTIF(AC14:AC21,"&gt;0")</f>
        <v>2</v>
      </c>
    </row>
    <row r="23" spans="1:40" x14ac:dyDescent="0.25">
      <c r="A23" t="s">
        <v>133</v>
      </c>
      <c r="B23" t="s">
        <v>201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5</v>
      </c>
      <c r="C25" s="2">
        <v>10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250 kips
Mx: -3500 kip-in
My: 0 kip-in</v>
      </c>
    </row>
    <row r="26" spans="1:40" x14ac:dyDescent="0.25">
      <c r="A26">
        <v>2</v>
      </c>
      <c r="B26" s="2">
        <v>5</v>
      </c>
      <c r="C26" s="2"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  <c r="AC26">
        <f>MAX(AC14:AC21)</f>
        <v>1.6534391534391535</v>
      </c>
      <c r="AD26">
        <f>COUNTIFS(AC14:AC21,AC26,L14:L21,1)</f>
        <v>2</v>
      </c>
      <c r="AE26">
        <f>SUMIF(AC14:AC21,AC26,B14:B21)/AD26</f>
        <v>7</v>
      </c>
      <c r="AF26">
        <f>SUMIF(AC14:AC21,AC26,C14:C21)/AD26</f>
        <v>36</v>
      </c>
      <c r="AG26" t="s">
        <v>199</v>
      </c>
    </row>
    <row r="27" spans="1:40" x14ac:dyDescent="0.25">
      <c r="A27">
        <v>3</v>
      </c>
      <c r="B27" s="2">
        <v>9</v>
      </c>
      <c r="C27" s="2">
        <v>25</v>
      </c>
      <c r="D27" s="5">
        <f t="shared" ref="D27:D33" si="45">((B26*C27)-(B27*C26))*0.5</f>
        <v>-50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-0.66137566137566139</v>
      </c>
      <c r="AD27">
        <f>COUNTIFS(AC14:AC21,AC27,L14:L21,1)</f>
        <v>2</v>
      </c>
      <c r="AE27">
        <f>SUMIF(AC14:AC21,AC27,B14:B21)/AD27</f>
        <v>7</v>
      </c>
      <c r="AF27">
        <f>SUMIF(AC14:AC21,AC27,C14:C21)/AD27</f>
        <v>0</v>
      </c>
      <c r="AG27" t="s">
        <v>198</v>
      </c>
    </row>
    <row r="28" spans="1:40" x14ac:dyDescent="0.25">
      <c r="A28">
        <v>4</v>
      </c>
      <c r="B28" s="2">
        <v>9</v>
      </c>
      <c r="C28" s="2">
        <v>10</v>
      </c>
      <c r="D28" s="5">
        <f t="shared" si="45"/>
        <v>-67.5</v>
      </c>
      <c r="E28" s="5"/>
      <c r="F28" s="5"/>
      <c r="G28" s="5"/>
      <c r="H28" s="5"/>
      <c r="I28" s="5"/>
      <c r="J28" s="5"/>
      <c r="AJ28" t="s">
        <v>191</v>
      </c>
    </row>
    <row r="29" spans="1:40" x14ac:dyDescent="0.25">
      <c r="A29">
        <v>5</v>
      </c>
      <c r="B29" s="2">
        <v>5</v>
      </c>
      <c r="C29" s="2">
        <v>10</v>
      </c>
      <c r="D29" s="5">
        <f t="shared" si="45"/>
        <v>20</v>
      </c>
      <c r="E29" s="5"/>
      <c r="F29" s="5"/>
      <c r="G29" s="5"/>
      <c r="H29" s="5"/>
      <c r="I29" s="5"/>
      <c r="J29" s="5"/>
      <c r="AD29" t="s">
        <v>195</v>
      </c>
      <c r="AE29">
        <f>SQRT(POWER(AE27-AE26,2)+POWER(AF27-AF26,2))</f>
        <v>36</v>
      </c>
      <c r="AG29">
        <f>(AE27-AE26)</f>
        <v>0</v>
      </c>
      <c r="AH29">
        <f>AF27-AF26</f>
        <v>-36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5</v>
      </c>
      <c r="C30" s="2">
        <v>10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2.1074 ksi
Design Status: OK
SOLUTION FOUND</v>
      </c>
      <c r="AD30" t="s">
        <v>196</v>
      </c>
      <c r="AE30">
        <f>(AC27-AC26)/AE29</f>
        <v>-6.4300411522633744E-2</v>
      </c>
    </row>
    <row r="31" spans="1:40" x14ac:dyDescent="0.25">
      <c r="A31">
        <v>7</v>
      </c>
      <c r="B31" s="2">
        <v>5</v>
      </c>
      <c r="C31" s="2">
        <v>10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192</v>
      </c>
    </row>
    <row r="32" spans="1:40" x14ac:dyDescent="0.25">
      <c r="A32">
        <v>8</v>
      </c>
      <c r="B32" s="2">
        <v>5</v>
      </c>
      <c r="C32" s="2">
        <v>10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188</v>
      </c>
      <c r="AE32">
        <f>IF(AND(AG29=0,AH29=0),0,(-1*AC26/AE30))</f>
        <v>25.714285714285715</v>
      </c>
      <c r="AF32" t="s">
        <v>194</v>
      </c>
      <c r="AJ32">
        <f>AJ31+(PI()/2)</f>
        <v>0</v>
      </c>
      <c r="AK32" t="s">
        <v>193</v>
      </c>
    </row>
    <row r="33" spans="1:48" x14ac:dyDescent="0.25">
      <c r="A33">
        <v>9</v>
      </c>
      <c r="B33" s="1">
        <f>B25</f>
        <v>5</v>
      </c>
      <c r="C33" s="1">
        <f>C25</f>
        <v>10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219</v>
      </c>
      <c r="AJ33">
        <f>AJ31-(PI()/2)</f>
        <v>-3.1415926535897931</v>
      </c>
    </row>
    <row r="34" spans="1:48" x14ac:dyDescent="0.25">
      <c r="D34" s="5">
        <f>SUM(D25:D33)</f>
        <v>-60</v>
      </c>
      <c r="E34" s="5"/>
      <c r="F34" s="5"/>
      <c r="G34" s="5"/>
      <c r="H34" s="5"/>
      <c r="I34" s="5"/>
      <c r="J34" s="5"/>
      <c r="V34" s="1" t="s">
        <v>218</v>
      </c>
      <c r="W34" s="3">
        <f>SQRT(D22/W36)</f>
        <v>22.449944320643649</v>
      </c>
      <c r="X34" t="s">
        <v>221</v>
      </c>
      <c r="AD34" t="s">
        <v>197</v>
      </c>
      <c r="AE34">
        <f>AE32/AE29</f>
        <v>0.7142857142857143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200</v>
      </c>
      <c r="W35" s="67">
        <v>5.2105010572168808</v>
      </c>
      <c r="X35" s="1" t="s">
        <v>22</v>
      </c>
      <c r="AE35" t="s">
        <v>189</v>
      </c>
      <c r="AF35" t="s">
        <v>190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213</v>
      </c>
      <c r="W36" s="65">
        <f>W3/W2</f>
        <v>1</v>
      </c>
      <c r="X36" s="63" t="s">
        <v>220</v>
      </c>
      <c r="AE36">
        <f>AE26+(AE34*(AE27-AE26))</f>
        <v>7</v>
      </c>
      <c r="AF36">
        <f>AF26+(AE34*(AF27-AF26))</f>
        <v>10.285714285714285</v>
      </c>
      <c r="AI36">
        <f>MAX(B13:C21)*-1</f>
        <v>-36</v>
      </c>
      <c r="AJ36">
        <f>AE36+(AI36*COS(AJ32))</f>
        <v>-29</v>
      </c>
      <c r="AK36">
        <f>AF36+(AI36*SIN(AJ32))</f>
        <v>10.285714285714285</v>
      </c>
    </row>
    <row r="37" spans="1:48" x14ac:dyDescent="0.25">
      <c r="A37">
        <v>1</v>
      </c>
      <c r="B37" s="7">
        <v>2</v>
      </c>
      <c r="C37" s="7">
        <v>2</v>
      </c>
      <c r="D37" s="13" t="s">
        <v>2</v>
      </c>
      <c r="Q37" s="12">
        <f>IF($D37="y",B37,NA())</f>
        <v>2</v>
      </c>
      <c r="R37" s="12">
        <f>IF($D37="y",C37,NA())</f>
        <v>2</v>
      </c>
      <c r="T37" s="4">
        <f>MAX(MAX(B13:B20),MAX(C13:C20))</f>
        <v>36</v>
      </c>
      <c r="U37" s="1">
        <f>T37</f>
        <v>36</v>
      </c>
      <c r="V37" s="1" t="s">
        <v>214</v>
      </c>
      <c r="W37" s="66">
        <f>W35*(W36*W35)</f>
        <v>27.149321267258234</v>
      </c>
      <c r="X37" s="1" t="s">
        <v>22</v>
      </c>
      <c r="AA37" t="str">
        <f>IF(W44=0,"Reduced Bearing Area","")</f>
        <v/>
      </c>
      <c r="AI37">
        <f>-1*AI36</f>
        <v>36</v>
      </c>
      <c r="AJ37">
        <f>AE36+(AI37*COS(AJ32))</f>
        <v>43</v>
      </c>
      <c r="AK37">
        <f>AF36+(AI37*SIN(AJ32))</f>
        <v>10.285714285714285</v>
      </c>
    </row>
    <row r="38" spans="1:48" x14ac:dyDescent="0.25">
      <c r="A38">
        <v>2</v>
      </c>
      <c r="B38" s="7">
        <v>12</v>
      </c>
      <c r="C38" s="7">
        <v>2</v>
      </c>
      <c r="D38" s="13" t="s">
        <v>2</v>
      </c>
      <c r="Q38" s="12">
        <f t="shared" ref="Q38:Q48" si="46">IF($D38="y",B38,NA())</f>
        <v>12</v>
      </c>
      <c r="R38" s="12">
        <f t="shared" ref="R38:R48" si="47">IF($D38="y",C38,NA())</f>
        <v>2</v>
      </c>
      <c r="V38" s="1" t="s">
        <v>215</v>
      </c>
      <c r="W38" s="3">
        <f>W35*POWER(W36*W35,2)*(1/6)</f>
        <v>23.576927860961625</v>
      </c>
      <c r="X38" s="1" t="s">
        <v>217</v>
      </c>
      <c r="Y38" s="1" t="s">
        <v>1</v>
      </c>
      <c r="Z38" s="1" t="s">
        <v>2</v>
      </c>
      <c r="AA38" s="1" t="s">
        <v>224</v>
      </c>
      <c r="AB38" s="1" t="s">
        <v>225</v>
      </c>
      <c r="AM38" s="9" cm="1">
        <f t="array" ref="AM38">MAX(ABS(AJ36:AJ37),ABS(AE36),ABS(AE26:AE27),ABS(B13:B21),ABS(C13:C21),ABS(AK36:AK37),ABS(AF36),ABS(AF26:AF27))</f>
        <v>43</v>
      </c>
      <c r="AN38" s="9">
        <f>AM38</f>
        <v>43</v>
      </c>
    </row>
    <row r="39" spans="1:48" x14ac:dyDescent="0.25">
      <c r="A39">
        <v>3</v>
      </c>
      <c r="B39" s="7">
        <v>2</v>
      </c>
      <c r="C39" s="7">
        <v>8</v>
      </c>
      <c r="D39" s="13" t="s">
        <v>2</v>
      </c>
      <c r="Q39" s="12">
        <f t="shared" si="46"/>
        <v>2</v>
      </c>
      <c r="R39" s="12">
        <f t="shared" si="47"/>
        <v>8</v>
      </c>
      <c r="V39" s="1" t="s">
        <v>216</v>
      </c>
      <c r="W39" s="3">
        <f>(W36*W35)*POWER(W35,2)*(1/6)</f>
        <v>23.576927860961625</v>
      </c>
      <c r="X39" s="1" t="s">
        <v>217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-43</v>
      </c>
      <c r="AN39">
        <f>AM39</f>
        <v>-43</v>
      </c>
    </row>
    <row r="40" spans="1:48" x14ac:dyDescent="0.25">
      <c r="A40">
        <v>4</v>
      </c>
      <c r="B40" s="7">
        <v>12</v>
      </c>
      <c r="C40" s="7">
        <v>8</v>
      </c>
      <c r="D40" s="13" t="s">
        <v>2</v>
      </c>
      <c r="Q40" s="12">
        <f t="shared" si="46"/>
        <v>12</v>
      </c>
      <c r="R40" s="12">
        <f t="shared" si="47"/>
        <v>8</v>
      </c>
      <c r="W40" s="3">
        <f>(B2/W37)+(B3/W38)+(B4/W39)</f>
        <v>-139.24188124265362</v>
      </c>
      <c r="X40" s="1" t="s">
        <v>11</v>
      </c>
      <c r="Y40" s="5">
        <f>W35</f>
        <v>5.2105010572168808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2</v>
      </c>
      <c r="C41" s="7">
        <v>14</v>
      </c>
      <c r="D41" s="13" t="s">
        <v>2</v>
      </c>
      <c r="Q41" s="12">
        <f t="shared" si="46"/>
        <v>2</v>
      </c>
      <c r="R41" s="12">
        <f t="shared" si="47"/>
        <v>14</v>
      </c>
      <c r="W41" s="3">
        <f>(B2/W37)-(B3/W38)-(B4/W39)</f>
        <v>157.65854790912363</v>
      </c>
      <c r="X41" s="1" t="s">
        <v>11</v>
      </c>
      <c r="Y41" s="5">
        <f>W35</f>
        <v>5.2105010572168808</v>
      </c>
      <c r="Z41" s="5">
        <f>W35*W36</f>
        <v>5.2105010572168808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12</v>
      </c>
      <c r="C42" s="7">
        <v>14</v>
      </c>
      <c r="D42" s="13" t="s">
        <v>2</v>
      </c>
      <c r="Q42" s="12">
        <f t="shared" si="46"/>
        <v>12</v>
      </c>
      <c r="R42" s="12">
        <f t="shared" si="47"/>
        <v>14</v>
      </c>
      <c r="W42" s="3">
        <f>(B2/W37)+(B3/W38)-(B4/W39)</f>
        <v>-139.24188124265362</v>
      </c>
      <c r="X42" s="1" t="s">
        <v>11</v>
      </c>
      <c r="Y42" s="5">
        <v>0</v>
      </c>
      <c r="Z42" s="5">
        <f>Z41</f>
        <v>5.2105010572168808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2</v>
      </c>
      <c r="C43" s="7">
        <v>20</v>
      </c>
      <c r="D43" s="13" t="s">
        <v>2</v>
      </c>
      <c r="Q43" s="12">
        <f t="shared" si="46"/>
        <v>2</v>
      </c>
      <c r="R43" s="12">
        <f t="shared" si="47"/>
        <v>20</v>
      </c>
      <c r="W43" s="3">
        <f>(B2/W37)-(B3/W38)+(B4/W39)</f>
        <v>157.65854790912363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12</v>
      </c>
      <c r="C44" s="7">
        <v>20</v>
      </c>
      <c r="D44" s="13" t="s">
        <v>2</v>
      </c>
      <c r="Q44" s="12">
        <f t="shared" si="46"/>
        <v>12</v>
      </c>
      <c r="R44" s="12">
        <f t="shared" si="47"/>
        <v>20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2</v>
      </c>
      <c r="C45" s="7">
        <v>26</v>
      </c>
      <c r="D45" s="13" t="s">
        <v>2</v>
      </c>
      <c r="Q45" s="12">
        <f t="shared" si="46"/>
        <v>2</v>
      </c>
      <c r="R45" s="12">
        <f t="shared" si="47"/>
        <v>26</v>
      </c>
      <c r="Y45" t="s">
        <v>222</v>
      </c>
      <c r="Z45" s="1">
        <f>Y40/2</f>
        <v>2.6052505286084404</v>
      </c>
      <c r="AC45" s="5" t="e">
        <f>AC44=W37</f>
        <v>#N/A</v>
      </c>
    </row>
    <row r="46" spans="1:48" x14ac:dyDescent="0.25">
      <c r="A46">
        <v>10</v>
      </c>
      <c r="B46" s="7">
        <v>12</v>
      </c>
      <c r="C46" s="7">
        <v>26</v>
      </c>
      <c r="D46" s="13" t="s">
        <v>2</v>
      </c>
      <c r="Q46" s="12">
        <f t="shared" si="46"/>
        <v>12</v>
      </c>
      <c r="R46" s="12">
        <f t="shared" si="47"/>
        <v>26</v>
      </c>
      <c r="Y46" t="s">
        <v>223</v>
      </c>
      <c r="Z46" s="1">
        <f>Z41/2</f>
        <v>2.6052505286084404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2</v>
      </c>
      <c r="C47" s="7">
        <v>32</v>
      </c>
      <c r="D47" s="13" t="s">
        <v>2</v>
      </c>
      <c r="Q47" s="12">
        <f t="shared" si="46"/>
        <v>2</v>
      </c>
      <c r="R47" s="12">
        <f t="shared" si="47"/>
        <v>32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12</v>
      </c>
      <c r="C48" s="7">
        <v>32</v>
      </c>
      <c r="D48" s="13" t="s">
        <v>2</v>
      </c>
      <c r="Q48" s="12">
        <f t="shared" si="46"/>
        <v>12</v>
      </c>
      <c r="R48" s="12">
        <f t="shared" si="47"/>
        <v>32</v>
      </c>
      <c r="AU48">
        <f>IF(AND(AR46=0,AS46=0),0,ATAN2(AU46,AV46))</f>
        <v>-0.46364760900080609</v>
      </c>
      <c r="AV48" t="s">
        <v>192</v>
      </c>
    </row>
    <row r="49" spans="1:48" x14ac:dyDescent="0.25">
      <c r="AU49">
        <f>AU48+(PI()/2)</f>
        <v>1.1071487177940904</v>
      </c>
      <c r="AV49" t="s">
        <v>193</v>
      </c>
    </row>
    <row r="50" spans="1:48" x14ac:dyDescent="0.25">
      <c r="A50" t="s">
        <v>174</v>
      </c>
      <c r="B50" s="13" t="s">
        <v>208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164</v>
      </c>
      <c r="Y52" s="54" t="s">
        <v>163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164</v>
      </c>
      <c r="E54" s="47">
        <v>1</v>
      </c>
      <c r="F54" t="s">
        <v>22</v>
      </c>
      <c r="H54" t="s">
        <v>234</v>
      </c>
      <c r="I54" s="13" t="s">
        <v>235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0.60574540107571861</v>
      </c>
      <c r="C55" t="s">
        <v>67</v>
      </c>
      <c r="D55" s="54" t="s">
        <v>163</v>
      </c>
      <c r="E55" s="1">
        <f ca="1">OFFSET(X52,MATCH(E54,X53:X73,0),1)</f>
        <v>8</v>
      </c>
      <c r="F55" s="7">
        <v>0</v>
      </c>
      <c r="G55" t="s">
        <v>173</v>
      </c>
      <c r="H55" s="48" t="s">
        <v>158</v>
      </c>
      <c r="I55" s="55">
        <f>E164</f>
        <v>-4.5474735088646412E-13</v>
      </c>
      <c r="J55" s="49" t="str">
        <f>F164</f>
        <v>kips</v>
      </c>
      <c r="K55" t="s">
        <v>166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0.60574540107571861</v>
      </c>
      <c r="F56" t="s">
        <v>67</v>
      </c>
      <c r="H56" s="50" t="s">
        <v>159</v>
      </c>
      <c r="I56" s="56">
        <f t="shared" ref="I56:J57" si="53">E165</f>
        <v>4.5474735088646412E-12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171</v>
      </c>
      <c r="H57" s="52" t="s">
        <v>160</v>
      </c>
      <c r="I57" s="57">
        <f t="shared" si="53"/>
        <v>-8.5187612816905889E-12</v>
      </c>
      <c r="J57" s="53" t="str">
        <f t="shared" si="53"/>
        <v>kip-in</v>
      </c>
      <c r="L57" s="1">
        <f>SQRT(POWER(I57,2)+POWER(I56,2)+POWER(I55,2))</f>
        <v>9.6672438803101798E-12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165</v>
      </c>
      <c r="E58" s="3">
        <f>IF(E57="STD",E54+(1/16),E54+(5/16))</f>
        <v>1.0625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162</v>
      </c>
      <c r="E59" s="46">
        <f>PI()*(1/4)*E58*E58</f>
        <v>0.8866408953979007</v>
      </c>
      <c r="F59" t="s">
        <v>67</v>
      </c>
      <c r="H59" s="10" t="s">
        <v>167</v>
      </c>
      <c r="I59" s="2">
        <v>200</v>
      </c>
      <c r="K59" t="s">
        <v>169</v>
      </c>
      <c r="L59" s="58">
        <v>9.9999999999999994E-12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233</v>
      </c>
      <c r="E60" s="13" t="s">
        <v>2</v>
      </c>
      <c r="H60" s="10" t="s">
        <v>168</v>
      </c>
      <c r="I60" s="1">
        <v>97</v>
      </c>
      <c r="L60" s="69">
        <v>1</v>
      </c>
      <c r="M60" s="70" t="str">
        <f>IF(L60=1,"Used Higher Precision for Solution","")</f>
        <v>Used Higher Precision for Solution</v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170</v>
      </c>
      <c r="X63">
        <v>1.5</v>
      </c>
      <c r="Y63">
        <v>6</v>
      </c>
    </row>
    <row r="64" spans="1:48" x14ac:dyDescent="0.25">
      <c r="A64" s="11" t="s">
        <v>39</v>
      </c>
      <c r="B64" s="24"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  <c r="J64" s="3">
        <f>AJ32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19.963642763887208</v>
      </c>
      <c r="C65" t="s">
        <v>22</v>
      </c>
      <c r="D65" t="s">
        <v>29</v>
      </c>
      <c r="J65" s="1">
        <f>AE32</f>
        <v>25.714285714285715</v>
      </c>
      <c r="N65">
        <f>0.5*J65</f>
        <v>12.857142857142858</v>
      </c>
      <c r="P65">
        <f>0.5*Q65</f>
        <v>12.857142857142858</v>
      </c>
      <c r="Q65">
        <f>AE32</f>
        <v>25.714285714285715</v>
      </c>
      <c r="X65">
        <v>2</v>
      </c>
      <c r="Y65">
        <v>4.5</v>
      </c>
    </row>
    <row r="66" spans="1:36" x14ac:dyDescent="0.25">
      <c r="A66" s="11" t="s">
        <v>42</v>
      </c>
      <c r="B66" s="24">
        <v>2.1074401349050813</v>
      </c>
      <c r="C66" t="s">
        <v>11</v>
      </c>
      <c r="D66">
        <f>B66/B53</f>
        <v>5.1725452816428767E-4</v>
      </c>
      <c r="I66" s="20"/>
      <c r="J66" s="4">
        <f>MAX(AC14:AC21)*2</f>
        <v>3.306878306878307</v>
      </c>
      <c r="N66">
        <f>2*J66</f>
        <v>6.6137566137566139</v>
      </c>
      <c r="P66">
        <f>0.5*Q66</f>
        <v>0.82671957671957674</v>
      </c>
      <c r="Q66">
        <f>MAX(AC14:AC21)</f>
        <v>1.6534391534391535</v>
      </c>
      <c r="X66">
        <v>2.25</v>
      </c>
      <c r="Y66">
        <v>4.5</v>
      </c>
    </row>
    <row r="67" spans="1:36" x14ac:dyDescent="0.25">
      <c r="A67" s="1" t="s">
        <v>37</v>
      </c>
      <c r="B67" s="24">
        <v>6.3886198672757395</v>
      </c>
      <c r="C67" t="s">
        <v>36</v>
      </c>
      <c r="D67" t="s">
        <v>122</v>
      </c>
      <c r="G67" s="20">
        <f ca="1">MAX(($B$56*$B$66*$B$55*$E$122)/$B$65,0)</f>
        <v>6.3886198672757253</v>
      </c>
      <c r="H67" t="s">
        <v>36</v>
      </c>
      <c r="I67">
        <f ca="1">IF(B67=0,0,1-G67/B67)</f>
        <v>2.2204460492503131E-15</v>
      </c>
      <c r="Q67">
        <v>0</v>
      </c>
      <c r="X67">
        <v>2.5</v>
      </c>
      <c r="Y67">
        <v>4</v>
      </c>
    </row>
    <row r="68" spans="1:36" x14ac:dyDescent="0.25">
      <c r="N68" t="s">
        <v>205</v>
      </c>
      <c r="P68" t="s">
        <v>206</v>
      </c>
      <c r="X68">
        <v>2.75</v>
      </c>
      <c r="Y68">
        <v>4</v>
      </c>
      <c r="AE68" t="s">
        <v>228</v>
      </c>
      <c r="AF68" t="s">
        <v>229</v>
      </c>
      <c r="AG68" t="s">
        <v>230</v>
      </c>
      <c r="AH68" t="s">
        <v>229</v>
      </c>
      <c r="AI68" t="s">
        <v>231</v>
      </c>
      <c r="AJ68" t="s">
        <v>229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-18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</v>
      </c>
      <c r="J73" s="4">
        <f>C25-$C$9</f>
        <v>-8</v>
      </c>
      <c r="Q73" cm="1">
        <f t="array" ref="Q73">(-1*MAX(ABS(B84:C91)))-1</f>
        <v>-19.000000000000114</v>
      </c>
      <c r="R73">
        <f>Q73</f>
        <v>-19.000000000000114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7</v>
      </c>
      <c r="C74" s="4">
        <f t="shared" si="56"/>
        <v>-18</v>
      </c>
      <c r="H74" s="1">
        <f t="shared" si="57"/>
        <v>2</v>
      </c>
      <c r="I74" s="4">
        <f t="shared" ref="I74:I81" si="58">B26-$B$9</f>
        <v>-2</v>
      </c>
      <c r="J74" s="4">
        <f t="shared" ref="J74:J81" si="59">C26-$C$9</f>
        <v>7</v>
      </c>
      <c r="Q74">
        <f>-1*Q73</f>
        <v>19.000000000000114</v>
      </c>
      <c r="R74">
        <f>Q74</f>
        <v>19.000000000000114</v>
      </c>
    </row>
    <row r="75" spans="1:36" x14ac:dyDescent="0.25">
      <c r="A75" s="1">
        <f t="shared" si="54"/>
        <v>3</v>
      </c>
      <c r="B75" s="4">
        <f t="shared" si="55"/>
        <v>7</v>
      </c>
      <c r="C75" s="4">
        <f t="shared" si="56"/>
        <v>18</v>
      </c>
      <c r="H75" s="1">
        <f t="shared" si="57"/>
        <v>3</v>
      </c>
      <c r="I75" s="4">
        <f t="shared" si="58"/>
        <v>2</v>
      </c>
      <c r="J75" s="4">
        <f t="shared" si="59"/>
        <v>7</v>
      </c>
    </row>
    <row r="76" spans="1:36" x14ac:dyDescent="0.25">
      <c r="A76" s="1">
        <f t="shared" si="54"/>
        <v>4</v>
      </c>
      <c r="B76" s="4">
        <f t="shared" si="55"/>
        <v>-7</v>
      </c>
      <c r="C76" s="4">
        <f t="shared" si="56"/>
        <v>18</v>
      </c>
      <c r="H76" s="1">
        <f t="shared" si="57"/>
        <v>4</v>
      </c>
      <c r="I76" s="4">
        <f t="shared" si="58"/>
        <v>2</v>
      </c>
      <c r="J76" s="4">
        <f t="shared" si="59"/>
        <v>-8</v>
      </c>
    </row>
    <row r="77" spans="1:36" x14ac:dyDescent="0.25">
      <c r="A77" s="1">
        <f t="shared" si="54"/>
        <v>5</v>
      </c>
      <c r="B77" s="4">
        <f t="shared" si="55"/>
        <v>-7</v>
      </c>
      <c r="C77" s="4">
        <f t="shared" si="56"/>
        <v>-18</v>
      </c>
      <c r="H77" s="1">
        <f t="shared" si="57"/>
        <v>5</v>
      </c>
      <c r="I77" s="4">
        <f t="shared" si="58"/>
        <v>-2</v>
      </c>
      <c r="J77" s="4">
        <f t="shared" si="59"/>
        <v>-8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-7</v>
      </c>
      <c r="C78" s="4">
        <f t="shared" si="56"/>
        <v>-18</v>
      </c>
      <c r="H78" s="1">
        <f t="shared" si="57"/>
        <v>6</v>
      </c>
      <c r="I78" s="4">
        <f t="shared" si="58"/>
        <v>-2</v>
      </c>
      <c r="J78" s="4">
        <f t="shared" si="59"/>
        <v>-8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-7</v>
      </c>
      <c r="C79" s="4">
        <f t="shared" si="56"/>
        <v>-18</v>
      </c>
      <c r="H79" s="1">
        <f t="shared" si="57"/>
        <v>7</v>
      </c>
      <c r="I79" s="4">
        <f t="shared" si="58"/>
        <v>-2</v>
      </c>
      <c r="J79" s="4">
        <f t="shared" si="59"/>
        <v>-8</v>
      </c>
      <c r="Q79">
        <f>(I126*COS(-1*$B$64))+(J126*SIN(-1*$B$64))</f>
        <v>-8.0000000000003233</v>
      </c>
      <c r="R79">
        <f>(-1*I126*SIN(-1*$B$64))+(J126*COS(-1*$B$64))</f>
        <v>-1.9636427638869649</v>
      </c>
    </row>
    <row r="80" spans="1:36" x14ac:dyDescent="0.25">
      <c r="A80" s="1">
        <f t="shared" si="54"/>
        <v>8</v>
      </c>
      <c r="B80" s="4">
        <f t="shared" si="55"/>
        <v>-7</v>
      </c>
      <c r="C80" s="4">
        <f t="shared" si="56"/>
        <v>-18</v>
      </c>
      <c r="H80" s="1">
        <f t="shared" si="57"/>
        <v>8</v>
      </c>
      <c r="I80" s="4">
        <f t="shared" si="58"/>
        <v>-2</v>
      </c>
      <c r="J80" s="4">
        <f t="shared" si="59"/>
        <v>-8</v>
      </c>
      <c r="Q80">
        <f>(I127*COS(-1*$B$64))+(J127*SIN(-1*$B$64))</f>
        <v>8.0000000000002593</v>
      </c>
      <c r="R80">
        <f>(-1*I127*SIN(-1*$B$64))+(J127*COS(-1*$B$64))</f>
        <v>-1.9636427638872234</v>
      </c>
    </row>
    <row r="81" spans="1:18" x14ac:dyDescent="0.25">
      <c r="A81" s="1">
        <f t="shared" si="54"/>
        <v>9</v>
      </c>
      <c r="B81" s="4">
        <f t="shared" si="55"/>
        <v>-7</v>
      </c>
      <c r="C81" s="4">
        <f t="shared" si="56"/>
        <v>-18</v>
      </c>
      <c r="H81" s="1">
        <f t="shared" si="57"/>
        <v>9</v>
      </c>
      <c r="I81" s="4">
        <f t="shared" si="58"/>
        <v>-2</v>
      </c>
      <c r="J81" s="4">
        <f t="shared" si="59"/>
        <v>-8</v>
      </c>
    </row>
    <row r="82" spans="1:18" x14ac:dyDescent="0.25">
      <c r="A82" t="s">
        <v>30</v>
      </c>
      <c r="B82" s="9"/>
      <c r="H82" t="s">
        <v>139</v>
      </c>
      <c r="Q82" s="4">
        <f>Q79+$B$9</f>
        <v>-1.0000000000003233</v>
      </c>
      <c r="R82" s="4">
        <f>R79+$C$9</f>
        <v>16.036357236113034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15.000000000000259</v>
      </c>
      <c r="R83" s="4">
        <f>R80+$C$9</f>
        <v>16.036357236112778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-6.9999999999997087</v>
      </c>
      <c r="C84" s="1">
        <f t="shared" ref="C84:C92" si="62">(-1*B73*SIN($B$64))+(C73*COS($B$64))</f>
        <v>-18.000000000000114</v>
      </c>
      <c r="H84" s="1">
        <f t="shared" ref="H84:H92" si="63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8" x14ac:dyDescent="0.25">
      <c r="A85" s="1">
        <f t="shared" si="60"/>
        <v>2</v>
      </c>
      <c r="B85" s="4">
        <f t="shared" si="61"/>
        <v>7.0000000000002913</v>
      </c>
      <c r="C85" s="1">
        <f t="shared" si="62"/>
        <v>-17.999999999999886</v>
      </c>
      <c r="H85" s="1">
        <f t="shared" si="63"/>
        <v>2</v>
      </c>
      <c r="I85" s="4">
        <f t="shared" ref="I85:I92" si="64">(I74*COS($B$64))+(J74*SIN($B$64))</f>
        <v>-2.0000000000001132</v>
      </c>
      <c r="J85" s="1">
        <f t="shared" ref="J85:J92" si="65">(-1*I74*SIN($B$64))+(J74*COS($B$64))</f>
        <v>6.999999999999968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6.9999999999997087</v>
      </c>
      <c r="C86" s="1">
        <f t="shared" si="62"/>
        <v>18.000000000000114</v>
      </c>
      <c r="H86" s="1">
        <f t="shared" si="63"/>
        <v>3</v>
      </c>
      <c r="I86" s="4">
        <f t="shared" si="64"/>
        <v>1.999999999999887</v>
      </c>
      <c r="J86" s="1">
        <f t="shared" si="65"/>
        <v>7.000000000000032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-7.0000000000002913</v>
      </c>
      <c r="C87" s="1">
        <f t="shared" si="62"/>
        <v>17.999999999999886</v>
      </c>
      <c r="H87" s="1">
        <f t="shared" si="63"/>
        <v>4</v>
      </c>
      <c r="I87" s="4">
        <f t="shared" si="64"/>
        <v>2.0000000000001292</v>
      </c>
      <c r="J87" s="1">
        <f t="shared" si="65"/>
        <v>-7.999999999999968</v>
      </c>
      <c r="Q87">
        <f>(P142*COS(-1*$B$64))+(P143*SIN(-1*$B$64))</f>
        <v>2.6236563209144915E-14</v>
      </c>
      <c r="R87">
        <f>(-1*P142*SIN(-1*$B$64))+(P143*COS(-1*$B$64))</f>
        <v>11.345452412037636</v>
      </c>
    </row>
    <row r="88" spans="1:18" x14ac:dyDescent="0.25">
      <c r="A88" s="1">
        <f t="shared" si="60"/>
        <v>5</v>
      </c>
      <c r="B88" s="4">
        <f t="shared" si="61"/>
        <v>-6.9999999999997087</v>
      </c>
      <c r="C88" s="1">
        <f t="shared" si="62"/>
        <v>-18.000000000000114</v>
      </c>
      <c r="H88" s="1">
        <f t="shared" si="63"/>
        <v>5</v>
      </c>
      <c r="I88" s="4">
        <f t="shared" si="64"/>
        <v>-1.9999999999998708</v>
      </c>
      <c r="J88" s="1">
        <f t="shared" si="65"/>
        <v>-8.000000000000032</v>
      </c>
    </row>
    <row r="89" spans="1:18" x14ac:dyDescent="0.25">
      <c r="A89" s="1">
        <f t="shared" si="60"/>
        <v>6</v>
      </c>
      <c r="B89" s="4">
        <f t="shared" si="61"/>
        <v>-6.9999999999997087</v>
      </c>
      <c r="C89" s="1">
        <f t="shared" si="62"/>
        <v>-18.000000000000114</v>
      </c>
      <c r="H89" s="1">
        <f t="shared" si="63"/>
        <v>6</v>
      </c>
      <c r="I89" s="4">
        <f t="shared" si="64"/>
        <v>-1.9999999999998708</v>
      </c>
      <c r="J89" s="1">
        <f t="shared" si="65"/>
        <v>-8.000000000000032</v>
      </c>
    </row>
    <row r="90" spans="1:18" x14ac:dyDescent="0.25">
      <c r="A90" s="1">
        <f t="shared" si="60"/>
        <v>7</v>
      </c>
      <c r="B90" s="4">
        <f t="shared" si="61"/>
        <v>-6.9999999999997087</v>
      </c>
      <c r="C90" s="1">
        <f t="shared" si="62"/>
        <v>-18.000000000000114</v>
      </c>
      <c r="H90" s="1">
        <f t="shared" si="63"/>
        <v>7</v>
      </c>
      <c r="I90" s="4">
        <f t="shared" si="64"/>
        <v>-1.9999999999998708</v>
      </c>
      <c r="J90" s="1">
        <f t="shared" si="65"/>
        <v>-8.000000000000032</v>
      </c>
      <c r="Q90" s="4">
        <f>Q87+$B$9</f>
        <v>7.0000000000000266</v>
      </c>
      <c r="R90" s="4">
        <f>R87+$C$9</f>
        <v>29.345452412037638</v>
      </c>
    </row>
    <row r="91" spans="1:18" x14ac:dyDescent="0.25">
      <c r="A91" s="1">
        <f t="shared" si="60"/>
        <v>8</v>
      </c>
      <c r="B91" s="4">
        <f t="shared" si="61"/>
        <v>-6.9999999999997087</v>
      </c>
      <c r="C91" s="1">
        <f t="shared" si="62"/>
        <v>-18.000000000000114</v>
      </c>
      <c r="H91" s="1">
        <f t="shared" si="63"/>
        <v>8</v>
      </c>
      <c r="I91" s="4">
        <f t="shared" si="64"/>
        <v>-1.9999999999998708</v>
      </c>
      <c r="J91" s="1">
        <f t="shared" si="65"/>
        <v>-8.000000000000032</v>
      </c>
    </row>
    <row r="92" spans="1:18" x14ac:dyDescent="0.25">
      <c r="A92" s="1">
        <f t="shared" si="60"/>
        <v>9</v>
      </c>
      <c r="B92" s="4">
        <f t="shared" si="61"/>
        <v>-6.9999999999997087</v>
      </c>
      <c r="C92" s="1">
        <f t="shared" si="62"/>
        <v>-18.000000000000114</v>
      </c>
      <c r="H92" s="1">
        <f t="shared" si="63"/>
        <v>9</v>
      </c>
      <c r="I92" s="4">
        <f t="shared" si="64"/>
        <v>-1.9999999999998708</v>
      </c>
      <c r="J92" s="1">
        <f t="shared" si="65"/>
        <v>-8.000000000000032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4.8356290037777407E-15</v>
      </c>
      <c r="R94">
        <f>(-1*P156*SIN(-1*$B$64))+(P157*COS(-1*$B$64))</f>
        <v>4.012119078704302</v>
      </c>
    </row>
    <row r="95" spans="1:18" x14ac:dyDescent="0.25">
      <c r="A95">
        <f t="shared" ref="A95:A106" si="66">A37</f>
        <v>1</v>
      </c>
      <c r="B95" s="4">
        <f t="shared" ref="B95:B106" si="67">B37-$B$9</f>
        <v>-5</v>
      </c>
      <c r="C95" s="4">
        <f t="shared" ref="C95:C106" si="68">C37-$C$9</f>
        <v>-16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5</v>
      </c>
      <c r="C96" s="4">
        <f t="shared" si="68"/>
        <v>-16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-5</v>
      </c>
      <c r="C97" s="4">
        <f t="shared" si="68"/>
        <v>-10</v>
      </c>
      <c r="D97" t="str">
        <f t="shared" si="69"/>
        <v>y</v>
      </c>
      <c r="Q97" s="4">
        <f>Q94+$B$9</f>
        <v>7.0000000000000044</v>
      </c>
      <c r="R97" s="4">
        <f>R94+$C$9</f>
        <v>22.012119078704302</v>
      </c>
    </row>
    <row r="98" spans="1:28" x14ac:dyDescent="0.25">
      <c r="A98">
        <f t="shared" si="66"/>
        <v>4</v>
      </c>
      <c r="B98" s="4">
        <f t="shared" si="67"/>
        <v>5</v>
      </c>
      <c r="C98" s="4">
        <f t="shared" si="68"/>
        <v>-10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-5</v>
      </c>
      <c r="C99" s="4">
        <f t="shared" si="68"/>
        <v>-4</v>
      </c>
      <c r="D99" t="str">
        <f t="shared" si="69"/>
        <v>y</v>
      </c>
    </row>
    <row r="100" spans="1:28" x14ac:dyDescent="0.25">
      <c r="A100">
        <f t="shared" si="66"/>
        <v>6</v>
      </c>
      <c r="B100" s="4">
        <f t="shared" si="67"/>
        <v>5</v>
      </c>
      <c r="C100" s="4">
        <f t="shared" si="68"/>
        <v>-4</v>
      </c>
      <c r="D100" t="str">
        <f t="shared" si="69"/>
        <v>y</v>
      </c>
    </row>
    <row r="101" spans="1:28" x14ac:dyDescent="0.25">
      <c r="A101">
        <f t="shared" si="66"/>
        <v>7</v>
      </c>
      <c r="B101" s="4">
        <f t="shared" si="67"/>
        <v>-5</v>
      </c>
      <c r="C101" s="4">
        <f t="shared" si="68"/>
        <v>2</v>
      </c>
      <c r="D101" t="str">
        <f t="shared" si="69"/>
        <v>y</v>
      </c>
    </row>
    <row r="102" spans="1:28" x14ac:dyDescent="0.25">
      <c r="A102">
        <f t="shared" si="66"/>
        <v>8</v>
      </c>
      <c r="B102" s="4">
        <f t="shared" si="67"/>
        <v>5</v>
      </c>
      <c r="C102" s="4">
        <f t="shared" si="68"/>
        <v>2</v>
      </c>
      <c r="D102" t="str">
        <f t="shared" si="69"/>
        <v>y</v>
      </c>
    </row>
    <row r="103" spans="1:28" x14ac:dyDescent="0.25">
      <c r="A103">
        <f t="shared" si="66"/>
        <v>9</v>
      </c>
      <c r="B103" s="4">
        <f t="shared" si="67"/>
        <v>-5</v>
      </c>
      <c r="C103" s="4">
        <f t="shared" si="68"/>
        <v>8</v>
      </c>
      <c r="D103" t="str">
        <f t="shared" si="69"/>
        <v>y</v>
      </c>
    </row>
    <row r="104" spans="1:28" x14ac:dyDescent="0.25">
      <c r="A104">
        <f t="shared" si="66"/>
        <v>10</v>
      </c>
      <c r="B104" s="4">
        <f t="shared" si="67"/>
        <v>5</v>
      </c>
      <c r="C104" s="4">
        <f t="shared" si="68"/>
        <v>8</v>
      </c>
      <c r="D104" t="str">
        <f t="shared" si="69"/>
        <v>y</v>
      </c>
    </row>
    <row r="105" spans="1:28" x14ac:dyDescent="0.25">
      <c r="A105">
        <f t="shared" si="66"/>
        <v>11</v>
      </c>
      <c r="B105" s="4">
        <f t="shared" si="67"/>
        <v>-5</v>
      </c>
      <c r="C105" s="4">
        <f t="shared" si="68"/>
        <v>14</v>
      </c>
      <c r="D105" t="str">
        <f t="shared" si="69"/>
        <v>y</v>
      </c>
    </row>
    <row r="106" spans="1:28" x14ac:dyDescent="0.25">
      <c r="A106">
        <f t="shared" si="66"/>
        <v>12</v>
      </c>
      <c r="B106" s="4">
        <f t="shared" si="67"/>
        <v>5</v>
      </c>
      <c r="C106" s="4">
        <f t="shared" si="68"/>
        <v>14</v>
      </c>
      <c r="D106" t="str">
        <f t="shared" si="69"/>
        <v>y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  <c r="Q109" s="1" t="s">
        <v>27</v>
      </c>
      <c r="R109" s="1" t="s">
        <v>28</v>
      </c>
      <c r="Y109" t="s">
        <v>161</v>
      </c>
      <c r="AB109" t="s">
        <v>172</v>
      </c>
    </row>
    <row r="110" spans="1:28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70">D95</f>
        <v>y</v>
      </c>
      <c r="E110" s="4">
        <f t="shared" ref="E110:E121" si="71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>IF(OR($E$122=0,$B$67&lt;0),0,-1*MAX(($B$67/$E$122)*(E110),0))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72">IFERROR(($D$66/$B$65)*(G110-$B$125),0)</f>
        <v>-3.6367958619478471E-4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-4.9999999999997415</v>
      </c>
      <c r="R110">
        <f>IF($H110&lt;0,G110,NA())</f>
        <v>-16.000000000000082</v>
      </c>
      <c r="T110">
        <f>(Q110*COS(-1*$B$64))+(R110*SIN(-1*$B$64))</f>
        <v>-5</v>
      </c>
      <c r="U110">
        <f>(-1*Q110*SIN(-1*$B$64))+(R110*COS(-1*$B$64))</f>
        <v>-16</v>
      </c>
      <c r="W110" s="4">
        <f>T110+$B$9</f>
        <v>2</v>
      </c>
      <c r="X110" s="4">
        <f>U110+$C$9</f>
        <v>2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6.3886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5.0000000000002585</v>
      </c>
      <c r="C111" s="1">
        <f t="shared" ref="C111:C121" si="78">(-1*B96*SIN($B$64))+(C96*COS($B$64))</f>
        <v>-15.99999999999992</v>
      </c>
      <c r="D111" t="str">
        <f t="shared" si="76"/>
        <v>y</v>
      </c>
      <c r="E111" s="4">
        <f t="shared" si="71"/>
        <v>14.036357236112826</v>
      </c>
      <c r="F111" s="1">
        <f t="shared" ref="F111:F121" si="79">IF($D111="y",B111,NA())</f>
        <v>5.0000000000002585</v>
      </c>
      <c r="G111" s="1">
        <f t="shared" ref="G111:G121" si="80">IF($D111="y",C111,NA())</f>
        <v>-15.99999999999992</v>
      </c>
      <c r="H111">
        <f t="shared" ref="H111:H121" si="81">IF(OR($E$122=0,$B$67&lt;0),0,-1*MAX(($B$67/$E$122)*(E111),0))</f>
        <v>-6.3886198672756667</v>
      </c>
      <c r="I111">
        <f t="shared" ref="I111:I121" si="82">H111*C111</f>
        <v>102.21791787641016</v>
      </c>
      <c r="J111">
        <f t="shared" ref="J111:J121" si="83">H111*B111*-1</f>
        <v>31.943099336379984</v>
      </c>
      <c r="K111">
        <f ca="1">H111/$B$55</f>
        <v>-10.546707999648659</v>
      </c>
      <c r="L111">
        <f t="shared" ref="L111:L121" ca="1" si="84">K111/$B$54</f>
        <v>-3.6367958619478135E-4</v>
      </c>
      <c r="M111">
        <f t="shared" si="72"/>
        <v>-3.6367958619478054E-4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5.0000000000002585</v>
      </c>
      <c r="R111">
        <f t="shared" ref="R111:R121" si="88">IF($H111&lt;0,G111,NA())</f>
        <v>-15.99999999999992</v>
      </c>
      <c r="T111">
        <f t="shared" ref="T111:T121" si="89">(Q111*COS(-1*$B$64))+(R111*SIN(-1*$B$64))</f>
        <v>5</v>
      </c>
      <c r="U111">
        <f t="shared" ref="U111:U121" si="90">(-1*Q111*SIN(-1*$B$64))+(R111*COS(-1*$B$64))</f>
        <v>-16</v>
      </c>
      <c r="W111" s="4">
        <f t="shared" ref="W111:W121" si="91">T111+$B$9</f>
        <v>12</v>
      </c>
      <c r="X111" s="4">
        <f t="shared" ref="X111:X121" si="92">U111+$C$9</f>
        <v>2</v>
      </c>
      <c r="Y111">
        <f t="shared" si="74"/>
        <v>0</v>
      </c>
      <c r="AB111" t="str">
        <f t="shared" si="75"/>
        <v xml:space="preserve">
6.3886 kips</v>
      </c>
    </row>
    <row r="112" spans="1:28" x14ac:dyDescent="0.25">
      <c r="A112">
        <f t="shared" ref="A112:D112" si="93">A97</f>
        <v>3</v>
      </c>
      <c r="B112" s="1">
        <f t="shared" si="77"/>
        <v>-4.9999999999998384</v>
      </c>
      <c r="C112" s="1">
        <f t="shared" si="78"/>
        <v>-10.00000000000008</v>
      </c>
      <c r="D112" t="str">
        <f t="shared" si="93"/>
        <v>y</v>
      </c>
      <c r="E112" s="4">
        <f t="shared" si="71"/>
        <v>8.0363572361129858</v>
      </c>
      <c r="F112" s="1">
        <f t="shared" si="79"/>
        <v>-4.9999999999998384</v>
      </c>
      <c r="G112" s="1">
        <f t="shared" si="80"/>
        <v>-10.00000000000008</v>
      </c>
      <c r="H112">
        <f t="shared" si="81"/>
        <v>-3.6577318912249503</v>
      </c>
      <c r="I112">
        <f t="shared" si="82"/>
        <v>36.577318912249794</v>
      </c>
      <c r="J112">
        <f t="shared" si="83"/>
        <v>-18.288659456124162</v>
      </c>
      <c r="K112">
        <f t="shared" ref="K112:K121" ca="1" si="94">H112/$B$55</f>
        <v>-6.0383981202817774</v>
      </c>
      <c r="L112">
        <f t="shared" ca="1" si="84"/>
        <v>-2.0822062483730268E-4</v>
      </c>
      <c r="M112">
        <f t="shared" si="72"/>
        <v>-2.0822062483730221E-4</v>
      </c>
      <c r="N112">
        <f t="shared" si="73"/>
        <v>0</v>
      </c>
      <c r="O112">
        <f t="shared" si="85"/>
        <v>0</v>
      </c>
      <c r="P112">
        <f t="shared" si="86"/>
        <v>0</v>
      </c>
      <c r="Q112">
        <f t="shared" si="87"/>
        <v>-4.9999999999998384</v>
      </c>
      <c r="R112">
        <f t="shared" si="88"/>
        <v>-10.00000000000008</v>
      </c>
      <c r="T112">
        <f t="shared" si="89"/>
        <v>-5</v>
      </c>
      <c r="U112">
        <f t="shared" si="90"/>
        <v>-10</v>
      </c>
      <c r="W112" s="4">
        <f t="shared" si="91"/>
        <v>2</v>
      </c>
      <c r="X112" s="4">
        <f t="shared" si="92"/>
        <v>8</v>
      </c>
      <c r="Y112">
        <f t="shared" si="74"/>
        <v>0</v>
      </c>
      <c r="AB112" t="str">
        <f t="shared" si="75"/>
        <v xml:space="preserve">
3.6577 kips</v>
      </c>
    </row>
    <row r="113" spans="1:28" x14ac:dyDescent="0.25">
      <c r="A113">
        <f t="shared" ref="A113:D113" si="95">A98</f>
        <v>4</v>
      </c>
      <c r="B113" s="1">
        <f t="shared" si="77"/>
        <v>5.0000000000001616</v>
      </c>
      <c r="C113" s="1">
        <f t="shared" si="78"/>
        <v>-9.9999999999999201</v>
      </c>
      <c r="D113" t="str">
        <f t="shared" si="95"/>
        <v>y</v>
      </c>
      <c r="E113" s="4">
        <f t="shared" si="71"/>
        <v>8.0363572361128259</v>
      </c>
      <c r="F113" s="1">
        <f t="shared" si="79"/>
        <v>5.0000000000001616</v>
      </c>
      <c r="G113" s="1">
        <f t="shared" si="80"/>
        <v>-9.9999999999999201</v>
      </c>
      <c r="H113">
        <f t="shared" si="81"/>
        <v>-3.6577318912248775</v>
      </c>
      <c r="I113">
        <f t="shared" si="82"/>
        <v>36.577318912248479</v>
      </c>
      <c r="J113">
        <f t="shared" si="83"/>
        <v>18.288659456124979</v>
      </c>
      <c r="K113">
        <f t="shared" ca="1" si="94"/>
        <v>-6.0383981202816566</v>
      </c>
      <c r="L113">
        <f t="shared" ca="1" si="84"/>
        <v>-2.082206248372985E-4</v>
      </c>
      <c r="M113">
        <f t="shared" si="72"/>
        <v>-2.0822062483729807E-4</v>
      </c>
      <c r="N113">
        <f t="shared" si="73"/>
        <v>0</v>
      </c>
      <c r="O113">
        <f t="shared" si="85"/>
        <v>0</v>
      </c>
      <c r="P113">
        <f t="shared" si="86"/>
        <v>0</v>
      </c>
      <c r="Q113">
        <f t="shared" si="87"/>
        <v>5.0000000000001616</v>
      </c>
      <c r="R113">
        <f t="shared" si="88"/>
        <v>-9.9999999999999201</v>
      </c>
      <c r="T113">
        <f t="shared" si="89"/>
        <v>5</v>
      </c>
      <c r="U113">
        <f t="shared" si="90"/>
        <v>-10</v>
      </c>
      <c r="W113" s="4">
        <f t="shared" si="91"/>
        <v>12</v>
      </c>
      <c r="X113" s="4">
        <f t="shared" si="92"/>
        <v>8</v>
      </c>
      <c r="Y113">
        <f t="shared" si="74"/>
        <v>0</v>
      </c>
      <c r="AB113" t="str">
        <f t="shared" si="75"/>
        <v xml:space="preserve">
3.6577 kips</v>
      </c>
    </row>
    <row r="114" spans="1:28" x14ac:dyDescent="0.25">
      <c r="A114">
        <f t="shared" ref="A114:D114" si="96">A99</f>
        <v>5</v>
      </c>
      <c r="B114" s="1">
        <f t="shared" si="77"/>
        <v>-4.9999999999999352</v>
      </c>
      <c r="C114" s="1">
        <f t="shared" si="78"/>
        <v>-4.0000000000000808</v>
      </c>
      <c r="D114" t="str">
        <f t="shared" si="96"/>
        <v>y</v>
      </c>
      <c r="E114" s="4">
        <f t="shared" si="71"/>
        <v>2.0363572361129867</v>
      </c>
      <c r="F114" s="1">
        <f t="shared" si="79"/>
        <v>-4.9999999999999352</v>
      </c>
      <c r="G114" s="1">
        <f t="shared" si="80"/>
        <v>-4.0000000000000808</v>
      </c>
      <c r="H114">
        <f t="shared" si="81"/>
        <v>-0.92684391517416209</v>
      </c>
      <c r="I114">
        <f t="shared" si="82"/>
        <v>3.7073756606967234</v>
      </c>
      <c r="J114">
        <f t="shared" si="83"/>
        <v>-4.6342195758707501</v>
      </c>
      <c r="K114">
        <f t="shared" ca="1" si="94"/>
        <v>-1.5300882409147765</v>
      </c>
      <c r="L114">
        <f t="shared" ca="1" si="84"/>
        <v>-5.2761663479819877E-5</v>
      </c>
      <c r="M114">
        <f t="shared" si="72"/>
        <v>-5.2761663479819769E-5</v>
      </c>
      <c r="N114">
        <f t="shared" si="73"/>
        <v>0</v>
      </c>
      <c r="O114">
        <f t="shared" si="85"/>
        <v>0</v>
      </c>
      <c r="P114">
        <f t="shared" si="86"/>
        <v>0</v>
      </c>
      <c r="Q114">
        <f t="shared" si="87"/>
        <v>-4.9999999999999352</v>
      </c>
      <c r="R114">
        <f t="shared" si="88"/>
        <v>-4.0000000000000808</v>
      </c>
      <c r="T114">
        <f t="shared" si="89"/>
        <v>-5</v>
      </c>
      <c r="U114">
        <f t="shared" si="90"/>
        <v>-4</v>
      </c>
      <c r="W114" s="4">
        <f t="shared" si="91"/>
        <v>2</v>
      </c>
      <c r="X114" s="4">
        <f t="shared" si="92"/>
        <v>14</v>
      </c>
      <c r="Y114">
        <f t="shared" si="74"/>
        <v>0</v>
      </c>
      <c r="AB114" t="str">
        <f t="shared" si="75"/>
        <v xml:space="preserve">
0.9268 kips</v>
      </c>
    </row>
    <row r="115" spans="1:28" x14ac:dyDescent="0.25">
      <c r="A115">
        <f t="shared" ref="A115:D115" si="97">A100</f>
        <v>6</v>
      </c>
      <c r="B115" s="1">
        <f t="shared" si="77"/>
        <v>5.0000000000000648</v>
      </c>
      <c r="C115" s="1">
        <f t="shared" si="78"/>
        <v>-3.9999999999999192</v>
      </c>
      <c r="D115" t="str">
        <f t="shared" si="97"/>
        <v>y</v>
      </c>
      <c r="E115" s="4">
        <f t="shared" si="71"/>
        <v>2.036357236112825</v>
      </c>
      <c r="F115" s="1">
        <f t="shared" si="79"/>
        <v>5.0000000000000648</v>
      </c>
      <c r="G115" s="1">
        <f t="shared" si="80"/>
        <v>-3.9999999999999192</v>
      </c>
      <c r="H115">
        <f t="shared" si="81"/>
        <v>-0.92684391517408848</v>
      </c>
      <c r="I115">
        <f t="shared" si="82"/>
        <v>3.7073756606962789</v>
      </c>
      <c r="J115">
        <f t="shared" si="83"/>
        <v>4.6342195758705023</v>
      </c>
      <c r="K115">
        <f t="shared" ca="1" si="94"/>
        <v>-1.530088240914655</v>
      </c>
      <c r="L115">
        <f t="shared" ca="1" si="84"/>
        <v>-5.276166347981569E-5</v>
      </c>
      <c r="M115">
        <f t="shared" si="72"/>
        <v>-5.2761663479815581E-5</v>
      </c>
      <c r="N115">
        <f t="shared" si="73"/>
        <v>0</v>
      </c>
      <c r="O115">
        <f t="shared" si="85"/>
        <v>0</v>
      </c>
      <c r="P115">
        <f t="shared" si="86"/>
        <v>0</v>
      </c>
      <c r="Q115">
        <f t="shared" si="87"/>
        <v>5.0000000000000648</v>
      </c>
      <c r="R115">
        <f t="shared" si="88"/>
        <v>-3.9999999999999192</v>
      </c>
      <c r="T115">
        <f t="shared" si="89"/>
        <v>5</v>
      </c>
      <c r="U115">
        <f t="shared" si="90"/>
        <v>-4</v>
      </c>
      <c r="W115" s="4">
        <f t="shared" si="91"/>
        <v>12</v>
      </c>
      <c r="X115" s="4">
        <f t="shared" si="92"/>
        <v>14</v>
      </c>
      <c r="Y115">
        <f t="shared" si="74"/>
        <v>0</v>
      </c>
      <c r="AB115" t="str">
        <f t="shared" si="75"/>
        <v xml:space="preserve">
0.9268 kips</v>
      </c>
    </row>
    <row r="116" spans="1:28" x14ac:dyDescent="0.25">
      <c r="A116">
        <f t="shared" ref="A116:D116" si="98">A101</f>
        <v>7</v>
      </c>
      <c r="B116" s="1">
        <f t="shared" si="77"/>
        <v>-5.000000000000032</v>
      </c>
      <c r="C116" s="1">
        <f t="shared" si="78"/>
        <v>1.9999999999999192</v>
      </c>
      <c r="D116" t="str">
        <f t="shared" si="98"/>
        <v>y</v>
      </c>
      <c r="E116" s="4">
        <f t="shared" si="71"/>
        <v>-3.9636427638870133</v>
      </c>
      <c r="F116" s="1">
        <f t="shared" si="79"/>
        <v>-5.000000000000032</v>
      </c>
      <c r="G116" s="1">
        <f t="shared" si="80"/>
        <v>1.9999999999999192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1.026972978776627E-4</v>
      </c>
      <c r="N116">
        <f t="shared" si="73"/>
        <v>0.37098617099291842</v>
      </c>
      <c r="O116">
        <f t="shared" si="85"/>
        <v>0.74197234198580686</v>
      </c>
      <c r="P116">
        <f t="shared" si="86"/>
        <v>1.854930854964604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4.999999999999968</v>
      </c>
      <c r="C117" s="1">
        <f t="shared" si="78"/>
        <v>2.0000000000000808</v>
      </c>
      <c r="D117" t="str">
        <f t="shared" si="99"/>
        <v>y</v>
      </c>
      <c r="E117" s="4">
        <f t="shared" si="71"/>
        <v>-3.963642763887175</v>
      </c>
      <c r="F117" s="1">
        <f t="shared" si="79"/>
        <v>4.999999999999968</v>
      </c>
      <c r="G117" s="1">
        <f t="shared" si="80"/>
        <v>2.0000000000000808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1.0269729787766689E-4</v>
      </c>
      <c r="N117">
        <f t="shared" si="73"/>
        <v>0.37098617099293363</v>
      </c>
      <c r="O117">
        <f t="shared" si="85"/>
        <v>0.74197234198589723</v>
      </c>
      <c r="P117">
        <f t="shared" si="86"/>
        <v>-1.8549308549646564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-5.0000000000001297</v>
      </c>
      <c r="C118" s="1">
        <f t="shared" si="78"/>
        <v>7.9999999999999192</v>
      </c>
      <c r="D118" t="str">
        <f t="shared" si="100"/>
        <v>y</v>
      </c>
      <c r="E118" s="4">
        <f t="shared" si="71"/>
        <v>-9.9636427638870124</v>
      </c>
      <c r="F118" s="1">
        <f t="shared" si="79"/>
        <v>-5.0000000000001297</v>
      </c>
      <c r="G118" s="1">
        <f t="shared" si="80"/>
        <v>7.9999999999999192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2.5815625923514518E-4</v>
      </c>
      <c r="N118">
        <f t="shared" si="73"/>
        <v>0.93256983494920986</v>
      </c>
      <c r="O118">
        <f t="shared" si="85"/>
        <v>7.4605586795936034</v>
      </c>
      <c r="P118">
        <f t="shared" si="86"/>
        <v>4.66284917474617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4.9999999999998703</v>
      </c>
      <c r="C119" s="1">
        <f t="shared" si="78"/>
        <v>8.0000000000000799</v>
      </c>
      <c r="D119" t="str">
        <f t="shared" si="101"/>
        <v>y</v>
      </c>
      <c r="E119" s="4">
        <f t="shared" si="71"/>
        <v>-9.9636427638871741</v>
      </c>
      <c r="F119" s="1">
        <f t="shared" si="79"/>
        <v>4.9999999999998703</v>
      </c>
      <c r="G119" s="1">
        <f t="shared" si="80"/>
        <v>8.0000000000000799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2.5815625923514935E-4</v>
      </c>
      <c r="N119">
        <f t="shared" si="73"/>
        <v>0.93256983494922496</v>
      </c>
      <c r="O119">
        <f t="shared" si="85"/>
        <v>7.4605586795938743</v>
      </c>
      <c r="P119">
        <f t="shared" si="86"/>
        <v>-4.6628491747460039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-5.0000000000002265</v>
      </c>
      <c r="C120" s="1">
        <f t="shared" si="78"/>
        <v>13.99999999999992</v>
      </c>
      <c r="D120" t="str">
        <f t="shared" si="102"/>
        <v>y</v>
      </c>
      <c r="E120" s="4">
        <f t="shared" si="71"/>
        <v>-15.963642763887014</v>
      </c>
      <c r="F120" s="1">
        <f t="shared" si="79"/>
        <v>-5.0000000000002265</v>
      </c>
      <c r="G120" s="1">
        <f t="shared" si="80"/>
        <v>13.99999999999992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4.1361522059262765E-4</v>
      </c>
      <c r="N120">
        <f t="shared" si="73"/>
        <v>1.4941534989055014</v>
      </c>
      <c r="O120">
        <f t="shared" si="85"/>
        <v>20.9181489846769</v>
      </c>
      <c r="P120">
        <f t="shared" si="86"/>
        <v>7.4707674945278457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4.9999999999997735</v>
      </c>
      <c r="C121" s="1">
        <f t="shared" si="78"/>
        <v>14.00000000000008</v>
      </c>
      <c r="D121" t="str">
        <f t="shared" si="103"/>
        <v>y</v>
      </c>
      <c r="E121" s="4">
        <f t="shared" si="71"/>
        <v>-15.963642763887174</v>
      </c>
      <c r="F121" s="1">
        <f t="shared" si="79"/>
        <v>4.9999999999997735</v>
      </c>
      <c r="G121" s="1">
        <f t="shared" si="80"/>
        <v>14.00000000000008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4.1361522059263182E-4</v>
      </c>
      <c r="N121" s="23">
        <f t="shared" si="73"/>
        <v>1.4941534989055163</v>
      </c>
      <c r="O121" s="23">
        <f t="shared" si="85"/>
        <v>20.918148984677348</v>
      </c>
      <c r="P121" s="23">
        <f t="shared" si="86"/>
        <v>-7.4707674945272426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-21.946391347349483</v>
      </c>
      <c r="I122">
        <f t="shared" ref="I122:J122" si="104">SUM(I110:I121)</f>
        <v>285.00522489871378</v>
      </c>
      <c r="J122">
        <f t="shared" si="104"/>
        <v>3.5074165793957945E-12</v>
      </c>
      <c r="L122">
        <f ca="1">MIN(L110:L121)</f>
        <v>-3.6367958619478547E-4</v>
      </c>
      <c r="M122">
        <f>MIN(M110:M121)</f>
        <v>-3.6367958619478471E-4</v>
      </c>
      <c r="N122">
        <f>SUM(N110:N121)</f>
        <v>5.5954190096953038</v>
      </c>
      <c r="O122">
        <f>SUM(O110:O121)</f>
        <v>58.241360012513425</v>
      </c>
      <c r="P122">
        <f>SUM(P110:P121)</f>
        <v>7.1675998469800106E-13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28" x14ac:dyDescent="0.25">
      <c r="F126" s="4">
        <f>MIN(B84:B92)-1</f>
        <v>-8.0000000000002913</v>
      </c>
      <c r="G126" s="4">
        <f>B125</f>
        <v>-1.9636427638870941</v>
      </c>
      <c r="I126">
        <f>IF(OR($G$126&gt;MAX($C$84:$C$92)+5,$G$126&lt;MIN($C$84:$C$92)-5),NA(),F126)</f>
        <v>-8.0000000000002913</v>
      </c>
      <c r="J126">
        <f>IF(OR($G$126&gt;MAX($C$84:$C$92)+5,$G$126&lt;MIN($C$84:$C$92)-5),NA(),G126)</f>
        <v>-1.9636427638870941</v>
      </c>
    </row>
    <row r="127" spans="1:28" x14ac:dyDescent="0.25">
      <c r="F127" s="4">
        <f>MAX(B84:B92)+1</f>
        <v>8.0000000000002913</v>
      </c>
      <c r="G127" s="4">
        <f>G126</f>
        <v>-1.9636427638870941</v>
      </c>
      <c r="I127">
        <f>IF(OR($G$126&gt;MAX($C$84:$C$92)+5,$G$126&lt;MIN($C$84:$C$92)-5),NA(),F127)</f>
        <v>8.0000000000002913</v>
      </c>
      <c r="J127">
        <f>IF(OR($G$126&gt;MAX($C$84:$C$92)+5,$G$126&lt;MIN($C$84:$C$92)-5),NA(),G127)</f>
        <v>-1.9636427638870941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105">B85</f>
        <v>7.0000000000002913</v>
      </c>
      <c r="E132" s="4">
        <f t="shared" si="105"/>
        <v>-17.999999999999886</v>
      </c>
      <c r="F132" s="4">
        <f t="shared" ref="F132:F139" si="106">($B$66/$B$65)*(C132-$B$125)</f>
        <v>-1.6928605293515879</v>
      </c>
      <c r="G132" s="4">
        <f t="shared" ref="G132:G139" si="107">($B$66/$B$65)*(E132-$B$125)</f>
        <v>-1.6928605293515639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7.0000000000002913</v>
      </c>
      <c r="C133" s="4">
        <f t="shared" si="108"/>
        <v>-17.999999999999886</v>
      </c>
      <c r="D133" s="4">
        <f t="shared" si="105"/>
        <v>6.9999999999997087</v>
      </c>
      <c r="E133" s="4">
        <f t="shared" si="105"/>
        <v>18.000000000000114</v>
      </c>
      <c r="F133" s="4">
        <f t="shared" si="106"/>
        <v>-1.6928605293515639</v>
      </c>
      <c r="G133" s="4">
        <f t="shared" si="107"/>
        <v>2.1074401349050813</v>
      </c>
      <c r="H133" s="4">
        <f t="shared" ref="H133:H139" si="109">IF(B133=D133,"V",(C133-E133)/(B133-D133))</f>
        <v>-61787190009656.195</v>
      </c>
      <c r="I133" s="4">
        <f t="shared" ref="I133:I139" si="110">IF(H133="V",0,(-1*B133*H133)+C133)</f>
        <v>432510330067593.38</v>
      </c>
      <c r="J133" s="4">
        <f t="shared" ref="J133:J139" si="111">IF($F133&gt;=0,B133,IF(AND($F133&lt;0,$G133&gt;=0),IF(H133="V",B133,($B$125-I133)/H133),0))</f>
        <v>7.0000000000000311</v>
      </c>
      <c r="K133" s="4">
        <f t="shared" ref="K133:K139" si="112">IF($F133&gt;=0,C133,IF(AND($F133&lt;0,$G133&gt;=0),$B$125,0))</f>
        <v>-1.9636427638870941</v>
      </c>
      <c r="L133" s="4">
        <f t="shared" ref="L133:L139" si="113">IF($G133&gt;=0,D133,IF(AND($G133&lt;0,$F133&gt;=0),IF(H133="V",D133,($B$125-I133)/H133),0))</f>
        <v>6.9999999999997087</v>
      </c>
      <c r="M133" s="4">
        <f t="shared" ref="M133:M139" si="114">IF($G133&gt;=0,E133,IF(AND($G133&lt;0,$F133&gt;=0),$B$125,0))</f>
        <v>18.000000000000114</v>
      </c>
      <c r="N133" s="4">
        <f t="shared" ref="N133:N139" si="115">IF(F133&lt;0,IF($I$54="Linear",0,$B$66),IF($I$54="Linear",F133,$B$66))</f>
        <v>0</v>
      </c>
      <c r="O133" s="4">
        <f t="shared" ref="O133:O138" si="116">IF(G133&lt;0,IF($I$54="Linear",0,$B$66),IF($I$54="Linear",G133,$B$66))</f>
        <v>2.1074401349050813</v>
      </c>
      <c r="P133" s="4">
        <f t="shared" ref="P133:P139" si="117">(1/6)*(M133-K133)*((N133*((2*J133)+L133))+(O133*(J133+(2*L133))))</f>
        <v>147.25263699832769</v>
      </c>
      <c r="Q133" s="4">
        <f t="shared" ref="Q133:Q139" si="118">((1/12)*(M133-K133)*(N133*J133*((3*K133)+M133)+N133*L133*(K133+M133)+O133*J133*(K133+M133)+O133*L133*(K133+(3*M133))))</f>
        <v>1670.6477856115828</v>
      </c>
      <c r="R133" s="4">
        <f t="shared" ref="R133:R139" si="119">((-1/24)*(M133-K133)*(J133*J133*((3*N133)+O133)+2*J133*L133*(N133+O133)+L133*L133*(N133+(3*O133))))</f>
        <v>-515.38422949413348</v>
      </c>
      <c r="U133">
        <f t="shared" ref="U133:U153" si="120">IF(AND(J133=0,K133=0,L133=0,M133=0),NA(),J133)</f>
        <v>7.0000000000000311</v>
      </c>
      <c r="V133">
        <f t="shared" ref="V133:V153" si="121">IF(AND(J133=0,K133=0,L133=0,M133=0),NA(),K133)</f>
        <v>-1.9636427638870941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6.9999999999999991</v>
      </c>
      <c r="Y133">
        <f t="shared" ref="Y133:Y139" si="124">(-1*U133*SIN(-1*$B$64))+(V133*COS(-1*$B$64))</f>
        <v>-1.9636427638872072</v>
      </c>
      <c r="AA133" s="4">
        <f t="shared" ref="AA133:AA139" si="125">X133+$B$9</f>
        <v>14</v>
      </c>
      <c r="AB133" s="4">
        <f t="shared" ref="AB133:AB139" si="126">Y133+$C$9</f>
        <v>16.036357236112792</v>
      </c>
      <c r="AD133">
        <f t="shared" ref="AD133:AD139" si="127">IF(AND(J133=0,K133=0,L133=0,M133=0),NA(),L133)</f>
        <v>6.9999999999997087</v>
      </c>
      <c r="AE133">
        <f t="shared" ref="AE133:AE139" si="128">IF(AND(J133=0,K133=0,L133=0,M133=0),NA(),M133)</f>
        <v>18.000000000000114</v>
      </c>
      <c r="AF133" s="9" t="str">
        <f t="shared" ref="AF133:AF139" si="129">IF(AND(J133=0,K133=0,L133=0,M133=0),"",ROUND(O133,4)&amp;" ksi")</f>
        <v>2.1074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6.9999999999997087</v>
      </c>
      <c r="C134" s="4">
        <f t="shared" si="108"/>
        <v>18.000000000000114</v>
      </c>
      <c r="D134" s="4">
        <f t="shared" si="105"/>
        <v>-7.0000000000002913</v>
      </c>
      <c r="E134" s="4">
        <f t="shared" si="105"/>
        <v>17.999999999999886</v>
      </c>
      <c r="F134" s="4">
        <f t="shared" si="106"/>
        <v>2.1074401349050813</v>
      </c>
      <c r="G134" s="4">
        <f t="shared" si="107"/>
        <v>2.1074401349050573</v>
      </c>
      <c r="H134" s="4">
        <f t="shared" si="109"/>
        <v>1.6240976817373718E-14</v>
      </c>
      <c r="I134" s="4">
        <f t="shared" si="110"/>
        <v>18</v>
      </c>
      <c r="J134" s="4">
        <f t="shared" si="111"/>
        <v>6.9999999999997087</v>
      </c>
      <c r="K134" s="4">
        <f t="shared" si="112"/>
        <v>18.000000000000114</v>
      </c>
      <c r="L134" s="4">
        <f t="shared" si="113"/>
        <v>-7.0000000000002913</v>
      </c>
      <c r="M134" s="4">
        <f t="shared" si="114"/>
        <v>17.999999999999886</v>
      </c>
      <c r="N134" s="4">
        <f t="shared" si="115"/>
        <v>2.1074401349050813</v>
      </c>
      <c r="O134" s="4">
        <f t="shared" si="116"/>
        <v>2.1074401349050573</v>
      </c>
      <c r="P134" s="4">
        <f t="shared" si="117"/>
        <v>1.3321862241556329E-25</v>
      </c>
      <c r="Q134" s="4">
        <f t="shared" si="118"/>
        <v>2.2747466845208261E-24</v>
      </c>
      <c r="R134" s="4">
        <f t="shared" si="119"/>
        <v>3.9132740088745621E-12</v>
      </c>
      <c r="U134">
        <f t="shared" si="120"/>
        <v>6.9999999999997087</v>
      </c>
      <c r="V134">
        <f t="shared" si="121"/>
        <v>18.000000000000114</v>
      </c>
      <c r="W134" s="9" t="str">
        <f t="shared" si="122"/>
        <v>2.1074 ksi</v>
      </c>
      <c r="X134">
        <f t="shared" si="123"/>
        <v>7</v>
      </c>
      <c r="Y134">
        <f t="shared" si="124"/>
        <v>18</v>
      </c>
      <c r="AA134" s="4">
        <f t="shared" si="125"/>
        <v>14</v>
      </c>
      <c r="AB134" s="4">
        <f t="shared" si="126"/>
        <v>36</v>
      </c>
      <c r="AD134">
        <f t="shared" si="127"/>
        <v>-7.0000000000002913</v>
      </c>
      <c r="AE134">
        <f t="shared" si="128"/>
        <v>17.999999999999886</v>
      </c>
      <c r="AF134" s="9" t="str">
        <f t="shared" si="129"/>
        <v>2.1074 ksi</v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-7.0000000000002913</v>
      </c>
      <c r="C135" s="4">
        <f t="shared" si="108"/>
        <v>17.999999999999886</v>
      </c>
      <c r="D135" s="4">
        <f t="shared" si="105"/>
        <v>-6.9999999999997087</v>
      </c>
      <c r="E135" s="4">
        <f t="shared" si="105"/>
        <v>-18.000000000000114</v>
      </c>
      <c r="F135" s="4">
        <f t="shared" si="106"/>
        <v>2.1074401349050573</v>
      </c>
      <c r="G135" s="4">
        <f t="shared" si="107"/>
        <v>-1.6928605293515879</v>
      </c>
      <c r="H135" s="4">
        <f t="shared" si="109"/>
        <v>-61787190009656.195</v>
      </c>
      <c r="I135" s="4">
        <f t="shared" si="110"/>
        <v>-432510330067593.38</v>
      </c>
      <c r="J135" s="4">
        <f t="shared" si="111"/>
        <v>-7.0000000000002913</v>
      </c>
      <c r="K135" s="4">
        <f t="shared" si="112"/>
        <v>17.999999999999886</v>
      </c>
      <c r="L135" s="4">
        <f t="shared" si="113"/>
        <v>-6.9999999999999689</v>
      </c>
      <c r="M135" s="4">
        <f t="shared" si="114"/>
        <v>-1.9636427638870941</v>
      </c>
      <c r="N135" s="4">
        <f t="shared" si="115"/>
        <v>2.1074401349050573</v>
      </c>
      <c r="O135" s="4">
        <f t="shared" si="116"/>
        <v>0</v>
      </c>
      <c r="P135" s="4">
        <f t="shared" si="117"/>
        <v>147.25263699833209</v>
      </c>
      <c r="Q135" s="4">
        <f t="shared" si="118"/>
        <v>1670.6477856116255</v>
      </c>
      <c r="R135" s="4">
        <f t="shared" si="119"/>
        <v>515.38422949417588</v>
      </c>
      <c r="U135">
        <f t="shared" si="120"/>
        <v>-7.0000000000002913</v>
      </c>
      <c r="V135">
        <f t="shared" si="121"/>
        <v>17.999999999999886</v>
      </c>
      <c r="W135" s="9" t="str">
        <f t="shared" si="122"/>
        <v>2.1074 ksi</v>
      </c>
      <c r="X135">
        <f t="shared" si="123"/>
        <v>-7</v>
      </c>
      <c r="Y135">
        <f t="shared" si="124"/>
        <v>18</v>
      </c>
      <c r="AA135" s="4">
        <f t="shared" si="125"/>
        <v>0</v>
      </c>
      <c r="AB135" s="4">
        <f t="shared" si="126"/>
        <v>36</v>
      </c>
      <c r="AD135">
        <f t="shared" si="127"/>
        <v>-6.9999999999999689</v>
      </c>
      <c r="AE135">
        <f t="shared" si="128"/>
        <v>-1.9636427638870941</v>
      </c>
      <c r="AF135" s="9" t="str">
        <f t="shared" si="129"/>
        <v>0 ksi</v>
      </c>
      <c r="AG135">
        <f t="shared" si="130"/>
        <v>-6.9999999999999689</v>
      </c>
      <c r="AH135">
        <f t="shared" si="131"/>
        <v>-1.9636427638870941</v>
      </c>
      <c r="AI135" t="str">
        <f t="shared" si="132"/>
        <v>0 ksi</v>
      </c>
      <c r="AJ135">
        <f t="shared" si="133"/>
        <v>-7.0000000000000009</v>
      </c>
      <c r="AK135">
        <f t="shared" si="134"/>
        <v>-1.9636427638869811</v>
      </c>
      <c r="AM135" s="4">
        <f t="shared" si="135"/>
        <v>0</v>
      </c>
      <c r="AN135" s="4">
        <f t="shared" si="136"/>
        <v>16.03635723611302</v>
      </c>
    </row>
    <row r="136" spans="1:40" x14ac:dyDescent="0.25">
      <c r="A136" t="s">
        <v>73</v>
      </c>
      <c r="B136" s="4">
        <f t="shared" si="108"/>
        <v>-6.9999999999997087</v>
      </c>
      <c r="C136" s="4">
        <f t="shared" si="108"/>
        <v>-18.000000000000114</v>
      </c>
      <c r="D136" s="4">
        <f t="shared" si="105"/>
        <v>-6.9999999999997087</v>
      </c>
      <c r="E136" s="4">
        <f t="shared" si="105"/>
        <v>-18.000000000000114</v>
      </c>
      <c r="F136" s="4">
        <f t="shared" si="106"/>
        <v>-1.6928605293515879</v>
      </c>
      <c r="G136" s="4">
        <f t="shared" si="107"/>
        <v>-1.6928605293515879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-6.9999999999997087</v>
      </c>
      <c r="C137" s="4">
        <f t="shared" si="108"/>
        <v>-18.000000000000114</v>
      </c>
      <c r="D137" s="4">
        <f t="shared" si="105"/>
        <v>-6.9999999999997087</v>
      </c>
      <c r="E137" s="4">
        <f t="shared" si="105"/>
        <v>-18.000000000000114</v>
      </c>
      <c r="F137" s="4">
        <f t="shared" si="106"/>
        <v>-1.6928605293515879</v>
      </c>
      <c r="G137" s="4">
        <f t="shared" si="107"/>
        <v>-1.6928605293515879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-6.9999999999997087</v>
      </c>
      <c r="C138" s="4">
        <f t="shared" si="108"/>
        <v>-18.000000000000114</v>
      </c>
      <c r="D138" s="4">
        <f t="shared" si="105"/>
        <v>-6.9999999999997087</v>
      </c>
      <c r="E138" s="4">
        <f t="shared" si="105"/>
        <v>-18.000000000000114</v>
      </c>
      <c r="F138" s="4">
        <f t="shared" si="106"/>
        <v>-1.6928605293515879</v>
      </c>
      <c r="G138" s="4">
        <f t="shared" si="107"/>
        <v>-1.6928605293515879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105"/>
        <v>-6.9999999999997087</v>
      </c>
      <c r="E139" s="4">
        <f t="shared" si="105"/>
        <v>-18.000000000000114</v>
      </c>
      <c r="F139" s="4">
        <f t="shared" si="106"/>
        <v>-1.6928605293515879</v>
      </c>
      <c r="G139" s="4">
        <f t="shared" si="107"/>
        <v>-1.6928605293515879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>IF(G139&lt;0,IF($I$54="Linear",0,$B$66),IF($I$54="Linear",G139,$B$66))</f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294.50527399665975</v>
      </c>
      <c r="Q140" s="4">
        <f>SUM(Q132:Q139)</f>
        <v>3341.2955712232083</v>
      </c>
      <c r="R140" s="4">
        <f>SUM(R132:R139)</f>
        <v>4.6270542952697724E-11</v>
      </c>
      <c r="T140" t="str">
        <f>ROUND(P140,4)&amp;" kips"</f>
        <v>294.5053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-1.5711278214060954E-13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11.345452412037636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137">I85</f>
        <v>-2.0000000000001132</v>
      </c>
      <c r="E146">
        <f t="shared" si="137"/>
        <v>6.999999999999968</v>
      </c>
      <c r="F146" s="4">
        <f>($B$66/$B$65)*(C146-$B$125)</f>
        <v>-0.63722145594695567</v>
      </c>
      <c r="G146" s="4">
        <f>($B$66/$B$65)*(E146-$B$125)</f>
        <v>0.94623715415997978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0.94623715415997978</v>
      </c>
      <c r="P146" s="4">
        <f>(1/6)*(M146-K146)*((N146*((2*J146)+L146))+(O146*(J146+(2*L146))))</f>
        <v>-8.4817318198074627</v>
      </c>
      <c r="Q146" s="4">
        <f>((1/12)*(M146-K146)*(N146*J146*((3*K146)+M146)+N146*L146*(K146+M146)+O146*J146*(K146+M146)+O146*L146*(K146+(3*M146))))</f>
        <v>-34.029718054703011</v>
      </c>
      <c r="R146" s="4">
        <f>((-1/24)*(M146-K146)*(J146*J146*((3*N146)+O146)+2*J146*L146*(N146+O146)+L146*L146*(N146+(3*O146))))</f>
        <v>-8.4817318198077398</v>
      </c>
      <c r="U146">
        <f t="shared" si="120"/>
        <v>-1.9999999999999682</v>
      </c>
      <c r="V146">
        <f t="shared" si="121"/>
        <v>-1.9636427638870941</v>
      </c>
      <c r="W146" s="9" t="str">
        <f>IF($D$34=0,"",IF(AND(J146=0,K146=0,L146=0,M146=0),"",CHAR(10)&amp;CHAR(10)&amp;-1*ROUND(N146,4)&amp;" ksi"))</f>
        <v xml:space="preserve">
0 ksi</v>
      </c>
      <c r="X146">
        <f t="shared" ref="X146:X153" si="138">(U146*COS(-1*$B$64))+(V146*SIN(-1*$B$64))</f>
        <v>-2</v>
      </c>
      <c r="Y146">
        <f t="shared" ref="Y146:Y153" si="139">(-1*U146*SIN(-1*$B$64))+(V146*COS(-1*$B$64))</f>
        <v>-1.9636427638870617</v>
      </c>
      <c r="AA146" s="4">
        <f t="shared" ref="AA146:AA153" si="140">X146+$B$9</f>
        <v>5</v>
      </c>
      <c r="AB146" s="4">
        <f t="shared" ref="AB146:AB153" si="141">Y146+$C$9</f>
        <v>16.036357236112938</v>
      </c>
      <c r="AD146">
        <f t="shared" ref="AD146:AD153" si="142">IF(AND(J146=0,K146=0,L146=0,M146=0),NA(),L146)</f>
        <v>-2.0000000000001132</v>
      </c>
      <c r="AE146">
        <f t="shared" ref="AE146:AE153" si="143">IF(AND(J146=0,K146=0,L146=0,M146=0),NA(),M146)</f>
        <v>6.999999999999968</v>
      </c>
      <c r="AF146" s="9" t="str">
        <f>IF(AND(J146=0,K146=0,L146=0,M146=0),"",CHAR(10)&amp;CHAR(10)&amp;-1*ROUND(O146,4)&amp;" ksi")</f>
        <v xml:space="preserve">
-0.9462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-2.0000000000001132</v>
      </c>
      <c r="C147">
        <f t="shared" si="148"/>
        <v>6.999999999999968</v>
      </c>
      <c r="D147" s="9">
        <f t="shared" si="137"/>
        <v>1.999999999999887</v>
      </c>
      <c r="E147">
        <f t="shared" si="137"/>
        <v>7.000000000000032</v>
      </c>
      <c r="F147" s="4">
        <f t="shared" ref="F147:F153" si="149">($B$66/$B$65)*(C147-$B$125)</f>
        <v>0.94623715415997978</v>
      </c>
      <c r="G147" s="4">
        <f t="shared" ref="G147:G153" si="150">($B$66/$B$65)*(E147-$B$125)</f>
        <v>0.94623715415998655</v>
      </c>
      <c r="H147" s="4">
        <f t="shared" ref="H147:H153" si="151">IF(B147=D147,"V",(C147-E147)/(B147-D147))</f>
        <v>1.5987211554602254E-14</v>
      </c>
      <c r="I147" s="4">
        <f t="shared" ref="I147:I153" si="152">IF(H147="V",0,(-1*B147*H147)+C147)</f>
        <v>7</v>
      </c>
      <c r="J147" s="4">
        <f t="shared" ref="J147:J153" si="153">IF($F147&gt;=0,B147,IF(AND($F147&lt;0,$G147&gt;=0),IF(H147="V",B147,($B$125-I147)/H147),0))</f>
        <v>-2.0000000000001132</v>
      </c>
      <c r="K147" s="4">
        <f t="shared" ref="K147:K153" si="154">IF($F147&gt;=0,C147,IF(AND($F147&lt;0,$G147&gt;=0),$B$125,0))</f>
        <v>6.999999999999968</v>
      </c>
      <c r="L147" s="4">
        <f t="shared" ref="L147:L153" si="155">IF($G147&gt;=0,D147,IF(AND($G147&lt;0,$F147&gt;=0),IF(H147="V",D147,($B$125-I147)/H147),0))</f>
        <v>1.999999999999887</v>
      </c>
      <c r="M147" s="4">
        <f t="shared" ref="M147:M153" si="156">IF($G147&gt;=0,E147,IF(AND($G147&lt;0,$F147&gt;=0),$B$125,0))</f>
        <v>7.000000000000032</v>
      </c>
      <c r="N147" s="4">
        <f t="shared" ref="N147:N153" si="157">IF(F147&lt;0,IF($I$54="Linear",0,$B$66),IF($I$54="Linear",F147,$B$66))</f>
        <v>0.94623715415997978</v>
      </c>
      <c r="O147" s="4">
        <f t="shared" ref="O147:O153" si="158">IF(G147&lt;0,IF($I$54="Linear",0,$B$66),IF($I$54="Linear",G147,$B$66))</f>
        <v>0.94623715415998655</v>
      </c>
      <c r="P147" s="4">
        <f t="shared" ref="P147:P153" si="159">(1/6)*(M147-K147)*((N147*((2*J147)+L147))+(O147*(J147+(2*L147))))</f>
        <v>-6.6997956680420533E-27</v>
      </c>
      <c r="Q147" s="4">
        <f t="shared" ref="Q147:Q153" si="160">((1/12)*(M147-K147)*(N147*J147*((3*K147)+M147)+N147*L147*(K147+M147)+O147*J147*(K147+M147)+O147*L147*(K147+(3*M147))))</f>
        <v>-4.5665580081433931E-26</v>
      </c>
      <c r="R147" s="4">
        <f t="shared" ref="R147:R153" si="161">((-1/24)*(M147-K147)*(J147*J147*((3*N147)+O147)+2*J147*L147*(N147+O147)+L147*L147*(N147+(3*O147))))</f>
        <v>-4.0340516171681172E-14</v>
      </c>
      <c r="U147">
        <f t="shared" si="120"/>
        <v>-2.0000000000001132</v>
      </c>
      <c r="V147">
        <f t="shared" si="121"/>
        <v>6.999999999999968</v>
      </c>
      <c r="W147" s="9" t="str">
        <f t="shared" ref="W147:W153" si="162">IF($D$34=0,"",IF(AND(J147=0,K147=0,L147=0,M147=0),"",CHAR(10)&amp;CHAR(10)&amp;-1*ROUND(N147,4)&amp;" ksi"))</f>
        <v xml:space="preserve">
-0.9462 ksi</v>
      </c>
      <c r="X147">
        <f t="shared" si="138"/>
        <v>-2</v>
      </c>
      <c r="Y147">
        <f t="shared" si="139"/>
        <v>7</v>
      </c>
      <c r="AA147" s="4">
        <f t="shared" si="140"/>
        <v>5</v>
      </c>
      <c r="AB147" s="4">
        <f t="shared" si="141"/>
        <v>25</v>
      </c>
      <c r="AD147">
        <f t="shared" si="142"/>
        <v>1.999999999999887</v>
      </c>
      <c r="AE147">
        <f t="shared" si="143"/>
        <v>7.000000000000032</v>
      </c>
      <c r="AF147" s="9" t="str">
        <f t="shared" ref="AF147:AF153" si="163">IF(AND(J147=0,K147=0,L147=0,M147=0),"",CHAR(10)&amp;CHAR(10)&amp;-1*ROUND(O147,4)&amp;" ksi")</f>
        <v xml:space="preserve">
-0.9462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1.999999999999887</v>
      </c>
      <c r="C148">
        <f t="shared" si="148"/>
        <v>7.000000000000032</v>
      </c>
      <c r="D148" s="9">
        <f t="shared" si="137"/>
        <v>2.0000000000001292</v>
      </c>
      <c r="E148">
        <f t="shared" si="137"/>
        <v>-7.999999999999968</v>
      </c>
      <c r="F148" s="4">
        <f t="shared" si="149"/>
        <v>0.94623715415998655</v>
      </c>
      <c r="G148" s="4">
        <f t="shared" si="150"/>
        <v>-0.6372214559469489</v>
      </c>
      <c r="H148" s="4">
        <f t="shared" si="151"/>
        <v>-61919334931766.672</v>
      </c>
      <c r="I148" s="4">
        <f t="shared" si="152"/>
        <v>123838669863533.34</v>
      </c>
      <c r="J148" s="4">
        <f t="shared" si="153"/>
        <v>1.999999999999887</v>
      </c>
      <c r="K148" s="4">
        <f t="shared" si="154"/>
        <v>7.000000000000032</v>
      </c>
      <c r="L148" s="4">
        <f t="shared" si="155"/>
        <v>2.000000000000032</v>
      </c>
      <c r="M148" s="4">
        <f t="shared" si="156"/>
        <v>-1.9636427638870941</v>
      </c>
      <c r="N148" s="4">
        <f t="shared" si="157"/>
        <v>0.94623715415998655</v>
      </c>
      <c r="O148" s="4">
        <f t="shared" si="158"/>
        <v>0</v>
      </c>
      <c r="P148" s="4">
        <f t="shared" si="159"/>
        <v>-8.4817318198070364</v>
      </c>
      <c r="Q148" s="4">
        <f t="shared" si="160"/>
        <v>-34.029718054701036</v>
      </c>
      <c r="R148" s="4">
        <f t="shared" si="161"/>
        <v>8.4817318198067628</v>
      </c>
      <c r="U148">
        <f t="shared" si="120"/>
        <v>1.999999999999887</v>
      </c>
      <c r="V148">
        <f t="shared" si="121"/>
        <v>7.000000000000032</v>
      </c>
      <c r="W148" s="9" t="str">
        <f t="shared" si="162"/>
        <v xml:space="preserve">
-0.9462 ksi</v>
      </c>
      <c r="X148">
        <f t="shared" si="138"/>
        <v>2</v>
      </c>
      <c r="Y148">
        <f t="shared" si="139"/>
        <v>7</v>
      </c>
      <c r="AA148" s="4">
        <f t="shared" si="140"/>
        <v>9</v>
      </c>
      <c r="AB148" s="4">
        <f t="shared" si="141"/>
        <v>25</v>
      </c>
      <c r="AD148">
        <f t="shared" si="142"/>
        <v>2.000000000000032</v>
      </c>
      <c r="AE148">
        <f t="shared" si="143"/>
        <v>-1.9636427638870941</v>
      </c>
      <c r="AF148" s="9" t="str">
        <f t="shared" si="163"/>
        <v xml:space="preserve">
0 ksi</v>
      </c>
      <c r="AG148">
        <f t="shared" si="164"/>
        <v>2.000000000000032</v>
      </c>
      <c r="AH148">
        <f t="shared" si="165"/>
        <v>-1.9636427638870941</v>
      </c>
      <c r="AI148" t="str">
        <f t="shared" si="166"/>
        <v xml:space="preserve">
0 ksi</v>
      </c>
      <c r="AJ148">
        <f t="shared" si="144"/>
        <v>2.0000000000000004</v>
      </c>
      <c r="AK148">
        <f t="shared" si="145"/>
        <v>-1.9636427638871266</v>
      </c>
      <c r="AM148" s="4">
        <f t="shared" si="146"/>
        <v>9</v>
      </c>
      <c r="AN148" s="4">
        <f t="shared" si="147"/>
        <v>16.036357236112874</v>
      </c>
    </row>
    <row r="149" spans="1:40" x14ac:dyDescent="0.25">
      <c r="A149" t="s">
        <v>72</v>
      </c>
      <c r="B149" s="9">
        <f t="shared" si="148"/>
        <v>2.0000000000001292</v>
      </c>
      <c r="C149">
        <f t="shared" si="148"/>
        <v>-7.999999999999968</v>
      </c>
      <c r="D149" s="9">
        <f t="shared" si="137"/>
        <v>-1.9999999999998708</v>
      </c>
      <c r="E149">
        <f t="shared" si="137"/>
        <v>-8.000000000000032</v>
      </c>
      <c r="F149" s="4">
        <f t="shared" si="149"/>
        <v>-0.6372214559469489</v>
      </c>
      <c r="G149" s="4">
        <f t="shared" si="150"/>
        <v>-0.63722145594695567</v>
      </c>
      <c r="H149" s="4">
        <f t="shared" si="151"/>
        <v>1.5987211554602254E-14</v>
      </c>
      <c r="I149" s="4">
        <f t="shared" si="152"/>
        <v>-8</v>
      </c>
      <c r="J149" s="4">
        <f t="shared" si="153"/>
        <v>0</v>
      </c>
      <c r="K149" s="4">
        <f t="shared" si="154"/>
        <v>0</v>
      </c>
      <c r="L149" s="4">
        <f t="shared" si="155"/>
        <v>0</v>
      </c>
      <c r="M149" s="4">
        <f t="shared" si="156"/>
        <v>0</v>
      </c>
      <c r="N149" s="4">
        <f t="shared" si="157"/>
        <v>0</v>
      </c>
      <c r="O149" s="4">
        <f t="shared" si="158"/>
        <v>0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 t="e">
        <f t="shared" si="120"/>
        <v>#N/A</v>
      </c>
      <c r="V149" t="e">
        <f t="shared" si="121"/>
        <v>#N/A</v>
      </c>
      <c r="W149" s="9" t="str">
        <f t="shared" si="162"/>
        <v/>
      </c>
      <c r="X149" t="e">
        <f t="shared" si="138"/>
        <v>#N/A</v>
      </c>
      <c r="Y149" t="e">
        <f t="shared" si="139"/>
        <v>#N/A</v>
      </c>
      <c r="AA149" s="4" t="e">
        <f t="shared" si="140"/>
        <v>#N/A</v>
      </c>
      <c r="AB149" s="4" t="e">
        <f t="shared" si="141"/>
        <v>#N/A</v>
      </c>
      <c r="AD149" t="e">
        <f t="shared" si="142"/>
        <v>#N/A</v>
      </c>
      <c r="AE149" t="e">
        <f t="shared" si="143"/>
        <v>#N/A</v>
      </c>
      <c r="AF149" s="9" t="str">
        <f t="shared" si="163"/>
        <v/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-1.9999999999998708</v>
      </c>
      <c r="C150">
        <f t="shared" si="148"/>
        <v>-8.000000000000032</v>
      </c>
      <c r="D150" s="9">
        <f t="shared" si="137"/>
        <v>-1.9999999999998708</v>
      </c>
      <c r="E150">
        <f t="shared" si="137"/>
        <v>-8.000000000000032</v>
      </c>
      <c r="F150" s="4">
        <f t="shared" si="149"/>
        <v>-0.63722145594695567</v>
      </c>
      <c r="G150" s="4">
        <f t="shared" si="150"/>
        <v>-0.63722145594695567</v>
      </c>
      <c r="H150" s="4" t="str">
        <f t="shared" si="151"/>
        <v>V</v>
      </c>
      <c r="I150" s="4">
        <f t="shared" si="152"/>
        <v>0</v>
      </c>
      <c r="J150" s="4">
        <f t="shared" si="153"/>
        <v>0</v>
      </c>
      <c r="K150" s="4">
        <f t="shared" si="154"/>
        <v>0</v>
      </c>
      <c r="L150" s="4">
        <f t="shared" si="155"/>
        <v>0</v>
      </c>
      <c r="M150" s="4">
        <f t="shared" si="156"/>
        <v>0</v>
      </c>
      <c r="N150" s="4">
        <f t="shared" si="157"/>
        <v>0</v>
      </c>
      <c r="O150" s="4">
        <f t="shared" si="158"/>
        <v>0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 t="e">
        <f t="shared" si="120"/>
        <v>#N/A</v>
      </c>
      <c r="V150" t="e">
        <f t="shared" si="121"/>
        <v>#N/A</v>
      </c>
      <c r="W150" s="9" t="str">
        <f t="shared" si="162"/>
        <v/>
      </c>
      <c r="X150" t="e">
        <f t="shared" si="138"/>
        <v>#N/A</v>
      </c>
      <c r="Y150" t="e">
        <f t="shared" si="139"/>
        <v>#N/A</v>
      </c>
      <c r="AA150" s="4" t="e">
        <f t="shared" si="140"/>
        <v>#N/A</v>
      </c>
      <c r="AB150" s="4" t="e">
        <f t="shared" si="141"/>
        <v>#N/A</v>
      </c>
      <c r="AD150" t="e">
        <f t="shared" si="142"/>
        <v>#N/A</v>
      </c>
      <c r="AE150" t="e">
        <f t="shared" si="143"/>
        <v>#N/A</v>
      </c>
      <c r="AF150" s="9" t="str">
        <f t="shared" si="163"/>
        <v/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-1.9999999999998708</v>
      </c>
      <c r="C151">
        <f t="shared" si="148"/>
        <v>-8.000000000000032</v>
      </c>
      <c r="D151" s="9">
        <f t="shared" si="137"/>
        <v>-1.9999999999998708</v>
      </c>
      <c r="E151">
        <f t="shared" si="137"/>
        <v>-8.000000000000032</v>
      </c>
      <c r="F151" s="4">
        <f t="shared" si="149"/>
        <v>-0.63722145594695567</v>
      </c>
      <c r="G151" s="4">
        <f t="shared" si="150"/>
        <v>-0.63722145594695567</v>
      </c>
      <c r="H151" s="4" t="str">
        <f t="shared" si="151"/>
        <v>V</v>
      </c>
      <c r="I151" s="4">
        <f t="shared" si="152"/>
        <v>0</v>
      </c>
      <c r="J151" s="4">
        <f t="shared" si="153"/>
        <v>0</v>
      </c>
      <c r="K151" s="4">
        <f t="shared" si="154"/>
        <v>0</v>
      </c>
      <c r="L151" s="4">
        <f t="shared" si="155"/>
        <v>0</v>
      </c>
      <c r="M151" s="4">
        <f t="shared" si="156"/>
        <v>0</v>
      </c>
      <c r="N151" s="4">
        <f t="shared" si="157"/>
        <v>0</v>
      </c>
      <c r="O151" s="4">
        <f t="shared" si="158"/>
        <v>0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 t="e">
        <f t="shared" si="120"/>
        <v>#N/A</v>
      </c>
      <c r="V151" t="e">
        <f t="shared" si="121"/>
        <v>#N/A</v>
      </c>
      <c r="W151" s="9" t="str">
        <f t="shared" si="162"/>
        <v/>
      </c>
      <c r="X151" t="e">
        <f t="shared" si="138"/>
        <v>#N/A</v>
      </c>
      <c r="Y151" t="e">
        <f t="shared" si="139"/>
        <v>#N/A</v>
      </c>
      <c r="AA151" s="4" t="e">
        <f t="shared" si="140"/>
        <v>#N/A</v>
      </c>
      <c r="AB151" s="4" t="e">
        <f t="shared" si="141"/>
        <v>#N/A</v>
      </c>
      <c r="AD151" t="e">
        <f t="shared" si="142"/>
        <v>#N/A</v>
      </c>
      <c r="AE151" t="e">
        <f t="shared" si="143"/>
        <v>#N/A</v>
      </c>
      <c r="AF151" s="9" t="str">
        <f t="shared" si="163"/>
        <v/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-1.9999999999998708</v>
      </c>
      <c r="C152">
        <f t="shared" si="148"/>
        <v>-8.000000000000032</v>
      </c>
      <c r="D152" s="9">
        <f t="shared" si="137"/>
        <v>-1.9999999999998708</v>
      </c>
      <c r="E152">
        <f t="shared" si="137"/>
        <v>-8.000000000000032</v>
      </c>
      <c r="F152" s="4">
        <f t="shared" si="149"/>
        <v>-0.63722145594695567</v>
      </c>
      <c r="G152" s="4">
        <f t="shared" si="150"/>
        <v>-0.63722145594695567</v>
      </c>
      <c r="H152" s="4" t="str">
        <f t="shared" si="151"/>
        <v>V</v>
      </c>
      <c r="I152" s="4">
        <f t="shared" si="152"/>
        <v>0</v>
      </c>
      <c r="J152" s="4">
        <f t="shared" si="153"/>
        <v>0</v>
      </c>
      <c r="K152" s="4">
        <f t="shared" si="154"/>
        <v>0</v>
      </c>
      <c r="L152" s="4">
        <f t="shared" si="155"/>
        <v>0</v>
      </c>
      <c r="M152" s="4">
        <f t="shared" si="156"/>
        <v>0</v>
      </c>
      <c r="N152" s="4">
        <f t="shared" si="157"/>
        <v>0</v>
      </c>
      <c r="O152" s="4">
        <f t="shared" si="158"/>
        <v>0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 t="e">
        <f t="shared" si="120"/>
        <v>#N/A</v>
      </c>
      <c r="V152" t="e">
        <f t="shared" si="121"/>
        <v>#N/A</v>
      </c>
      <c r="W152" s="9" t="str">
        <f t="shared" si="162"/>
        <v/>
      </c>
      <c r="X152" t="e">
        <f t="shared" si="138"/>
        <v>#N/A</v>
      </c>
      <c r="Y152" t="e">
        <f t="shared" si="139"/>
        <v>#N/A</v>
      </c>
      <c r="AA152" s="4" t="e">
        <f t="shared" si="140"/>
        <v>#N/A</v>
      </c>
      <c r="AB152" s="4" t="e">
        <f t="shared" si="141"/>
        <v>#N/A</v>
      </c>
      <c r="AD152" t="e">
        <f t="shared" si="142"/>
        <v>#N/A</v>
      </c>
      <c r="AE152" t="e">
        <f t="shared" si="143"/>
        <v>#N/A</v>
      </c>
      <c r="AF152" s="9" t="str">
        <f t="shared" si="163"/>
        <v/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-1.9999999999998708</v>
      </c>
      <c r="C153">
        <f t="shared" si="148"/>
        <v>-8.000000000000032</v>
      </c>
      <c r="D153" s="9">
        <f t="shared" si="137"/>
        <v>-1.9999999999998708</v>
      </c>
      <c r="E153">
        <f t="shared" si="137"/>
        <v>-8.000000000000032</v>
      </c>
      <c r="F153" s="4">
        <f t="shared" si="149"/>
        <v>-0.63722145594695567</v>
      </c>
      <c r="G153" s="4">
        <f t="shared" si="150"/>
        <v>-0.63722145594695567</v>
      </c>
      <c r="H153" s="4" t="str">
        <f t="shared" si="151"/>
        <v>V</v>
      </c>
      <c r="I153" s="4">
        <f t="shared" si="152"/>
        <v>0</v>
      </c>
      <c r="J153" s="4">
        <f t="shared" si="153"/>
        <v>0</v>
      </c>
      <c r="K153" s="4">
        <f t="shared" si="154"/>
        <v>0</v>
      </c>
      <c r="L153" s="4">
        <f t="shared" si="155"/>
        <v>0</v>
      </c>
      <c r="M153" s="4">
        <f t="shared" si="156"/>
        <v>0</v>
      </c>
      <c r="N153" s="4">
        <f t="shared" si="157"/>
        <v>0</v>
      </c>
      <c r="O153" s="4">
        <f t="shared" si="158"/>
        <v>0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 t="e">
        <f t="shared" si="120"/>
        <v>#N/A</v>
      </c>
      <c r="V153" t="e">
        <f t="shared" si="121"/>
        <v>#N/A</v>
      </c>
      <c r="W153" s="9" t="str">
        <f t="shared" si="162"/>
        <v/>
      </c>
      <c r="X153" t="e">
        <f t="shared" si="138"/>
        <v>#N/A</v>
      </c>
      <c r="Y153" t="e">
        <f t="shared" si="139"/>
        <v>#N/A</v>
      </c>
      <c r="AA153" s="4" t="e">
        <f t="shared" si="140"/>
        <v>#N/A</v>
      </c>
      <c r="AB153" s="4" t="e">
        <f t="shared" si="141"/>
        <v>#N/A</v>
      </c>
      <c r="AD153" t="e">
        <f t="shared" si="142"/>
        <v>#N/A</v>
      </c>
      <c r="AE153" t="e">
        <f t="shared" si="143"/>
        <v>#N/A</v>
      </c>
      <c r="AF153" s="9" t="str">
        <f t="shared" si="163"/>
        <v/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-16.963463639614499</v>
      </c>
      <c r="Q154" s="4">
        <f t="shared" ref="Q154:R154" si="167">SUM(Q146:Q153)</f>
        <v>-68.059436109404047</v>
      </c>
      <c r="R154" s="4">
        <f t="shared" si="167"/>
        <v>-1.0178524689763435E-12</v>
      </c>
      <c r="T154" t="str">
        <f>IF(D34=0,"",ROUND(P154,4)&amp;" kips")</f>
        <v>-16.9635 kips</v>
      </c>
    </row>
    <row r="156" spans="1:40" x14ac:dyDescent="0.25">
      <c r="O156" t="s">
        <v>96</v>
      </c>
      <c r="P156" s="1">
        <f>IF($D$34=0,NA(),-1*R154/P154)</f>
        <v>-6.0002632162889733E-14</v>
      </c>
    </row>
    <row r="157" spans="1:40" x14ac:dyDescent="0.25">
      <c r="O157" t="s">
        <v>97</v>
      </c>
      <c r="P157" s="1">
        <f>IF($D$34=0,NA(),Q154/P154)</f>
        <v>4.012119078704302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250.00000000000045</v>
      </c>
      <c r="C159" t="s">
        <v>36</v>
      </c>
    </row>
    <row r="160" spans="1:40" x14ac:dyDescent="0.25">
      <c r="A160" s="1" t="s">
        <v>106</v>
      </c>
      <c r="B160" s="4">
        <f>Q140+I122+Q154-O122</f>
        <v>3500.0000000000045</v>
      </c>
      <c r="C160" t="s">
        <v>102</v>
      </c>
    </row>
    <row r="161" spans="1:9" x14ac:dyDescent="0.25">
      <c r="A161" s="1" t="s">
        <v>107</v>
      </c>
      <c r="B161" s="4">
        <f>R140+J122+R154-P122</f>
        <v>4.8043347078419174E-11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250.00000000000045</v>
      </c>
      <c r="C164" t="s">
        <v>36</v>
      </c>
      <c r="E164" s="8">
        <f>B2-B164</f>
        <v>-4.5474735088646412E-13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3500.0000000000045</v>
      </c>
      <c r="C165" t="s">
        <v>102</v>
      </c>
      <c r="E165" s="8">
        <f>B3+B165</f>
        <v>4.5474735088646412E-12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-8.5187612816905889E-12</v>
      </c>
      <c r="C166" t="s">
        <v>102</v>
      </c>
      <c r="E166" s="8">
        <f>B4+B166</f>
        <v>-8.5187612816905889E-12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-2.1074401349050857</v>
      </c>
      <c r="C169" s="3">
        <f ca="1">A169+B169</f>
        <v>-4.4408920985006262E-15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2.9610867452491715E-7</v>
      </c>
      <c r="D175" s="27">
        <f>B66*SQRT(I175)</f>
        <v>3.1258388680255488E-8</v>
      </c>
      <c r="E175" s="27">
        <f>IF(B67=0,SQRT(I175),B67*SQRT(I175))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19.963643059995881</v>
      </c>
      <c r="D176" s="3">
        <f>D175+B66</f>
        <v>2.1074401661634701</v>
      </c>
      <c r="E176" s="3">
        <f>B67+E175</f>
        <v>6.3886199620342854</v>
      </c>
      <c r="F176" s="16" t="s">
        <v>125</v>
      </c>
    </row>
    <row r="177" spans="1:31" x14ac:dyDescent="0.25">
      <c r="B177" s="27">
        <f>B176-B64</f>
        <v>-2.3970046947107768E-22</v>
      </c>
      <c r="C177" s="27">
        <f>C176-B65</f>
        <v>2.9610867358087489E-7</v>
      </c>
      <c r="D177" s="27">
        <f>D176-B66</f>
        <v>3.1258388766275402E-8</v>
      </c>
      <c r="E177" s="27">
        <f>E176-B67</f>
        <v>9.4758545898798729E-8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207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-129.0410987816411</v>
      </c>
      <c r="B180" s="25">
        <f>(d_sigma_p!E165-d_sigma_m!E165)/(2*'Rigid Bearing Plate Analysis'!D177)</f>
        <v>1525.5450144552381</v>
      </c>
      <c r="C180" s="25">
        <f>(d_sigma_p!E166-d_sigma_m!E166)/(2*'Rigid Bearing Plate Analysis'!D177)</f>
        <v>-1.8185258978511746E-6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0</v>
      </c>
      <c r="B181" s="25">
        <f>(d_alpha_p!E165-d_alpha_m!E165)/(2*B177)</f>
        <v>0</v>
      </c>
      <c r="C181" s="25">
        <f>(d_alpha_p!E166-d_alpha_m!E166)/(2*B177)</f>
        <v>3499.999992996693</v>
      </c>
      <c r="D181" s="25">
        <f ca="1">(d_alpha_p!C169-d_alpha_m!C169)/(2*B177)</f>
        <v>0</v>
      </c>
    </row>
    <row r="182" spans="1:31" x14ac:dyDescent="0.25">
      <c r="A182" s="25">
        <f>(d_Y_p!E164-d_Y_m!E164)/(2*C177)</f>
        <v>-12.702896085916858</v>
      </c>
      <c r="B182" s="25">
        <f>(d_Y_p!E165-d_Y_m!E165)/(2*C177)</f>
        <v>54.499208575522083</v>
      </c>
      <c r="C182" s="25">
        <f>(d_Y_p!E166-d_Y_m!E166)/(2*C177)</f>
        <v>4.4983715562099792E-9</v>
      </c>
      <c r="D182" s="25">
        <f ca="1">(d_Y_p!C169-d_Y_m!C169)/(2*C177)</f>
        <v>-0.25570543659772443</v>
      </c>
    </row>
    <row r="183" spans="1:31" x14ac:dyDescent="0.25">
      <c r="A183" s="25">
        <f>(d_T_p!E164-d_T_m!E164)/(2*E177)</f>
        <v>3.435232006617237</v>
      </c>
      <c r="B183" s="25">
        <f>(d_T_p!E165-d_T_m!E165)/(2*E177)</f>
        <v>44.611392489610751</v>
      </c>
      <c r="C183" s="25">
        <f>(d_T_p!E166-d_T_m!E166)/(2*E177)</f>
        <v>-4.6872556087083776E-9</v>
      </c>
      <c r="D183" s="25">
        <f ca="1">(d_T_p!C169-d_T_m!C169)/(2*E177)</f>
        <v>-0.32987408649832045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8.6016252878854933E-4</v>
      </c>
      <c r="B185" s="25">
        <f ca="1"/>
        <v>6.1704649843988514E-13</v>
      </c>
      <c r="C185" s="25">
        <f ca="1"/>
        <v>-7.1720454155199301E-2</v>
      </c>
      <c r="D185" s="25">
        <f ca="1"/>
        <v>5.8202427402943693E-2</v>
      </c>
      <c r="F185" s="8">
        <f>-1*E164</f>
        <v>4.5474735088646412E-13</v>
      </c>
      <c r="H185">
        <f t="array" aca="1" ref="H185:H188" ca="1">MMULT(A185:D188,F185:F188)</f>
        <v>-6.1031980063411699E-13</v>
      </c>
      <c r="J185" s="8">
        <f ca="1">$B$66+H185</f>
        <v>2.1074401349044711</v>
      </c>
      <c r="K185" s="11" t="s">
        <v>115</v>
      </c>
      <c r="L185" s="8">
        <f ca="1">J186</f>
        <v>-5.9472952367408669E-14</v>
      </c>
      <c r="M185" s="11" t="s">
        <v>116</v>
      </c>
      <c r="N185" t="s">
        <v>143</v>
      </c>
    </row>
    <row r="186" spans="1:31" x14ac:dyDescent="0.25">
      <c r="A186" s="25">
        <f ca="1"/>
        <v>6.6356592979140681E-4</v>
      </c>
      <c r="B186" s="25">
        <f ca="1"/>
        <v>3.5937103892551831E-13</v>
      </c>
      <c r="C186" s="25">
        <f ca="1"/>
        <v>-5.122889540443795E-3</v>
      </c>
      <c r="D186" s="25">
        <f ca="1"/>
        <v>5.9826361546667026E-3</v>
      </c>
      <c r="F186" s="8">
        <f>-1*E165</f>
        <v>-4.5474735088646412E-12</v>
      </c>
      <c r="H186">
        <f ca="1"/>
        <v>-4.3312349978805908E-14</v>
      </c>
      <c r="J186" s="8">
        <f ca="1">$B$64+H186</f>
        <v>-5.9472952367408669E-14</v>
      </c>
      <c r="K186" s="11" t="s">
        <v>116</v>
      </c>
      <c r="L186" s="8">
        <f ca="1">J187</f>
        <v>19.963642763887208</v>
      </c>
      <c r="M186" s="1" t="s">
        <v>117</v>
      </c>
    </row>
    <row r="187" spans="1:31" x14ac:dyDescent="0.25">
      <c r="A187" s="25">
        <f ca="1"/>
        <v>0</v>
      </c>
      <c r="B187" s="25">
        <f ca="1"/>
        <v>2.8571428628598424E-4</v>
      </c>
      <c r="C187" s="25">
        <f ca="1"/>
        <v>0</v>
      </c>
      <c r="D187" s="25">
        <f ca="1"/>
        <v>0</v>
      </c>
      <c r="F187" s="8">
        <f>-1*E166</f>
        <v>8.5187612816905889E-12</v>
      </c>
      <c r="H187">
        <f ca="1"/>
        <v>-1.2992781479896815E-15</v>
      </c>
      <c r="J187" s="8">
        <f ca="1">$B$65+H187</f>
        <v>19.963642763887208</v>
      </c>
      <c r="K187" s="1" t="s">
        <v>117</v>
      </c>
      <c r="L187" s="8">
        <f ca="1">J185</f>
        <v>2.1074401349044711</v>
      </c>
      <c r="M187" s="11" t="s">
        <v>115</v>
      </c>
    </row>
    <row r="188" spans="1:31" x14ac:dyDescent="0.25">
      <c r="A188" s="25">
        <f ca="1"/>
        <v>9.8696621890034211E-2</v>
      </c>
      <c r="B188" s="25">
        <f ca="1"/>
        <v>5.096649038275025E-11</v>
      </c>
      <c r="C188" s="25">
        <f ca="1"/>
        <v>-1.4396876112763188</v>
      </c>
      <c r="D188" s="25">
        <f ca="1"/>
        <v>-1.616275575216892</v>
      </c>
      <c r="F188">
        <f ca="1">-1*C169</f>
        <v>4.4408920985006262E-15</v>
      </c>
      <c r="H188">
        <f ca="1"/>
        <v>-1.2226650758987128E-11</v>
      </c>
      <c r="J188" s="8">
        <f ca="1">$B$67+H188</f>
        <v>6.3886198672635128</v>
      </c>
      <c r="K188" s="1" t="s">
        <v>118</v>
      </c>
      <c r="L188" s="8">
        <f ca="1">J188</f>
        <v>6.3886198672635128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-129.0410987816411</v>
      </c>
      <c r="B190" s="25">
        <f>A181</f>
        <v>0</v>
      </c>
      <c r="C190" s="25">
        <f>A182</f>
        <v>-12.702896085916858</v>
      </c>
      <c r="D190" s="25">
        <f>A183</f>
        <v>3.435232006617237</v>
      </c>
      <c r="F190" t="s">
        <v>119</v>
      </c>
      <c r="W190" s="25">
        <f>A190</f>
        <v>-129.0410987816411</v>
      </c>
      <c r="X190" s="25">
        <f t="shared" ref="X190:Z190" si="169">B190</f>
        <v>0</v>
      </c>
      <c r="Y190" s="25">
        <f t="shared" si="169"/>
        <v>-12.702896085916858</v>
      </c>
      <c r="Z190" s="25">
        <f t="shared" si="169"/>
        <v>3.435232006617237</v>
      </c>
      <c r="AB190" s="25">
        <f>(d_sigma_p!E164-(2*'Rigid Bearing Plate Analysis'!E164)+d_sigma_m!E164)/POWER('Rigid Bearing Plate Analysis'!D177,2)</f>
        <v>-87.264634354095108</v>
      </c>
      <c r="AC190" s="25">
        <f>(d_alpha_p!E164-(2*'Rigid Bearing Plate Analysis'!E164)+d_alpha_m!E164)/POWER('Rigid Bearing Plate Analysis'!B177,2)</f>
        <v>0</v>
      </c>
      <c r="AD190" s="25">
        <f>(d_Y_p!E164-(2*'Rigid Bearing Plate Analysis'!E164)+d_Y_m!E164)/POWER('Rigid Bearing Plate Analysis'!C177,2)</f>
        <v>-0.64830285331434212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1525.5450144552381</v>
      </c>
      <c r="B191" s="25">
        <f>B181</f>
        <v>0</v>
      </c>
      <c r="C191" s="25">
        <f>B182</f>
        <v>54.499208575522083</v>
      </c>
      <c r="D191" s="25">
        <f>B183</f>
        <v>44.611392489610751</v>
      </c>
      <c r="F191" t="s">
        <v>120</v>
      </c>
      <c r="W191" s="25">
        <f t="shared" ref="W191:W193" si="170">A191</f>
        <v>1525.5450144552381</v>
      </c>
      <c r="X191" s="25">
        <f t="shared" ref="X191:X193" si="171">B191</f>
        <v>0</v>
      </c>
      <c r="Y191" s="25">
        <f t="shared" ref="Y191:Y193" si="172">C191</f>
        <v>54.499208575522083</v>
      </c>
      <c r="Z191" s="25">
        <f t="shared" ref="Z191:Z193" si="173">D191</f>
        <v>44.611392489610751</v>
      </c>
      <c r="AB191" s="25">
        <f>(d_sigma_p!E165-(2*'Rigid Bearing Plate Analysis'!E165)+d_sigma_m!E165)/POWER('Rigid Bearing Plate Analysis'!D177,2)</f>
        <v>930.82276644368119</v>
      </c>
      <c r="AC191" s="25">
        <f>(d_alpha_p!E165-(2*'Rigid Bearing Plate Analysis'!E165)+d_alpha_m!E165)/POWER('Rigid Bearing Plate Analysis'!B177,2)</f>
        <v>0</v>
      </c>
      <c r="AD191" s="25">
        <f>(d_Y_p!E165-(2*'Rigid Bearing Plate Analysis'!E165)+d_Y_m!E165)/POWER('Rigid Bearing Plate Analysis'!C177,2)</f>
        <v>-10.372845653029474</v>
      </c>
      <c r="AE191" s="25">
        <f>(d_T_p!E165-(2*'Rigid Bearing Plate Analysis'!E165)+d_T_m!E165)/POWER('Rigid Bearing Plate Analysis'!E177,2)</f>
        <v>50.644629970779434</v>
      </c>
    </row>
    <row r="192" spans="1:31" x14ac:dyDescent="0.25">
      <c r="A192" s="25">
        <f>C180</f>
        <v>-1.8185258978511746E-6</v>
      </c>
      <c r="B192" s="25">
        <f>C181</f>
        <v>3499.999992996693</v>
      </c>
      <c r="C192" s="25">
        <f>C182</f>
        <v>4.4983715562099792E-9</v>
      </c>
      <c r="D192" s="25">
        <f>C183</f>
        <v>-4.6872556087083776E-9</v>
      </c>
      <c r="F192" t="s">
        <v>121</v>
      </c>
      <c r="W192" s="25">
        <f t="shared" si="170"/>
        <v>-1.8185258978511746E-6</v>
      </c>
      <c r="X192" s="25">
        <f t="shared" si="171"/>
        <v>3499.999992996693</v>
      </c>
      <c r="Y192" s="25">
        <f t="shared" si="172"/>
        <v>4.4983715562099792E-9</v>
      </c>
      <c r="Z192" s="25">
        <f t="shared" si="173"/>
        <v>-4.6872556087083776E-9</v>
      </c>
      <c r="AB192" s="25">
        <f>(d_sigma_p!E166-(2*'Rigid Bearing Plate Analysis'!E166)+d_sigma_m!E166)/POWER('Rigid Bearing Plate Analysis'!D177,2)</f>
        <v>347.24052420066351</v>
      </c>
      <c r="AC192" s="25">
        <f>(d_alpha_p!E166-(2*'Rigid Bearing Plate Analysis'!E166)+d_alpha_m!E166)/POWER('Rigid Bearing Plate Analysis'!B177,2)</f>
        <v>1.1247412104828702E+17</v>
      </c>
      <c r="AD192" s="25">
        <f>(d_Y_p!E166-(2*'Rigid Bearing Plate Analysis'!E166)+d_Y_m!E166)/POWER('Rigid Bearing Plate Analysis'!C177,2)</f>
        <v>-7.0908124581035056E-2</v>
      </c>
      <c r="AE192" s="25">
        <f>(d_T_p!E166-(2*'Rigid Bearing Plate Analysis'!E166)+d_T_m!E166)/POWER('Rigid Bearing Plate Analysis'!E177,2)</f>
        <v>9.891529291095888E-2</v>
      </c>
    </row>
    <row r="193" spans="1:38" x14ac:dyDescent="0.25">
      <c r="A193" s="25">
        <f ca="1">D180</f>
        <v>1</v>
      </c>
      <c r="B193" s="25">
        <f ca="1">D181</f>
        <v>0</v>
      </c>
      <c r="C193" s="25">
        <f ca="1">D182</f>
        <v>-0.25570543659772443</v>
      </c>
      <c r="D193" s="25">
        <f ca="1">D183</f>
        <v>-0.32987408649832045</v>
      </c>
      <c r="W193" s="25">
        <f t="shared" ca="1" si="170"/>
        <v>1</v>
      </c>
      <c r="X193" s="25">
        <f t="shared" ca="1" si="171"/>
        <v>0</v>
      </c>
      <c r="Y193" s="25">
        <f t="shared" ca="1" si="172"/>
        <v>-0.25570543659772443</v>
      </c>
      <c r="Z193" s="25">
        <f t="shared" ca="1" si="173"/>
        <v>-0.32987408649832045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0</v>
      </c>
      <c r="AD193" s="25">
        <f ca="1">(d_Y_p!C169-(2*'Rigid Bearing Plate Analysis'!C169)+d_Y_m!C169)/POWER('Rigid Bearing Plate Analysis'!C177,2)</f>
        <v>-3.5454062290628086E-2</v>
      </c>
      <c r="AE193" s="25">
        <f ca="1"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S194" t="s">
        <v>232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8.601625287885476E-4</v>
      </c>
      <c r="B195" s="25">
        <f ca="1"/>
        <v>6.635659297914067E-4</v>
      </c>
      <c r="C195" s="25">
        <f ca="1"/>
        <v>0</v>
      </c>
      <c r="D195" s="25">
        <f ca="1"/>
        <v>9.8696621890034197E-2</v>
      </c>
      <c r="H195">
        <f t="array" aca="1" ref="H195:H198" ca="1">MMULT(A195:D198,F185:F188)</f>
        <v>-2.1880908075130054E-15</v>
      </c>
      <c r="J195" s="8">
        <f ca="1">$B$66+H195</f>
        <v>2.1074401349050791</v>
      </c>
      <c r="K195" s="11" t="s">
        <v>115</v>
      </c>
      <c r="L195" s="36">
        <f ca="1">J196</f>
        <v>-1.3726670590091158E-14</v>
      </c>
      <c r="M195" s="37" t="s">
        <v>116</v>
      </c>
      <c r="N195" t="s">
        <v>146</v>
      </c>
      <c r="S195">
        <f ca="1">0.5*H195</f>
        <v>-1.0940454037565027E-15</v>
      </c>
      <c r="U195" s="8">
        <f ca="1">$B$66+S195</f>
        <v>2.1074401349050804</v>
      </c>
      <c r="V195" s="11" t="s">
        <v>115</v>
      </c>
      <c r="W195" s="36">
        <f ca="1">U196</f>
        <v>-1.4943636489346963E-14</v>
      </c>
      <c r="X195" s="37" t="s">
        <v>116</v>
      </c>
      <c r="AB195">
        <f t="array" aca="1" ref="AB195:AE198" ca="1">MINVERSE(AB190:AE193)</f>
        <v>-1.1459395978699501E-2</v>
      </c>
      <c r="AC195">
        <f ca="1"/>
        <v>1.1927329934858548E-19</v>
      </c>
      <c r="AD195">
        <f ca="1"/>
        <v>0</v>
      </c>
      <c r="AE195">
        <f ca="1"/>
        <v>0.20954324075336225</v>
      </c>
      <c r="AG195">
        <f t="array" aca="1" ref="AG195:AJ198" ca="1">MMULT(W190:Z193,AB195:AE198)</f>
        <v>2.2022544713366372</v>
      </c>
      <c r="AH195">
        <f ca="1"/>
        <v>6.7830133394187614E-2</v>
      </c>
      <c r="AI195">
        <f ca="1"/>
        <v>0</v>
      </c>
      <c r="AJ195">
        <f ca="1"/>
        <v>298.17674029690039</v>
      </c>
      <c r="AL195">
        <f t="array" aca="1" ref="AL195:AL198" ca="1">MMULT(AG195:AJ198,H195:H198)</f>
        <v>-2.3650759316592013E-12</v>
      </c>
    </row>
    <row r="196" spans="1:38" x14ac:dyDescent="0.25">
      <c r="A196" s="25">
        <f ca="1"/>
        <v>6.1704649843988484E-13</v>
      </c>
      <c r="B196" s="25">
        <f ca="1"/>
        <v>3.5937103892551821E-13</v>
      </c>
      <c r="C196" s="25">
        <f ca="1"/>
        <v>2.8571428628598424E-4</v>
      </c>
      <c r="D196" s="25">
        <f ca="1"/>
        <v>5.0966490382750237E-11</v>
      </c>
      <c r="H196">
        <f ca="1"/>
        <v>2.4339317985116097E-15</v>
      </c>
      <c r="J196" s="8">
        <f ca="1">$B$64+H196</f>
        <v>-1.3726670590091158E-14</v>
      </c>
      <c r="K196" s="11" t="s">
        <v>116</v>
      </c>
      <c r="L196" s="38">
        <f ca="1">J197</f>
        <v>19.963642763887194</v>
      </c>
      <c r="M196" s="39" t="s">
        <v>117</v>
      </c>
      <c r="S196">
        <f t="shared" ref="S196:S198" ca="1" si="174">0.5*H196</f>
        <v>1.2169658992558049E-15</v>
      </c>
      <c r="U196" s="8">
        <f ca="1">$B$64+S196</f>
        <v>-1.4943636489346963E-14</v>
      </c>
      <c r="V196" s="11" t="s">
        <v>116</v>
      </c>
      <c r="W196" s="38">
        <f ca="1">U197</f>
        <v>19.963642763887201</v>
      </c>
      <c r="X196" s="39" t="s">
        <v>117</v>
      </c>
      <c r="AB196">
        <f ca="1"/>
        <v>3.51932808759984E-17</v>
      </c>
      <c r="AC196">
        <f ca="1"/>
        <v>-1.7365105695267762E-20</v>
      </c>
      <c r="AD196">
        <f ca="1"/>
        <v>8.8909341160415314E-18</v>
      </c>
      <c r="AE196">
        <f ca="1"/>
        <v>-6.5623561332686871E-16</v>
      </c>
      <c r="AG196">
        <f ca="1"/>
        <v>-8.0858656715852213</v>
      </c>
      <c r="AH196">
        <f ca="1"/>
        <v>0.88087113116139415</v>
      </c>
      <c r="AI196">
        <f ca="1"/>
        <v>0</v>
      </c>
      <c r="AJ196">
        <f ca="1"/>
        <v>-1647.0400089611012</v>
      </c>
      <c r="AL196">
        <f ca="1"/>
        <v>1.3058110299812362E-11</v>
      </c>
    </row>
    <row r="197" spans="1:38" x14ac:dyDescent="0.25">
      <c r="A197" s="25">
        <f ca="1"/>
        <v>-7.1720454155199315E-2</v>
      </c>
      <c r="B197" s="25">
        <f ca="1"/>
        <v>-5.122889540443795E-3</v>
      </c>
      <c r="C197" s="25">
        <f ca="1"/>
        <v>0</v>
      </c>
      <c r="D197" s="25">
        <f ca="1"/>
        <v>-1.4396876112763184</v>
      </c>
      <c r="H197">
        <f ca="1"/>
        <v>-1.5711979394669314E-14</v>
      </c>
      <c r="J197" s="8">
        <f ca="1">$B$65+H197</f>
        <v>19.963642763887194</v>
      </c>
      <c r="K197" s="1" t="s">
        <v>117</v>
      </c>
      <c r="L197" s="38">
        <f ca="1">J195</f>
        <v>2.1074401349050791</v>
      </c>
      <c r="M197" s="43" t="s">
        <v>115</v>
      </c>
      <c r="S197">
        <f t="shared" ca="1" si="174"/>
        <v>-7.8559896973346569E-15</v>
      </c>
      <c r="U197" s="8">
        <f ca="1">$B$65+S197</f>
        <v>19.963642763887201</v>
      </c>
      <c r="V197" s="1" t="s">
        <v>117</v>
      </c>
      <c r="W197" s="38">
        <f ca="1">U195</f>
        <v>2.1074401349050804</v>
      </c>
      <c r="X197" s="43" t="s">
        <v>115</v>
      </c>
      <c r="AB197">
        <f ca="1"/>
        <v>-6.850027075767587E-17</v>
      </c>
      <c r="AC197">
        <f ca="1"/>
        <v>-8.5625338447094837E-18</v>
      </c>
      <c r="AD197">
        <f ca="1"/>
        <v>0</v>
      </c>
      <c r="AE197">
        <f ca="1"/>
        <v>-28.205512581398594</v>
      </c>
      <c r="AG197">
        <f ca="1"/>
        <v>1.9852111506680485E-8</v>
      </c>
      <c r="AH197">
        <f ca="1"/>
        <v>-9.2551938665274807E-11</v>
      </c>
      <c r="AI197">
        <f ca="1"/>
        <v>3.1118269343879419E-14</v>
      </c>
      <c r="AJ197">
        <f ca="1"/>
        <v>-4.6281092382797043E-7</v>
      </c>
      <c r="AL197">
        <f ca="1"/>
        <v>3.6200330000100108E-21</v>
      </c>
    </row>
    <row r="198" spans="1:38" ht="15.75" thickBot="1" x14ac:dyDescent="0.3">
      <c r="A198" s="25">
        <f ca="1"/>
        <v>5.8202427402943707E-2</v>
      </c>
      <c r="B198" s="25">
        <f ca="1"/>
        <v>5.9826361546667034E-3</v>
      </c>
      <c r="C198" s="25">
        <f ca="1"/>
        <v>0</v>
      </c>
      <c r="D198" s="25">
        <f ca="1"/>
        <v>-1.616275575216892</v>
      </c>
      <c r="H198">
        <f ca="1"/>
        <v>-7.9161851808525108E-15</v>
      </c>
      <c r="J198" s="8">
        <f ca="1">$B$67+H198</f>
        <v>6.3886198672757315</v>
      </c>
      <c r="K198" s="1" t="s">
        <v>118</v>
      </c>
      <c r="L198" s="41">
        <f ca="1">J198</f>
        <v>6.3886198672757315</v>
      </c>
      <c r="M198" s="42" t="s">
        <v>118</v>
      </c>
      <c r="S198">
        <f t="shared" ca="1" si="174"/>
        <v>-3.9580925904262554E-15</v>
      </c>
      <c r="U198" s="8">
        <f ca="1">$B$67+S198</f>
        <v>6.3886198672757359</v>
      </c>
      <c r="V198" s="1" t="s">
        <v>118</v>
      </c>
      <c r="W198" s="41">
        <f ca="1">U198</f>
        <v>6.3886198672757359</v>
      </c>
      <c r="X198" s="42" t="s">
        <v>118</v>
      </c>
      <c r="AB198">
        <f ca="1"/>
        <v>0.2106179208500692</v>
      </c>
      <c r="AC198">
        <f ca="1"/>
        <v>1.9745430079693985E-2</v>
      </c>
      <c r="AD198">
        <f ca="1"/>
        <v>0</v>
      </c>
      <c r="AE198">
        <f ca="1"/>
        <v>-9.6282478102888778</v>
      </c>
      <c r="AG198">
        <f ca="1"/>
        <v>-8.0936790219291621E-2</v>
      </c>
      <c r="AH198">
        <f ca="1"/>
        <v>-6.5135057100555093E-3</v>
      </c>
      <c r="AI198">
        <f ca="1"/>
        <v>0</v>
      </c>
      <c r="AJ198">
        <f ca="1"/>
        <v>10.597955600840997</v>
      </c>
      <c r="AL198">
        <f ca="1"/>
        <v>-8.3734135456709425E-14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-129.0410987816411</v>
      </c>
      <c r="B201" s="25">
        <f t="shared" ref="B201:C201" si="175">B190</f>
        <v>0</v>
      </c>
      <c r="C201" s="25">
        <f t="shared" si="175"/>
        <v>-12.702896085916858</v>
      </c>
      <c r="D201" s="25"/>
    </row>
    <row r="202" spans="1:38" x14ac:dyDescent="0.25">
      <c r="A202" s="25">
        <f t="shared" ref="A202:C202" si="176">A191</f>
        <v>1525.5450144552381</v>
      </c>
      <c r="B202" s="25">
        <f t="shared" si="176"/>
        <v>0</v>
      </c>
      <c r="C202" s="25">
        <f t="shared" si="176"/>
        <v>54.499208575522083</v>
      </c>
      <c r="D202" s="25"/>
    </row>
    <row r="203" spans="1:38" x14ac:dyDescent="0.25">
      <c r="A203" s="25">
        <f t="shared" ref="A203:C203" si="177">A192</f>
        <v>-1.8185258978511746E-6</v>
      </c>
      <c r="B203" s="25">
        <f t="shared" si="177"/>
        <v>3499.999992996693</v>
      </c>
      <c r="C203" s="25">
        <f t="shared" si="177"/>
        <v>4.4983715562099792E-9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4.4142488854419584E-3</v>
      </c>
      <c r="B205" s="25">
        <v>1.0288909941038782E-3</v>
      </c>
      <c r="C205" s="25">
        <v>0</v>
      </c>
      <c r="D205" s="25"/>
      <c r="H205">
        <f t="array" ref="H205:H207">MMULT(A205:C207,F185:F187)</f>
        <v>-2.6714865523885345E-15</v>
      </c>
      <c r="J205" s="8">
        <f>$B$66+H205</f>
        <v>2.1074401349050786</v>
      </c>
      <c r="K205" s="11" t="s">
        <v>115</v>
      </c>
      <c r="L205" s="36">
        <f>J206</f>
        <v>-1.3726670590340782E-14</v>
      </c>
      <c r="M205" s="37" t="s">
        <v>116</v>
      </c>
      <c r="N205" t="s">
        <v>145</v>
      </c>
      <c r="S205">
        <f>0.5*H205</f>
        <v>-1.3357432761942673E-15</v>
      </c>
      <c r="U205" s="8">
        <f>$B$66+S205</f>
        <v>2.10744013490508</v>
      </c>
      <c r="V205" s="11" t="s">
        <v>115</v>
      </c>
      <c r="W205" s="36">
        <f>U206</f>
        <v>-1.4943636489471773E-14</v>
      </c>
      <c r="X205" s="37" t="s">
        <v>116</v>
      </c>
    </row>
    <row r="206" spans="1:38" x14ac:dyDescent="0.25">
      <c r="A206" s="25">
        <v>2.4523606626638814E-12</v>
      </c>
      <c r="B206" s="25">
        <v>5.4802325437423415E-13</v>
      </c>
      <c r="C206" s="25">
        <v>2.8571428628598424E-4</v>
      </c>
      <c r="D206" s="25"/>
      <c r="H206">
        <v>2.4339317982619862E-15</v>
      </c>
      <c r="J206" s="8">
        <f>$B$64+H206</f>
        <v>-1.3726670590340782E-14</v>
      </c>
      <c r="K206" s="11" t="s">
        <v>116</v>
      </c>
      <c r="L206" s="38">
        <f>J207</f>
        <v>19.963642763887201</v>
      </c>
      <c r="M206" s="39" t="s">
        <v>117</v>
      </c>
      <c r="N206" t="s">
        <v>147</v>
      </c>
      <c r="S206">
        <f t="shared" ref="S206:S207" si="178">0.5*H206</f>
        <v>1.2169658991309931E-15</v>
      </c>
      <c r="U206" s="8">
        <f>$B$64+S206</f>
        <v>-1.4943636489471773E-14</v>
      </c>
      <c r="V206" s="11" t="s">
        <v>116</v>
      </c>
      <c r="W206" s="38">
        <f>U207</f>
        <v>19.963642763887204</v>
      </c>
      <c r="X206" s="39" t="s">
        <v>117</v>
      </c>
    </row>
    <row r="207" spans="1:38" ht="15.75" thickBot="1" x14ac:dyDescent="0.3">
      <c r="A207" s="25">
        <v>-0.1235639113991677</v>
      </c>
      <c r="B207" s="25">
        <v>-1.0451886208287166E-2</v>
      </c>
      <c r="C207" s="25">
        <v>0</v>
      </c>
      <c r="D207" s="25"/>
      <c r="H207">
        <v>-8.6606857240876886E-15</v>
      </c>
      <c r="J207" s="8">
        <f>$B$65+H207</f>
        <v>19.963642763887201</v>
      </c>
      <c r="K207" s="1" t="s">
        <v>117</v>
      </c>
      <c r="L207" s="41">
        <f>J205</f>
        <v>2.1074401349050786</v>
      </c>
      <c r="M207" s="68" t="s">
        <v>115</v>
      </c>
      <c r="S207">
        <f t="shared" si="178"/>
        <v>-4.3303428620438443E-15</v>
      </c>
      <c r="U207" s="8">
        <f>$B$65+S207</f>
        <v>19.963642763887204</v>
      </c>
      <c r="V207" s="1" t="s">
        <v>117</v>
      </c>
      <c r="W207" s="41">
        <f>U205</f>
        <v>2.10744013490508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0</v>
      </c>
      <c r="B212" s="25">
        <f>A182</f>
        <v>-12.702896085916858</v>
      </c>
      <c r="C212" s="25">
        <f>A183</f>
        <v>3.435232006617237</v>
      </c>
    </row>
    <row r="213" spans="1:24" x14ac:dyDescent="0.25">
      <c r="A213" s="25">
        <f>B181</f>
        <v>0</v>
      </c>
      <c r="B213" s="25">
        <f>B182</f>
        <v>54.499208575522083</v>
      </c>
      <c r="C213" s="25">
        <f>B183</f>
        <v>44.611392489610751</v>
      </c>
    </row>
    <row r="214" spans="1:24" x14ac:dyDescent="0.25">
      <c r="A214" s="25">
        <f>C181</f>
        <v>3499.999992996693</v>
      </c>
      <c r="B214" s="25">
        <f>C182</f>
        <v>4.4983715562099792E-9</v>
      </c>
      <c r="C214" s="25">
        <f>C183</f>
        <v>-4.6872556087083776E-9</v>
      </c>
    </row>
    <row r="215" spans="1:24" ht="15.75" thickBot="1" x14ac:dyDescent="0.3"/>
    <row r="216" spans="1:24" x14ac:dyDescent="0.25">
      <c r="A216">
        <f t="array" ref="A216:C218">MINVERSE(A212:C214)</f>
        <v>1.7286244825072334E-13</v>
      </c>
      <c r="B216">
        <v>1.6708585729140372E-14</v>
      </c>
      <c r="C216">
        <v>2.8571428628598424E-4</v>
      </c>
      <c r="H216" cm="1">
        <f t="array" ref="H216:H218">MMULT(A216:C218,F185:F187)</f>
        <v>2.4339317996415299E-15</v>
      </c>
      <c r="J216" s="8">
        <f>$B$64+H216</f>
        <v>-1.3726670588961238E-14</v>
      </c>
      <c r="K216" s="11" t="s">
        <v>116</v>
      </c>
      <c r="L216" s="36">
        <f>J216</f>
        <v>-1.3726670588961238E-14</v>
      </c>
      <c r="M216" s="37" t="s">
        <v>116</v>
      </c>
      <c r="N216" t="s">
        <v>144</v>
      </c>
      <c r="S216">
        <f>0.5*H216</f>
        <v>1.216965899820765E-15</v>
      </c>
      <c r="U216" s="8">
        <f>$B$64+S216</f>
        <v>-1.4943636488782003E-14</v>
      </c>
      <c r="V216" s="11" t="s">
        <v>116</v>
      </c>
      <c r="W216" s="36">
        <f>U216</f>
        <v>-1.4943636488782003E-14</v>
      </c>
      <c r="X216" s="37" t="s">
        <v>116</v>
      </c>
    </row>
    <row r="217" spans="1:24" x14ac:dyDescent="0.25">
      <c r="A217">
        <v>-5.9173263454379336E-2</v>
      </c>
      <c r="B217">
        <v>4.556546595173354E-3</v>
      </c>
      <c r="C217">
        <v>0</v>
      </c>
      <c r="H217">
        <v>-4.7629659732644026E-14</v>
      </c>
      <c r="J217" s="8">
        <f>$B$65+H217</f>
        <v>19.963642763887162</v>
      </c>
      <c r="K217" s="1" t="s">
        <v>117</v>
      </c>
      <c r="L217" s="38">
        <f>J217</f>
        <v>19.963642763887162</v>
      </c>
      <c r="M217" s="39" t="s">
        <v>117</v>
      </c>
      <c r="S217">
        <f t="shared" ref="S217:S218" si="179">0.5*H217</f>
        <v>-2.3814829866322013E-14</v>
      </c>
      <c r="U217" s="8">
        <f>$B$65+S217</f>
        <v>19.963642763887183</v>
      </c>
      <c r="V217" s="1" t="s">
        <v>117</v>
      </c>
      <c r="W217" s="38">
        <f>U217</f>
        <v>19.963642763887183</v>
      </c>
      <c r="X217" s="39" t="s">
        <v>117</v>
      </c>
    </row>
    <row r="218" spans="1:24" x14ac:dyDescent="0.25">
      <c r="A218">
        <v>7.228862062186385E-2</v>
      </c>
      <c r="B218">
        <v>1.6849324237090655E-2</v>
      </c>
      <c r="C218">
        <v>0</v>
      </c>
      <c r="H218">
        <v>-4.3748796883411475E-14</v>
      </c>
      <c r="J218" s="8">
        <f>$B$67+H218</f>
        <v>6.388619867275696</v>
      </c>
      <c r="K218" s="1" t="s">
        <v>118</v>
      </c>
      <c r="L218" s="38">
        <f>$B$66</f>
        <v>2.1074401349050813</v>
      </c>
      <c r="M218" s="40"/>
      <c r="S218">
        <f t="shared" si="179"/>
        <v>-2.1874398441705737E-14</v>
      </c>
      <c r="U218" s="8">
        <f>$B$67+S218</f>
        <v>6.3886198672757173</v>
      </c>
      <c r="V218" s="1" t="s">
        <v>118</v>
      </c>
      <c r="W218" s="38">
        <f>$B$66</f>
        <v>2.1074401349050813</v>
      </c>
      <c r="X218" s="40"/>
    </row>
    <row r="219" spans="1:24" ht="15.75" thickBot="1" x14ac:dyDescent="0.3">
      <c r="L219" s="41">
        <f>J218</f>
        <v>6.388619867275696</v>
      </c>
      <c r="M219" s="42" t="s">
        <v>118</v>
      </c>
      <c r="W219" s="41">
        <f>U218</f>
        <v>6.3886198672757173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5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  <dataValidation type="list" allowBlank="1" showInputMessage="1" showErrorMessage="1" sqref="I54" xr:uid="{EB691415-1D99-4ED4-A99A-88476B96B39B}">
      <formula1>"Linear,Rectangular"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0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6" x14ac:dyDescent="0.25">
      <c r="A51" s="10" t="s">
        <v>8</v>
      </c>
      <c r="B51" s="17">
        <f>'Rigid Bearing Plate Analysis'!B51</f>
        <v>5</v>
      </c>
      <c r="C51" t="s">
        <v>11</v>
      </c>
    </row>
    <row r="52" spans="1:16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6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6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/>
      <c r="H54" s="17" t="str">
        <f>'Rigid Bearing Plate Analysis'!H54</f>
        <v>Stress Block</v>
      </c>
      <c r="I54" s="17" t="str">
        <f>'Rigid Bearing Plate Analysis'!I54</f>
        <v>Linear</v>
      </c>
      <c r="J54" s="17"/>
      <c r="K54" s="17"/>
      <c r="L54" s="17"/>
      <c r="M54" s="17"/>
      <c r="N54" s="17"/>
      <c r="O54" s="17"/>
      <c r="P54" s="17"/>
    </row>
    <row r="55" spans="1:16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/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/>
      <c r="M55" s="17"/>
      <c r="N55" s="17"/>
      <c r="O55" s="17"/>
      <c r="P55" s="17"/>
    </row>
    <row r="56" spans="1:16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/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/>
      <c r="L56" s="17"/>
      <c r="M56" s="17"/>
      <c r="N56" s="17"/>
      <c r="O56" s="17"/>
      <c r="P56" s="17"/>
    </row>
    <row r="57" spans="1:16" x14ac:dyDescent="0.25">
      <c r="D57" s="17" t="str">
        <f>'Rigid Bearing Plate Analysis'!D57</f>
        <v>Hole</v>
      </c>
      <c r="E57" s="17" t="str">
        <f>'Rigid Bearing Plate Analysis'!E57</f>
        <v>STD</v>
      </c>
      <c r="F57" s="17"/>
      <c r="G57" s="17"/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/>
      <c r="L57" s="17"/>
      <c r="M57" s="17" t="str">
        <f ca="1">'Rigid Bearing Plate Analysis'!M57</f>
        <v>SOLUTION FOUND</v>
      </c>
      <c r="N57" s="17"/>
      <c r="O57" s="17"/>
      <c r="P57" s="17"/>
    </row>
    <row r="58" spans="1:16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/>
      <c r="H59" s="17" t="str">
        <f>'Rigid Bearing Plate Analysis'!H59</f>
        <v>Max Iterations:</v>
      </c>
      <c r="I59" s="17">
        <f>'Rigid Bearing Plate Analysis'!I59</f>
        <v>200</v>
      </c>
      <c r="J59" s="17"/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/>
      <c r="O59" s="17"/>
      <c r="P59" s="17"/>
    </row>
    <row r="60" spans="1:16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/>
      <c r="G60" s="17"/>
      <c r="H60" s="17" t="str">
        <f>'Rigid Bearing Plate Analysis'!H60</f>
        <v>Iterations Used:</v>
      </c>
      <c r="I60" s="17">
        <f>'Rigid Bearing Plate Analysis'!I60</f>
        <v>97</v>
      </c>
      <c r="J60" s="17"/>
      <c r="K60" s="17"/>
      <c r="L60" s="17">
        <f>'Rigid Bearing Plate Analysis'!L60</f>
        <v>1</v>
      </c>
      <c r="M60" s="17" t="str">
        <f>'Rigid Bearing Plate Analysis'!M60</f>
        <v>Used Higher Precision for Solution</v>
      </c>
      <c r="N60" s="17"/>
      <c r="O60" s="17"/>
      <c r="P60" s="17"/>
    </row>
    <row r="61" spans="1:16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6" x14ac:dyDescent="0.25">
      <c r="A63" s="16" t="s">
        <v>38</v>
      </c>
    </row>
    <row r="64" spans="1:16" x14ac:dyDescent="0.25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2.1074401661634701</v>
      </c>
      <c r="C66" t="s">
        <v>11</v>
      </c>
      <c r="D66">
        <f>B66/B53</f>
        <v>5.1725453583641222E-4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6.388619962034273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-3.6367959158902478E-4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-6.3886198672756667</v>
      </c>
      <c r="I111">
        <f t="shared" ref="I111:I121" si="39">H111*C111</f>
        <v>102.21791787641016</v>
      </c>
      <c r="J111">
        <f t="shared" ref="J111:J121" si="40">H111*B111*-1</f>
        <v>31.943099336379984</v>
      </c>
      <c r="K111">
        <f ca="1">H111/$B$55</f>
        <v>-10.546707999648659</v>
      </c>
      <c r="L111">
        <f t="shared" ref="L111:L121" ca="1" si="41">K111/$B$54</f>
        <v>-3.6367958619478135E-4</v>
      </c>
      <c r="M111">
        <f t="shared" si="34"/>
        <v>-3.6367959158902061E-4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-3.6577318912249503</v>
      </c>
      <c r="I112">
        <f t="shared" si="39"/>
        <v>36.577318912249794</v>
      </c>
      <c r="J112">
        <f t="shared" si="40"/>
        <v>-18.288659456124162</v>
      </c>
      <c r="K112">
        <f t="shared" ref="K112:K121" ca="1" si="45">H112/$B$55</f>
        <v>-6.0383981202817774</v>
      </c>
      <c r="L112">
        <f t="shared" ca="1" si="41"/>
        <v>-2.0822062483730268E-4</v>
      </c>
      <c r="M112">
        <f t="shared" si="34"/>
        <v>-2.0822062792571322E-4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-3.6577318912248775</v>
      </c>
      <c r="I113">
        <f t="shared" si="39"/>
        <v>36.577318912248479</v>
      </c>
      <c r="J113">
        <f t="shared" si="40"/>
        <v>18.288659456124979</v>
      </c>
      <c r="K113">
        <f t="shared" ca="1" si="45"/>
        <v>-6.0383981202816566</v>
      </c>
      <c r="L113">
        <f t="shared" ca="1" si="41"/>
        <v>-2.082206248372985E-4</v>
      </c>
      <c r="M113">
        <f t="shared" si="34"/>
        <v>-2.0822062792570908E-4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-0.92684391517416209</v>
      </c>
      <c r="I114">
        <f t="shared" si="39"/>
        <v>3.7073756606967234</v>
      </c>
      <c r="J114">
        <f t="shared" si="40"/>
        <v>-4.6342195758707501</v>
      </c>
      <c r="K114">
        <f t="shared" ca="1" si="45"/>
        <v>-1.5300882409147765</v>
      </c>
      <c r="L114">
        <f t="shared" ca="1" si="41"/>
        <v>-5.2761663479819877E-5</v>
      </c>
      <c r="M114">
        <f t="shared" si="34"/>
        <v>-5.2761664262401715E-5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-0.92684391517408848</v>
      </c>
      <c r="I115">
        <f t="shared" si="39"/>
        <v>3.7073756606962789</v>
      </c>
      <c r="J115">
        <f t="shared" si="40"/>
        <v>4.6342195758705023</v>
      </c>
      <c r="K115">
        <f t="shared" ca="1" si="45"/>
        <v>-1.530088240914655</v>
      </c>
      <c r="L115">
        <f t="shared" ca="1" si="41"/>
        <v>-5.276166347981569E-5</v>
      </c>
      <c r="M115">
        <f t="shared" si="34"/>
        <v>-5.2761664262397527E-5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1.0269729940090981E-4</v>
      </c>
      <c r="N116">
        <f t="shared" si="42"/>
        <v>0.37098617649553267</v>
      </c>
      <c r="O116">
        <f t="shared" si="43"/>
        <v>0.74197235299103537</v>
      </c>
      <c r="P116">
        <f t="shared" si="44"/>
        <v>1.8549308824776751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1.02697299400914E-4</v>
      </c>
      <c r="N117">
        <f t="shared" si="42"/>
        <v>0.37098617649554777</v>
      </c>
      <c r="O117">
        <f t="shared" si="43"/>
        <v>0.74197235299112552</v>
      </c>
      <c r="P117">
        <f t="shared" si="44"/>
        <v>-1.8549308824777271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2.5815626306422128E-4</v>
      </c>
      <c r="N118">
        <f t="shared" si="42"/>
        <v>0.93256984878145588</v>
      </c>
      <c r="O118">
        <f t="shared" si="43"/>
        <v>7.4605587902515715</v>
      </c>
      <c r="P118">
        <f t="shared" si="44"/>
        <v>4.6628492439074005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2.5815626306422551E-4</v>
      </c>
      <c r="N119">
        <f t="shared" si="42"/>
        <v>0.9325698487814712</v>
      </c>
      <c r="O119">
        <f t="shared" si="43"/>
        <v>7.4605587902518442</v>
      </c>
      <c r="P119">
        <f t="shared" si="44"/>
        <v>-4.6628492439072353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4.136152267275329E-4</v>
      </c>
      <c r="N120">
        <f t="shared" si="42"/>
        <v>1.4941535210673795</v>
      </c>
      <c r="O120">
        <f t="shared" si="43"/>
        <v>20.918149294943195</v>
      </c>
      <c r="P120">
        <f t="shared" si="44"/>
        <v>7.4707676053372358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4.1361522672753702E-4</v>
      </c>
      <c r="N121" s="23">
        <f t="shared" si="42"/>
        <v>1.4941535210673944</v>
      </c>
      <c r="O121" s="23">
        <f t="shared" si="43"/>
        <v>20.918149294943643</v>
      </c>
      <c r="P121" s="23">
        <f t="shared" si="44"/>
        <v>-7.4707676053366336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-21.946391347349483</v>
      </c>
      <c r="I122">
        <f t="shared" ref="I122:J122" si="46">SUM(I110:I121)</f>
        <v>285.00522489871378</v>
      </c>
      <c r="J122">
        <f t="shared" si="46"/>
        <v>3.5074165793957945E-12</v>
      </c>
      <c r="L122">
        <f ca="1">MIN(L110:L121)</f>
        <v>-3.6367958619478547E-4</v>
      </c>
      <c r="M122">
        <f>MIN(M110:M121)</f>
        <v>-3.6367959158902478E-4</v>
      </c>
      <c r="N122">
        <f>SUM(N110:N121)</f>
        <v>5.5954190926887817</v>
      </c>
      <c r="O122">
        <f>SUM(O110:O121)</f>
        <v>58.241360876372411</v>
      </c>
      <c r="P122">
        <f>SUM(P110:P121)</f>
        <v>7.1587180627830094E-13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-1.6928605544607676</v>
      </c>
      <c r="G132" s="4">
        <f t="shared" ref="G132:G139" si="49">($B$66/$B$65)*(E132-$B$125)</f>
        <v>-1.6928605544607436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-1.6928605544607436</v>
      </c>
      <c r="G133" s="4">
        <f t="shared" si="49"/>
        <v>2.1074401661634701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2.1074401661634701</v>
      </c>
      <c r="P133" s="4">
        <f t="shared" ref="P133:P139" si="58">(1/6)*(M133-K133)*((N133*((2*J133)+L133))+(O133*(J133+(2*L133))))</f>
        <v>147.25263918243729</v>
      </c>
      <c r="Q133" s="4">
        <f t="shared" ref="Q133:Q139" si="59">((1/12)*(M133-K133)*(N133*J133*((3*K133)+M133)+N133*L133*(K133+M133)+O133*J133*(K133+M133)+O133*L133*(K133+(3*M133))))</f>
        <v>1670.6478103912941</v>
      </c>
      <c r="R133" s="4">
        <f t="shared" ref="R133:R139" si="60">((-1/24)*(M133-K133)*(J133*J133*((3*N133)+O133)+2*J133*L133*(N133+O133)+L133*L133*(N133+(3*O133))))</f>
        <v>-515.38423713851694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2.1074401661634701</v>
      </c>
      <c r="G134" s="4">
        <f t="shared" si="49"/>
        <v>2.1074401661634461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2.1074401661634701</v>
      </c>
      <c r="O134" s="4">
        <f t="shared" si="57"/>
        <v>2.1074401661634461</v>
      </c>
      <c r="P134" s="4">
        <f t="shared" si="58"/>
        <v>1.3321862241556329E-25</v>
      </c>
      <c r="Q134" s="4">
        <f t="shared" si="59"/>
        <v>2.270438452163779E-24</v>
      </c>
      <c r="R134" s="4">
        <f t="shared" si="60"/>
        <v>3.9132740669177958E-12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2.1074401661634461</v>
      </c>
      <c r="G135" s="4">
        <f t="shared" si="49"/>
        <v>-1.6928605544607676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2.1074401661634461</v>
      </c>
      <c r="O135" s="4">
        <f t="shared" si="57"/>
        <v>0</v>
      </c>
      <c r="P135" s="4">
        <f t="shared" si="58"/>
        <v>147.25263918244167</v>
      </c>
      <c r="Q135" s="4">
        <f t="shared" si="59"/>
        <v>1670.6478103913369</v>
      </c>
      <c r="R135" s="4">
        <f t="shared" si="60"/>
        <v>515.38423713855946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-1.6928605544607676</v>
      </c>
      <c r="G136" s="4">
        <f t="shared" si="49"/>
        <v>-1.6928605544607676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-1.6928605544607676</v>
      </c>
      <c r="G137" s="4">
        <f t="shared" si="49"/>
        <v>-1.6928605544607676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-1.6928605544607676</v>
      </c>
      <c r="G138" s="4">
        <f t="shared" si="49"/>
        <v>-1.6928605544607676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-1.6928605544607676</v>
      </c>
      <c r="G139" s="4">
        <f t="shared" si="49"/>
        <v>-1.6928605544607676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294.50527836487896</v>
      </c>
      <c r="Q140" s="4">
        <f>SUM(Q132:Q139)</f>
        <v>3341.295620782631</v>
      </c>
      <c r="R140" s="4">
        <f>SUM(R132:R139)</f>
        <v>4.638422979041934E-11</v>
      </c>
    </row>
    <row r="142" spans="1:18" x14ac:dyDescent="0.25">
      <c r="O142" t="s">
        <v>96</v>
      </c>
      <c r="P142" s="1">
        <f>-1*R140/P140</f>
        <v>-1.5749880629627065E-13</v>
      </c>
    </row>
    <row r="143" spans="1:18" x14ac:dyDescent="0.25">
      <c r="O143" t="s">
        <v>97</v>
      </c>
      <c r="P143" s="1">
        <f>Q140/P140</f>
        <v>11.345452412037634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-0.63722146539847735</v>
      </c>
      <c r="G146" s="4">
        <f>($B$66/$B$65)*(E146-$B$125)</f>
        <v>0.94623716819494508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0.94623716819494508</v>
      </c>
      <c r="P146" s="4">
        <f>(1/6)*(M146-K146)*((N146*((2*J146)+L146))+(O146*(J146+(2*L146))))</f>
        <v>-8.4817319456118785</v>
      </c>
      <c r="Q146" s="4">
        <f>((1/12)*(M146-K146)*(N146*J146*((3*K146)+M146)+N146*L146*(K146+M146)+O146*J146*(K146+M146)+O146*L146*(K146+(3*M146))))</f>
        <v>-34.029718559445307</v>
      </c>
      <c r="R146" s="4">
        <f>((-1/24)*(M146-K146)*(J146*J146*((3*N146)+O146)+2*J146*L146*(N146+O146)+L146*L146*(N146+(3*O146))))</f>
        <v>-8.4817319456121556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0.94623716819494508</v>
      </c>
      <c r="G147" s="4">
        <f t="shared" ref="G147:G153" si="64">($B$66/$B$65)*(E147-$B$125)</f>
        <v>0.94623716819495174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0.94623716819494508</v>
      </c>
      <c r="O147" s="4">
        <f t="shared" si="71"/>
        <v>0.94623716819495174</v>
      </c>
      <c r="P147" s="4">
        <f t="shared" ref="P147:P153" si="72">(1/6)*(M147-K147)*((N147*((2*J147)+L147))+(O147*(J147+(2*L147))))</f>
        <v>-6.7021622507577163E-27</v>
      </c>
      <c r="Q147" s="4">
        <f t="shared" ref="Q147:Q153" si="73">((1/12)*(M147-K147)*(N147*J147*((3*K147)+M147)+N147*L147*(K147+M147)+O147*J147*(K147+M147)+O147*L147*(K147+(3*M147))))</f>
        <v>-4.570344540488454E-26</v>
      </c>
      <c r="R147" s="4">
        <f t="shared" ref="R147:R153" si="74">((-1/24)*(M147-K147)*(J147*J147*((3*N147)+O147)+2*J147*L147*(N147+O147)+L147*L147*(N147+(3*O147))))</f>
        <v>-4.0340516770027732E-14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0.94623716819495174</v>
      </c>
      <c r="G148" s="4">
        <f t="shared" si="64"/>
        <v>-0.63722146539847058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0.94623716819495174</v>
      </c>
      <c r="O148" s="4">
        <f t="shared" si="71"/>
        <v>0</v>
      </c>
      <c r="P148" s="4">
        <f t="shared" si="72"/>
        <v>-8.4817319456114522</v>
      </c>
      <c r="Q148" s="4">
        <f t="shared" si="73"/>
        <v>-34.029718559443332</v>
      </c>
      <c r="R148" s="4">
        <f t="shared" si="74"/>
        <v>8.4817319456111768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-0.63722146539847058</v>
      </c>
      <c r="G149" s="4">
        <f t="shared" si="64"/>
        <v>-0.63722146539847735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-0.63722146539847735</v>
      </c>
      <c r="G150" s="4">
        <f t="shared" si="64"/>
        <v>-0.63722146539847735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-0.63722146539847735</v>
      </c>
      <c r="G151" s="4">
        <f t="shared" si="64"/>
        <v>-0.63722146539847735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-0.63722146539847735</v>
      </c>
      <c r="G152" s="4">
        <f t="shared" si="64"/>
        <v>-0.63722146539847735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-0.63722146539847735</v>
      </c>
      <c r="G153" s="4">
        <f t="shared" si="64"/>
        <v>-0.63722146539847735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-16.963463891223331</v>
      </c>
      <c r="Q154" s="4">
        <f t="shared" ref="Q154:R154" si="75">SUM(Q146:Q153)</f>
        <v>-68.059437118888638</v>
      </c>
      <c r="R154" s="4">
        <f t="shared" si="75"/>
        <v>-1.0196288258157438E-12</v>
      </c>
    </row>
    <row r="156" spans="1:18" x14ac:dyDescent="0.25">
      <c r="O156" t="s">
        <v>96</v>
      </c>
      <c r="P156" s="1">
        <f>-1*R154/P154</f>
        <v>-6.0107347906891006E-14</v>
      </c>
    </row>
    <row r="157" spans="1:18" x14ac:dyDescent="0.25">
      <c r="O157" t="s">
        <v>97</v>
      </c>
      <c r="P157" s="1">
        <f>Q154/P154</f>
        <v>4.012119078704302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250.00000403361733</v>
      </c>
      <c r="C159" t="s">
        <v>36</v>
      </c>
    </row>
    <row r="160" spans="1:18" x14ac:dyDescent="0.25">
      <c r="A160" s="1" t="s">
        <v>106</v>
      </c>
      <c r="B160" s="4">
        <f>Q140+I122+Q154-O122</f>
        <v>3500.0000476860841</v>
      </c>
      <c r="C160" t="s">
        <v>102</v>
      </c>
    </row>
    <row r="161" spans="1:9" x14ac:dyDescent="0.25">
      <c r="A161" s="1" t="s">
        <v>107</v>
      </c>
      <c r="B161" s="4">
        <f>R140+J122+R154-P122</f>
        <v>4.815614573772109E-11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250.00000403361733</v>
      </c>
      <c r="C164" t="s">
        <v>36</v>
      </c>
      <c r="E164" s="8">
        <f>B2-B164</f>
        <v>-4.0336173299237998E-6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3500.0000476860841</v>
      </c>
      <c r="C165" t="s">
        <v>102</v>
      </c>
      <c r="E165" s="8">
        <f>B3+B165</f>
        <v>4.7686084144515917E-5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-8.4059633930244402E-12</v>
      </c>
      <c r="C166" t="s">
        <v>102</v>
      </c>
      <c r="E166" s="8">
        <f>B4+B166</f>
        <v>-8.4059633930244402E-12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2.1074401661634701</v>
      </c>
      <c r="B169" s="1">
        <f ca="1">IF(E122=0,0,(MIN(H110:H121)*B65)/(B55*B56*E122))</f>
        <v>-2.1074401349050857</v>
      </c>
      <c r="C169" s="3">
        <f ca="1">A169+B169</f>
        <v>3.1258384325383304E-8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2.9610867452491715E-7</v>
      </c>
      <c r="D175" s="27">
        <f>B66*SQRT(I175)</f>
        <v>3.1258389143892319E-8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19.963643059995881</v>
      </c>
      <c r="D176" s="3">
        <f>D175+B66</f>
        <v>2.1074401974218593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2.9610867358087489E-7</v>
      </c>
      <c r="D177" s="27">
        <f>D176-B66</f>
        <v>3.1258389210364612E-8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4.0336173299237998E-6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-4.7686084144515917E-5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8.4059633930244402E-12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-3.1258384325383304E-8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37" workbookViewId="0">
      <selection activeCell="M64" sqref="M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2.1074401036466925</v>
      </c>
      <c r="C66" t="s">
        <v>11</v>
      </c>
      <c r="D66">
        <f>B66/B53</f>
        <v>5.1725452049216313E-4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6.3886197725171794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-3.636795808005447E-4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-6.3886198672756667</v>
      </c>
      <c r="I111">
        <f t="shared" ref="I111:I121" si="39">H111*C111</f>
        <v>102.21791787641016</v>
      </c>
      <c r="J111">
        <f t="shared" ref="J111:J121" si="40">H111*B111*-1</f>
        <v>31.943099336379984</v>
      </c>
      <c r="K111">
        <f ca="1">H111/$B$55</f>
        <v>-10.546707999648659</v>
      </c>
      <c r="L111">
        <f t="shared" ref="L111:L121" ca="1" si="41">K111/$B$54</f>
        <v>-3.6367958619478135E-4</v>
      </c>
      <c r="M111">
        <f t="shared" si="34"/>
        <v>-3.6367958080054053E-4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-3.6577318912249503</v>
      </c>
      <c r="I112">
        <f t="shared" si="39"/>
        <v>36.577318912249794</v>
      </c>
      <c r="J112">
        <f t="shared" si="40"/>
        <v>-18.288659456124162</v>
      </c>
      <c r="K112">
        <f t="shared" ref="K112:K121" ca="1" si="45">H112/$B$55</f>
        <v>-6.0383981202817774</v>
      </c>
      <c r="L112">
        <f t="shared" ca="1" si="41"/>
        <v>-2.0822062483730268E-4</v>
      </c>
      <c r="M112">
        <f t="shared" si="34"/>
        <v>-2.0822062174889123E-4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-3.6577318912248775</v>
      </c>
      <c r="I113">
        <f t="shared" si="39"/>
        <v>36.577318912248479</v>
      </c>
      <c r="J113">
        <f t="shared" si="40"/>
        <v>18.288659456124979</v>
      </c>
      <c r="K113">
        <f t="shared" ca="1" si="45"/>
        <v>-6.0383981202816566</v>
      </c>
      <c r="L113">
        <f t="shared" ca="1" si="41"/>
        <v>-2.082206248372985E-4</v>
      </c>
      <c r="M113">
        <f t="shared" si="34"/>
        <v>-2.0822062174888708E-4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-0.92684391517416209</v>
      </c>
      <c r="I114">
        <f t="shared" si="39"/>
        <v>3.7073756606967234</v>
      </c>
      <c r="J114">
        <f t="shared" si="40"/>
        <v>-4.6342195758707501</v>
      </c>
      <c r="K114">
        <f t="shared" ca="1" si="45"/>
        <v>-1.5300882409147765</v>
      </c>
      <c r="L114">
        <f t="shared" ca="1" si="41"/>
        <v>-5.2761663479819877E-5</v>
      </c>
      <c r="M114">
        <f t="shared" si="34"/>
        <v>-5.2761662697237823E-5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-0.92684391517408848</v>
      </c>
      <c r="I115">
        <f t="shared" si="39"/>
        <v>3.7073756606962789</v>
      </c>
      <c r="J115">
        <f t="shared" si="40"/>
        <v>4.6342195758705023</v>
      </c>
      <c r="K115">
        <f t="shared" ca="1" si="45"/>
        <v>-1.530088240914655</v>
      </c>
      <c r="L115">
        <f t="shared" ca="1" si="41"/>
        <v>-5.276166347981569E-5</v>
      </c>
      <c r="M115">
        <f t="shared" si="34"/>
        <v>-5.2761662697233635E-5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1.026972963544156E-4</v>
      </c>
      <c r="N116">
        <f t="shared" si="42"/>
        <v>0.37098616549030422</v>
      </c>
      <c r="O116">
        <f t="shared" si="43"/>
        <v>0.74197233098057847</v>
      </c>
      <c r="P116">
        <f t="shared" si="44"/>
        <v>1.854930827451533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1.0269729635441979E-4</v>
      </c>
      <c r="N117">
        <f t="shared" si="42"/>
        <v>0.37098616549031938</v>
      </c>
      <c r="O117">
        <f t="shared" si="43"/>
        <v>0.74197233098066873</v>
      </c>
      <c r="P117">
        <f t="shared" si="44"/>
        <v>-1.854930827451585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2.5815625540606902E-4</v>
      </c>
      <c r="N118">
        <f t="shared" si="42"/>
        <v>0.93256982111696385</v>
      </c>
      <c r="O118">
        <f t="shared" si="43"/>
        <v>7.4605585689356353</v>
      </c>
      <c r="P118">
        <f t="shared" si="44"/>
        <v>4.6628491055849404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2.5815625540607319E-4</v>
      </c>
      <c r="N119">
        <f t="shared" si="42"/>
        <v>0.93256982111697873</v>
      </c>
      <c r="O119">
        <f t="shared" si="43"/>
        <v>7.4605585689359044</v>
      </c>
      <c r="P119">
        <f t="shared" si="44"/>
        <v>-4.6628491055847725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4.1361521445772246E-4</v>
      </c>
      <c r="N120">
        <f t="shared" si="42"/>
        <v>1.4941534767436233</v>
      </c>
      <c r="O120">
        <f t="shared" si="43"/>
        <v>20.918148674410606</v>
      </c>
      <c r="P120">
        <f t="shared" si="44"/>
        <v>7.4707673837184547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4.1361521445772663E-4</v>
      </c>
      <c r="N121" s="23">
        <f t="shared" si="42"/>
        <v>1.4941534767436386</v>
      </c>
      <c r="O121" s="23">
        <f t="shared" si="43"/>
        <v>20.918148674411061</v>
      </c>
      <c r="P121" s="23">
        <f t="shared" si="44"/>
        <v>-7.4707673837178543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-21.946391347349483</v>
      </c>
      <c r="I122">
        <f t="shared" ref="I122:J122" si="46">SUM(I110:I121)</f>
        <v>285.00522489871378</v>
      </c>
      <c r="J122">
        <f t="shared" si="46"/>
        <v>3.5074165793957945E-12</v>
      </c>
      <c r="L122">
        <f ca="1">MIN(L110:L121)</f>
        <v>-3.6367958619478547E-4</v>
      </c>
      <c r="M122">
        <f>MIN(M110:M121)</f>
        <v>-3.636795808005447E-4</v>
      </c>
      <c r="N122">
        <f>SUM(N110:N121)</f>
        <v>5.5954189267018286</v>
      </c>
      <c r="O122">
        <f>SUM(O110:O121)</f>
        <v>58.241359148654453</v>
      </c>
      <c r="P122">
        <f>SUM(P110:P121)</f>
        <v>7.1587180627830094E-13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-1.6928605042424085</v>
      </c>
      <c r="G132" s="4">
        <f t="shared" ref="G132:G139" si="49">($B$66/$B$65)*(E132-$B$125)</f>
        <v>-1.6928605042423845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-1.6928605042423845</v>
      </c>
      <c r="G133" s="4">
        <f t="shared" si="49"/>
        <v>2.1074401036466925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2.1074401036466925</v>
      </c>
      <c r="P133" s="4">
        <f t="shared" ref="P133:P139" si="58">(1/6)*(M133-K133)*((N133*((2*J133)+L133))+(O133*(J133+(2*L133))))</f>
        <v>147.25263481421814</v>
      </c>
      <c r="Q133" s="4">
        <f t="shared" ref="Q133:Q139" si="59">((1/12)*(M133-K133)*(N133*J133*((3*K133)+M133)+N133*L133*(K133+M133)+O133*J133*(K133+M133)+O133*L133*(K133+(3*M133))))</f>
        <v>1670.6477608318717</v>
      </c>
      <c r="R133" s="4">
        <f t="shared" ref="R133:R139" si="60">((-1/24)*(M133-K133)*(J133*J133*((3*N133)+O133)+2*J133*L133*(N133+O133)+L133*L133*(N133+(3*O133))))</f>
        <v>-515.38422184974979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2.1074401036466925</v>
      </c>
      <c r="G134" s="4">
        <f t="shared" si="49"/>
        <v>2.1074401036466686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2.1074401036466925</v>
      </c>
      <c r="O134" s="4">
        <f t="shared" si="57"/>
        <v>2.1074401036466686</v>
      </c>
      <c r="P134" s="4">
        <f t="shared" si="58"/>
        <v>1.3321862241556329E-25</v>
      </c>
      <c r="Q134" s="4">
        <f t="shared" si="59"/>
        <v>2.270438452163779E-24</v>
      </c>
      <c r="R134" s="4">
        <f t="shared" si="60"/>
        <v>3.9132739508313284E-12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2.1074401036466686</v>
      </c>
      <c r="G135" s="4">
        <f t="shared" si="49"/>
        <v>-1.6928605042424085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2.1074401036466686</v>
      </c>
      <c r="O135" s="4">
        <f t="shared" si="57"/>
        <v>0</v>
      </c>
      <c r="P135" s="4">
        <f t="shared" si="58"/>
        <v>147.25263481422252</v>
      </c>
      <c r="Q135" s="4">
        <f t="shared" si="59"/>
        <v>1670.6477608319142</v>
      </c>
      <c r="R135" s="4">
        <f t="shared" si="60"/>
        <v>515.38422184979243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-1.6928605042424085</v>
      </c>
      <c r="G136" s="4">
        <f t="shared" si="49"/>
        <v>-1.6928605042424085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-1.6928605042424085</v>
      </c>
      <c r="G137" s="4">
        <f t="shared" si="49"/>
        <v>-1.6928605042424085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-1.6928605042424085</v>
      </c>
      <c r="G138" s="4">
        <f t="shared" si="49"/>
        <v>-1.6928605042424085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-1.6928605042424085</v>
      </c>
      <c r="G139" s="4">
        <f t="shared" si="49"/>
        <v>-1.6928605042424085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294.50526962844066</v>
      </c>
      <c r="Q140" s="4">
        <f>SUM(Q132:Q139)</f>
        <v>3341.2955216637856</v>
      </c>
      <c r="R140" s="4">
        <f>SUM(R132:R139)</f>
        <v>4.6497916628140956E-11</v>
      </c>
    </row>
    <row r="142" spans="1:18" x14ac:dyDescent="0.25">
      <c r="O142" t="s">
        <v>96</v>
      </c>
      <c r="P142" s="1">
        <f>-1*R140/P140</f>
        <v>-1.5788483746591204E-13</v>
      </c>
    </row>
    <row r="143" spans="1:18" x14ac:dyDescent="0.25">
      <c r="O143" t="s">
        <v>97</v>
      </c>
      <c r="P143" s="1">
        <f>Q140/P140</f>
        <v>11.345452412037634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-0.63722144649543411</v>
      </c>
      <c r="G146" s="4">
        <f>($B$66/$B$65)*(E146-$B$125)</f>
        <v>0.9462371401250147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0.9462371401250147</v>
      </c>
      <c r="P146" s="4">
        <f>(1/6)*(M146-K146)*((N146*((2*J146)+L146))+(O146*(J146+(2*L146))))</f>
        <v>-8.4817316940030505</v>
      </c>
      <c r="Q146" s="4">
        <f>((1/12)*(M146-K146)*(N146*J146*((3*K146)+M146)+N146*L146*(K146+M146)+O146*J146*(K146+M146)+O146*L146*(K146+(3*M146))))</f>
        <v>-34.029717549960729</v>
      </c>
      <c r="R146" s="4">
        <f>((-1/24)*(M146-K146)*(J146*J146*((3*N146)+O146)+2*J146*L146*(N146+O146)+L146*L146*(N146+(3*O146))))</f>
        <v>-8.4817316940033276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0.9462371401250147</v>
      </c>
      <c r="G147" s="4">
        <f t="shared" ref="G147:G153" si="64">($B$66/$B$65)*(E147-$B$125)</f>
        <v>0.94623714012502147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0.9462371401250147</v>
      </c>
      <c r="O147" s="4">
        <f t="shared" si="71"/>
        <v>0.94623714012502147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-4.034051557333463E-14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0.94623714012502147</v>
      </c>
      <c r="G148" s="4">
        <f t="shared" si="64"/>
        <v>-0.63722144649542733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0.94623714012502147</v>
      </c>
      <c r="O148" s="4">
        <f t="shared" si="71"/>
        <v>0</v>
      </c>
      <c r="P148" s="4">
        <f t="shared" si="72"/>
        <v>-8.4817316940026224</v>
      </c>
      <c r="Q148" s="4">
        <f t="shared" si="73"/>
        <v>-34.029717549958754</v>
      </c>
      <c r="R148" s="4">
        <f t="shared" si="74"/>
        <v>8.4817316940023488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-0.63722144649542733</v>
      </c>
      <c r="G149" s="4">
        <f t="shared" si="64"/>
        <v>-0.63722144649543411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-0.63722144649543411</v>
      </c>
      <c r="G150" s="4">
        <f t="shared" si="64"/>
        <v>-0.63722144649543411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-0.63722144649543411</v>
      </c>
      <c r="G151" s="4">
        <f t="shared" si="64"/>
        <v>-0.63722144649543411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-0.63722144649543411</v>
      </c>
      <c r="G152" s="4">
        <f t="shared" si="64"/>
        <v>-0.63722144649543411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-0.63722144649543411</v>
      </c>
      <c r="G153" s="4">
        <f t="shared" si="64"/>
        <v>-0.63722144649543411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-16.963463388005671</v>
      </c>
      <c r="Q154" s="4">
        <f t="shared" ref="Q154:R154" si="75">SUM(Q146:Q153)</f>
        <v>-68.059435099919483</v>
      </c>
      <c r="R154" s="4">
        <f t="shared" si="75"/>
        <v>-1.0196288258157438E-12</v>
      </c>
    </row>
    <row r="156" spans="1:18" x14ac:dyDescent="0.25">
      <c r="O156" t="s">
        <v>96</v>
      </c>
      <c r="P156" s="1">
        <f>-1*R154/P154</f>
        <v>-6.0107349689963142E-14</v>
      </c>
    </row>
    <row r="157" spans="1:18" x14ac:dyDescent="0.25">
      <c r="O157" t="s">
        <v>97</v>
      </c>
      <c r="P157" s="1">
        <f>Q154/P154</f>
        <v>4.0121190787043028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249.99999596638366</v>
      </c>
      <c r="C159" t="s">
        <v>36</v>
      </c>
    </row>
    <row r="160" spans="1:18" x14ac:dyDescent="0.25">
      <c r="A160" s="1" t="s">
        <v>106</v>
      </c>
      <c r="B160" s="4">
        <f>Q140+I122+Q154-O122</f>
        <v>3499.9999523139259</v>
      </c>
      <c r="C160" t="s">
        <v>102</v>
      </c>
    </row>
    <row r="161" spans="1:9" x14ac:dyDescent="0.25">
      <c r="A161" s="1" t="s">
        <v>107</v>
      </c>
      <c r="B161" s="4">
        <f>R140+J122+R154-P122</f>
        <v>4.8269832575442706E-11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249.99999596638366</v>
      </c>
      <c r="C164" t="s">
        <v>36</v>
      </c>
      <c r="E164" s="8">
        <f>B2-B164</f>
        <v>4.0336163351639698E-6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3499.9999523139259</v>
      </c>
      <c r="C165" t="s">
        <v>102</v>
      </c>
      <c r="E165" s="8">
        <f>B3+B165</f>
        <v>-4.7686074140074197E-5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-8.2922750140312961E-12</v>
      </c>
      <c r="C166" t="s">
        <v>102</v>
      </c>
      <c r="E166" s="8">
        <f>B4+B166</f>
        <v>-8.2922750140312961E-12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2.1074401036466925</v>
      </c>
      <c r="B169" s="1">
        <f ca="1">IF(E122=0,0,(MIN(H110:H121)*B65)/(B55*B56*E122))</f>
        <v>-2.1074401349050857</v>
      </c>
      <c r="C169" s="3">
        <f ca="1">A169+B169</f>
        <v>-3.1258393207167501E-8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2.9610867452491715E-7</v>
      </c>
      <c r="D175" s="27">
        <f>B66*SQRT(I175)</f>
        <v>3.1258388216618656E-8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19.963643059995881</v>
      </c>
      <c r="D176" s="3">
        <f>D175+B66</f>
        <v>2.1074401349050809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2.9610867358087489E-7</v>
      </c>
      <c r="D177" s="27">
        <f>D176-B66</f>
        <v>3.1258388322186192E-8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-4.0336163351639698E-6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4.7686074140074197E-5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8.2922750140312961E-12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3.1258393207167501E-8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43" workbookViewId="0">
      <selection activeCell="L62" sqref="L6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Analysis'!B64+'Rigid Bearing Plate Analysis'!B175</f>
        <v>-1.6160602628303237E-14</v>
      </c>
      <c r="C64" t="s">
        <v>19</v>
      </c>
      <c r="D64" t="s">
        <v>34</v>
      </c>
      <c r="H64" s="17">
        <f>DEGREES(B64)</f>
        <v>-9.2593432498980095E-13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6.3886198672757253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-3.6367958619478471E-4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-6.3886198672756667</v>
      </c>
      <c r="I111">
        <f t="shared" ref="I111:I121" si="39">H111*C111</f>
        <v>102.21791787641016</v>
      </c>
      <c r="J111">
        <f t="shared" ref="J111:J121" si="40">H111*B111*-1</f>
        <v>31.943099336379984</v>
      </c>
      <c r="K111">
        <f ca="1">H111/$B$55</f>
        <v>-10.546707999648659</v>
      </c>
      <c r="L111">
        <f t="shared" ref="L111:L121" ca="1" si="41">K111/$B$54</f>
        <v>-3.6367958619478135E-4</v>
      </c>
      <c r="M111">
        <f t="shared" si="34"/>
        <v>-3.6367958619478054E-4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-3.6577318912249503</v>
      </c>
      <c r="I112">
        <f t="shared" si="39"/>
        <v>36.577318912249794</v>
      </c>
      <c r="J112">
        <f t="shared" si="40"/>
        <v>-18.288659456124162</v>
      </c>
      <c r="K112">
        <f t="shared" ref="K112:K121" ca="1" si="45">H112/$B$55</f>
        <v>-6.0383981202817774</v>
      </c>
      <c r="L112">
        <f t="shared" ca="1" si="41"/>
        <v>-2.0822062483730268E-4</v>
      </c>
      <c r="M112">
        <f t="shared" si="34"/>
        <v>-2.0822062483730221E-4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-3.6577318912248775</v>
      </c>
      <c r="I113">
        <f t="shared" si="39"/>
        <v>36.577318912248479</v>
      </c>
      <c r="J113">
        <f t="shared" si="40"/>
        <v>18.288659456124979</v>
      </c>
      <c r="K113">
        <f t="shared" ca="1" si="45"/>
        <v>-6.0383981202816566</v>
      </c>
      <c r="L113">
        <f t="shared" ca="1" si="41"/>
        <v>-2.082206248372985E-4</v>
      </c>
      <c r="M113">
        <f t="shared" si="34"/>
        <v>-2.0822062483729807E-4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-0.92684391517416209</v>
      </c>
      <c r="I114">
        <f t="shared" si="39"/>
        <v>3.7073756606967234</v>
      </c>
      <c r="J114">
        <f t="shared" si="40"/>
        <v>-4.6342195758707501</v>
      </c>
      <c r="K114">
        <f t="shared" ca="1" si="45"/>
        <v>-1.5300882409147765</v>
      </c>
      <c r="L114">
        <f t="shared" ca="1" si="41"/>
        <v>-5.2761663479819877E-5</v>
      </c>
      <c r="M114">
        <f t="shared" si="34"/>
        <v>-5.2761663479819769E-5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-0.92684391517408848</v>
      </c>
      <c r="I115">
        <f t="shared" si="39"/>
        <v>3.7073756606962789</v>
      </c>
      <c r="J115">
        <f t="shared" si="40"/>
        <v>4.6342195758705023</v>
      </c>
      <c r="K115">
        <f t="shared" ca="1" si="45"/>
        <v>-1.530088240914655</v>
      </c>
      <c r="L115">
        <f t="shared" ca="1" si="41"/>
        <v>-5.276166347981569E-5</v>
      </c>
      <c r="M115">
        <f t="shared" si="34"/>
        <v>-5.2761663479815581E-5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1.026972978776627E-4</v>
      </c>
      <c r="N116">
        <f t="shared" si="42"/>
        <v>0.37098617099291842</v>
      </c>
      <c r="O116">
        <f t="shared" si="43"/>
        <v>0.74197234198580686</v>
      </c>
      <c r="P116">
        <f t="shared" si="44"/>
        <v>1.854930854964604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1.0269729787766689E-4</v>
      </c>
      <c r="N117">
        <f t="shared" si="42"/>
        <v>0.37098617099293363</v>
      </c>
      <c r="O117">
        <f t="shared" si="43"/>
        <v>0.74197234198589723</v>
      </c>
      <c r="P117">
        <f t="shared" si="44"/>
        <v>-1.8549308549646564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2.5815625923514518E-4</v>
      </c>
      <c r="N118">
        <f t="shared" si="42"/>
        <v>0.93256983494920986</v>
      </c>
      <c r="O118">
        <f t="shared" si="43"/>
        <v>7.4605586795936034</v>
      </c>
      <c r="P118">
        <f t="shared" si="44"/>
        <v>4.66284917474617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2.5815625923514935E-4</v>
      </c>
      <c r="N119">
        <f t="shared" si="42"/>
        <v>0.93256983494922496</v>
      </c>
      <c r="O119">
        <f t="shared" si="43"/>
        <v>7.4605586795938743</v>
      </c>
      <c r="P119">
        <f t="shared" si="44"/>
        <v>-4.6628491747460039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4.1361522059262765E-4</v>
      </c>
      <c r="N120">
        <f t="shared" si="42"/>
        <v>1.4941534989055014</v>
      </c>
      <c r="O120">
        <f t="shared" si="43"/>
        <v>20.9181489846769</v>
      </c>
      <c r="P120">
        <f t="shared" si="44"/>
        <v>7.4707674945278457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4.1361522059263182E-4</v>
      </c>
      <c r="N121" s="23">
        <f t="shared" si="42"/>
        <v>1.4941534989055163</v>
      </c>
      <c r="O121" s="23">
        <f t="shared" si="43"/>
        <v>20.918148984677348</v>
      </c>
      <c r="P121" s="23">
        <f t="shared" si="44"/>
        <v>-7.4707674945272426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-21.946391347349483</v>
      </c>
      <c r="I122">
        <f t="shared" ref="I122:J122" si="46">SUM(I110:I121)</f>
        <v>285.00522489871378</v>
      </c>
      <c r="J122">
        <f t="shared" si="46"/>
        <v>3.5074165793957945E-12</v>
      </c>
      <c r="L122">
        <f ca="1">MIN(L110:L121)</f>
        <v>-3.6367958619478547E-4</v>
      </c>
      <c r="M122">
        <f>MIN(M110:M121)</f>
        <v>-3.6367958619478471E-4</v>
      </c>
      <c r="N122">
        <f>SUM(N110:N121)</f>
        <v>5.5954190096953038</v>
      </c>
      <c r="O122">
        <f>SUM(O110:O121)</f>
        <v>58.241360012513425</v>
      </c>
      <c r="P122">
        <f>SUM(P110:P121)</f>
        <v>7.1675998469800106E-13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-1.6928605293515879</v>
      </c>
      <c r="G132" s="4">
        <f t="shared" ref="G132:G139" si="49">($B$66/$B$65)*(E132-$B$125)</f>
        <v>-1.6928605293515639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-1.6928605293515639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147.25263699832769</v>
      </c>
      <c r="Q133" s="4">
        <f t="shared" ref="Q133:Q139" si="59">((1/12)*(M133-K133)*(N133*J133*((3*K133)+M133)+N133*L133*(K133+M133)+O133*J133*(K133+M133)+O133*L133*(K133+(3*M133))))</f>
        <v>1670.6477856115828</v>
      </c>
      <c r="R133" s="4">
        <f t="shared" ref="R133:R139" si="60">((-1/24)*(M133-K133)*(J133*J133*((3*N133)+O133)+2*J133*L133*(N133+O133)+L133*L133*(N133+(3*O133))))</f>
        <v>-515.38422949413348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-1.6928605293515879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147.25263699833209</v>
      </c>
      <c r="Q135" s="4">
        <f t="shared" si="59"/>
        <v>1670.6477856116255</v>
      </c>
      <c r="R135" s="4">
        <f t="shared" si="60"/>
        <v>515.38422949417588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-1.6928605293515879</v>
      </c>
      <c r="G136" s="4">
        <f t="shared" si="49"/>
        <v>-1.6928605293515879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-1.6928605293515879</v>
      </c>
      <c r="G137" s="4">
        <f t="shared" si="49"/>
        <v>-1.6928605293515879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-1.6928605293515879</v>
      </c>
      <c r="G138" s="4">
        <f t="shared" si="49"/>
        <v>-1.6928605293515879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-1.6928605293515879</v>
      </c>
      <c r="G139" s="4">
        <f t="shared" si="49"/>
        <v>-1.6928605293515879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294.50527399665975</v>
      </c>
      <c r="Q140" s="4">
        <f>SUM(Q132:Q139)</f>
        <v>3341.2955712232083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-1.5711278214060954E-13</v>
      </c>
    </row>
    <row r="143" spans="1:18" x14ac:dyDescent="0.25">
      <c r="O143" t="s">
        <v>97</v>
      </c>
      <c r="P143" s="1">
        <f>Q140/P140</f>
        <v>11.345452412037636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-0.63722145594695567</v>
      </c>
      <c r="G146" s="4">
        <f>($B$66/$B$65)*(E146-$B$125)</f>
        <v>0.94623715415997978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0.94623715415997978</v>
      </c>
      <c r="P146" s="4">
        <f>(1/6)*(M146-K146)*((N146*((2*J146)+L146))+(O146*(J146+(2*L146))))</f>
        <v>-8.4817318198074627</v>
      </c>
      <c r="Q146" s="4">
        <f>((1/12)*(M146-K146)*(N146*J146*((3*K146)+M146)+N146*L146*(K146+M146)+O146*J146*(K146+M146)+O146*L146*(K146+(3*M146))))</f>
        <v>-34.029718054703011</v>
      </c>
      <c r="R146" s="4">
        <f>((-1/24)*(M146-K146)*(J146*J146*((3*N146)+O146)+2*J146*L146*(N146+O146)+L146*L146*(N146+(3*O146))))</f>
        <v>-8.4817318198077398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0.94623715415997978</v>
      </c>
      <c r="G147" s="4">
        <f t="shared" ref="G147:G153" si="64">($B$66/$B$65)*(E147-$B$125)</f>
        <v>0.94623715415998655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0.94623715415997978</v>
      </c>
      <c r="O147" s="4">
        <f t="shared" si="71"/>
        <v>0.94623715415998655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-4.0340516171681172E-14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0.94623715415998655</v>
      </c>
      <c r="G148" s="4">
        <f t="shared" si="64"/>
        <v>-0.6372214559469489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0.94623715415998655</v>
      </c>
      <c r="O148" s="4">
        <f t="shared" si="71"/>
        <v>0</v>
      </c>
      <c r="P148" s="4">
        <f t="shared" si="72"/>
        <v>-8.4817318198070364</v>
      </c>
      <c r="Q148" s="4">
        <f t="shared" si="73"/>
        <v>-34.029718054701036</v>
      </c>
      <c r="R148" s="4">
        <f t="shared" si="74"/>
        <v>8.4817318198067628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-0.6372214559469489</v>
      </c>
      <c r="G149" s="4">
        <f t="shared" si="64"/>
        <v>-0.63722145594695567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-0.63722145594695567</v>
      </c>
      <c r="G150" s="4">
        <f t="shared" si="64"/>
        <v>-0.63722145594695567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-0.63722145594695567</v>
      </c>
      <c r="G151" s="4">
        <f t="shared" si="64"/>
        <v>-0.63722145594695567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-0.63722145594695567</v>
      </c>
      <c r="G152" s="4">
        <f t="shared" si="64"/>
        <v>-0.63722145594695567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-0.63722145594695567</v>
      </c>
      <c r="G153" s="4">
        <f t="shared" si="64"/>
        <v>-0.63722145594695567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-16.963463639614499</v>
      </c>
      <c r="Q154" s="4">
        <f t="shared" ref="Q154:R154" si="75">SUM(Q146:Q153)</f>
        <v>-68.059436109404047</v>
      </c>
      <c r="R154" s="4">
        <f t="shared" si="75"/>
        <v>-1.0178524689763435E-12</v>
      </c>
    </row>
    <row r="156" spans="1:18" x14ac:dyDescent="0.25">
      <c r="O156" t="s">
        <v>96</v>
      </c>
      <c r="P156" s="1">
        <f>-1*R154/P154</f>
        <v>-6.0002632162889733E-14</v>
      </c>
    </row>
    <row r="157" spans="1:18" x14ac:dyDescent="0.25">
      <c r="O157" t="s">
        <v>97</v>
      </c>
      <c r="P157" s="1">
        <f>Q154/P154</f>
        <v>4.012119078704302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250.00000000000045</v>
      </c>
      <c r="C159" t="s">
        <v>36</v>
      </c>
    </row>
    <row r="160" spans="1:18" x14ac:dyDescent="0.25">
      <c r="A160" s="1" t="s">
        <v>106</v>
      </c>
      <c r="B160" s="4">
        <f>Q140+I122+Q154-O122</f>
        <v>3500.0000000000045</v>
      </c>
      <c r="C160" t="s">
        <v>102</v>
      </c>
    </row>
    <row r="161" spans="1:9" x14ac:dyDescent="0.25">
      <c r="A161" s="1" t="s">
        <v>107</v>
      </c>
      <c r="B161" s="4">
        <f>R140+J122+R154-P122</f>
        <v>4.8043347078419174E-11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250.00000000000045</v>
      </c>
      <c r="C164" t="s">
        <v>36</v>
      </c>
      <c r="E164" s="8">
        <f>B2-B164</f>
        <v>-4.5474735088646412E-13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3500.0000000000045</v>
      </c>
      <c r="C165" t="s">
        <v>102</v>
      </c>
      <c r="E165" s="8">
        <f>B3+B165</f>
        <v>4.5474735088646412E-12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-8.5187621206422271E-12</v>
      </c>
      <c r="C166" t="s">
        <v>102</v>
      </c>
      <c r="E166" s="8">
        <f>B4+B166</f>
        <v>-8.5187621206422271E-12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-2.1074401349050857</v>
      </c>
      <c r="C169" s="3">
        <f ca="1">A169+B169</f>
        <v>-4.4408920985006262E-15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-2.397004735251533E-22</v>
      </c>
      <c r="C175" s="27">
        <f>B65*SQRT(I175)</f>
        <v>2.9610867452491715E-7</v>
      </c>
      <c r="D175" s="27">
        <f>B66*SQRT(I175)</f>
        <v>3.1258388680255488E-8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-1.616060286800371E-14</v>
      </c>
      <c r="C176" s="3">
        <f>B65+C175</f>
        <v>19.963643059995881</v>
      </c>
      <c r="D176" s="3">
        <f>D175+B66</f>
        <v>2.1074401661634701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-2.397004726265213E-22</v>
      </c>
      <c r="C177" s="27">
        <f>C176-B65</f>
        <v>2.9610867358087489E-7</v>
      </c>
      <c r="D177" s="27">
        <f>D176-B66</f>
        <v>3.1258388766275402E-8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4.5474735088646412E-13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-4.5474735088646412E-12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8.5187621206422271E-12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4.4408920985006262E-15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40" workbookViewId="0">
      <selection activeCell="M63" sqref="M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Analysis'!B64-'Rigid Bearing Plate Analysis'!B175</f>
        <v>-1.6160602148902298E-14</v>
      </c>
      <c r="C64" t="s">
        <v>19</v>
      </c>
      <c r="D64" t="s">
        <v>34</v>
      </c>
      <c r="H64" s="17">
        <f>DEGREES(B64)</f>
        <v>-9.2593429752215052E-13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6.3886198672757253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-3.6367958619478471E-4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-6.3886198672756667</v>
      </c>
      <c r="I111">
        <f t="shared" ref="I111:I121" si="39">H111*C111</f>
        <v>102.21791787641016</v>
      </c>
      <c r="J111">
        <f t="shared" ref="J111:J121" si="40">H111*B111*-1</f>
        <v>31.943099336379984</v>
      </c>
      <c r="K111">
        <f ca="1">H111/$B$55</f>
        <v>-10.546707999648659</v>
      </c>
      <c r="L111">
        <f t="shared" ref="L111:L121" ca="1" si="41">K111/$B$54</f>
        <v>-3.6367958619478135E-4</v>
      </c>
      <c r="M111">
        <f t="shared" si="34"/>
        <v>-3.6367958619478054E-4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-3.6577318912249503</v>
      </c>
      <c r="I112">
        <f t="shared" si="39"/>
        <v>36.577318912249794</v>
      </c>
      <c r="J112">
        <f t="shared" si="40"/>
        <v>-18.288659456124162</v>
      </c>
      <c r="K112">
        <f t="shared" ref="K112:K121" ca="1" si="45">H112/$B$55</f>
        <v>-6.0383981202817774</v>
      </c>
      <c r="L112">
        <f t="shared" ca="1" si="41"/>
        <v>-2.0822062483730268E-4</v>
      </c>
      <c r="M112">
        <f t="shared" si="34"/>
        <v>-2.0822062483730221E-4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-3.6577318912248775</v>
      </c>
      <c r="I113">
        <f t="shared" si="39"/>
        <v>36.577318912248479</v>
      </c>
      <c r="J113">
        <f t="shared" si="40"/>
        <v>18.288659456124979</v>
      </c>
      <c r="K113">
        <f t="shared" ca="1" si="45"/>
        <v>-6.0383981202816566</v>
      </c>
      <c r="L113">
        <f t="shared" ca="1" si="41"/>
        <v>-2.082206248372985E-4</v>
      </c>
      <c r="M113">
        <f t="shared" si="34"/>
        <v>-2.0822062483729807E-4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-0.92684391517416209</v>
      </c>
      <c r="I114">
        <f t="shared" si="39"/>
        <v>3.7073756606967234</v>
      </c>
      <c r="J114">
        <f t="shared" si="40"/>
        <v>-4.6342195758707501</v>
      </c>
      <c r="K114">
        <f t="shared" ca="1" si="45"/>
        <v>-1.5300882409147765</v>
      </c>
      <c r="L114">
        <f t="shared" ca="1" si="41"/>
        <v>-5.2761663479819877E-5</v>
      </c>
      <c r="M114">
        <f t="shared" si="34"/>
        <v>-5.2761663479819769E-5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-0.92684391517408848</v>
      </c>
      <c r="I115">
        <f t="shared" si="39"/>
        <v>3.7073756606962789</v>
      </c>
      <c r="J115">
        <f t="shared" si="40"/>
        <v>4.6342195758705023</v>
      </c>
      <c r="K115">
        <f t="shared" ca="1" si="45"/>
        <v>-1.530088240914655</v>
      </c>
      <c r="L115">
        <f t="shared" ca="1" si="41"/>
        <v>-5.276166347981569E-5</v>
      </c>
      <c r="M115">
        <f t="shared" si="34"/>
        <v>-5.2761663479815581E-5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1.026972978776627E-4</v>
      </c>
      <c r="N116">
        <f t="shared" si="42"/>
        <v>0.37098617099291842</v>
      </c>
      <c r="O116">
        <f t="shared" si="43"/>
        <v>0.74197234198580686</v>
      </c>
      <c r="P116">
        <f t="shared" si="44"/>
        <v>1.854930854964604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1.0269729787766689E-4</v>
      </c>
      <c r="N117">
        <f t="shared" si="42"/>
        <v>0.37098617099293363</v>
      </c>
      <c r="O117">
        <f t="shared" si="43"/>
        <v>0.74197234198589723</v>
      </c>
      <c r="P117">
        <f t="shared" si="44"/>
        <v>-1.8549308549646564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2.5815625923514518E-4</v>
      </c>
      <c r="N118">
        <f t="shared" si="42"/>
        <v>0.93256983494920986</v>
      </c>
      <c r="O118">
        <f t="shared" si="43"/>
        <v>7.4605586795936034</v>
      </c>
      <c r="P118">
        <f t="shared" si="44"/>
        <v>4.66284917474617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2.5815625923514935E-4</v>
      </c>
      <c r="N119">
        <f t="shared" si="42"/>
        <v>0.93256983494922496</v>
      </c>
      <c r="O119">
        <f t="shared" si="43"/>
        <v>7.4605586795938743</v>
      </c>
      <c r="P119">
        <f t="shared" si="44"/>
        <v>-4.6628491747460039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4.1361522059262765E-4</v>
      </c>
      <c r="N120">
        <f t="shared" si="42"/>
        <v>1.4941534989055014</v>
      </c>
      <c r="O120">
        <f t="shared" si="43"/>
        <v>20.9181489846769</v>
      </c>
      <c r="P120">
        <f t="shared" si="44"/>
        <v>7.4707674945278457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4.1361522059263182E-4</v>
      </c>
      <c r="N121" s="23">
        <f t="shared" si="42"/>
        <v>1.4941534989055163</v>
      </c>
      <c r="O121" s="23">
        <f t="shared" si="43"/>
        <v>20.918148984677348</v>
      </c>
      <c r="P121" s="23">
        <f t="shared" si="44"/>
        <v>-7.4707674945272426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-21.946391347349483</v>
      </c>
      <c r="I122">
        <f t="shared" ref="I122:J122" si="46">SUM(I110:I121)</f>
        <v>285.00522489871378</v>
      </c>
      <c r="J122">
        <f t="shared" si="46"/>
        <v>3.5074165793957945E-12</v>
      </c>
      <c r="L122">
        <f ca="1">MIN(L110:L121)</f>
        <v>-3.6367958619478547E-4</v>
      </c>
      <c r="M122">
        <f>MIN(M110:M121)</f>
        <v>-3.6367958619478471E-4</v>
      </c>
      <c r="N122">
        <f>SUM(N110:N121)</f>
        <v>5.5954190096953038</v>
      </c>
      <c r="O122">
        <f>SUM(O110:O121)</f>
        <v>58.241360012513425</v>
      </c>
      <c r="P122">
        <f>SUM(P110:P121)</f>
        <v>7.1675998469800106E-13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-1.6928605293515879</v>
      </c>
      <c r="G132" s="4">
        <f t="shared" ref="G132:G139" si="49">($B$66/$B$65)*(E132-$B$125)</f>
        <v>-1.6928605293515639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-1.6928605293515639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147.25263699832769</v>
      </c>
      <c r="Q133" s="4">
        <f t="shared" ref="Q133:Q139" si="59">((1/12)*(M133-K133)*(N133*J133*((3*K133)+M133)+N133*L133*(K133+M133)+O133*J133*(K133+M133)+O133*L133*(K133+(3*M133))))</f>
        <v>1670.6477856115828</v>
      </c>
      <c r="R133" s="4">
        <f t="shared" ref="R133:R139" si="60">((-1/24)*(M133-K133)*(J133*J133*((3*N133)+O133)+2*J133*L133*(N133+O133)+L133*L133*(N133+(3*O133))))</f>
        <v>-515.38422949413348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-1.6928605293515879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147.25263699833209</v>
      </c>
      <c r="Q135" s="4">
        <f t="shared" si="59"/>
        <v>1670.6477856116255</v>
      </c>
      <c r="R135" s="4">
        <f t="shared" si="60"/>
        <v>515.38422949417588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-1.6928605293515879</v>
      </c>
      <c r="G136" s="4">
        <f t="shared" si="49"/>
        <v>-1.6928605293515879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-1.6928605293515879</v>
      </c>
      <c r="G137" s="4">
        <f t="shared" si="49"/>
        <v>-1.6928605293515879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-1.6928605293515879</v>
      </c>
      <c r="G138" s="4">
        <f t="shared" si="49"/>
        <v>-1.6928605293515879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-1.6928605293515879</v>
      </c>
      <c r="G139" s="4">
        <f t="shared" si="49"/>
        <v>-1.6928605293515879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294.50527399665975</v>
      </c>
      <c r="Q140" s="4">
        <f>SUM(Q132:Q139)</f>
        <v>3341.2955712232083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-1.5711278214060954E-13</v>
      </c>
    </row>
    <row r="143" spans="1:18" x14ac:dyDescent="0.25">
      <c r="O143" t="s">
        <v>97</v>
      </c>
      <c r="P143" s="1">
        <f>Q140/P140</f>
        <v>11.345452412037636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-0.63722145594695567</v>
      </c>
      <c r="G146" s="4">
        <f>($B$66/$B$65)*(E146-$B$125)</f>
        <v>0.94623715415997978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0.94623715415997978</v>
      </c>
      <c r="P146" s="4">
        <f>(1/6)*(M146-K146)*((N146*((2*J146)+L146))+(O146*(J146+(2*L146))))</f>
        <v>-8.4817318198074627</v>
      </c>
      <c r="Q146" s="4">
        <f>((1/12)*(M146-K146)*(N146*J146*((3*K146)+M146)+N146*L146*(K146+M146)+O146*J146*(K146+M146)+O146*L146*(K146+(3*M146))))</f>
        <v>-34.029718054703011</v>
      </c>
      <c r="R146" s="4">
        <f>((-1/24)*(M146-K146)*(J146*J146*((3*N146)+O146)+2*J146*L146*(N146+O146)+L146*L146*(N146+(3*O146))))</f>
        <v>-8.4817318198077398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0.94623715415997978</v>
      </c>
      <c r="G147" s="4">
        <f t="shared" ref="G147:G153" si="64">($B$66/$B$65)*(E147-$B$125)</f>
        <v>0.94623715415998655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0.94623715415997978</v>
      </c>
      <c r="O147" s="4">
        <f t="shared" si="71"/>
        <v>0.94623715415998655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-4.0340516171681172E-14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0.94623715415998655</v>
      </c>
      <c r="G148" s="4">
        <f t="shared" si="64"/>
        <v>-0.6372214559469489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0.94623715415998655</v>
      </c>
      <c r="O148" s="4">
        <f t="shared" si="71"/>
        <v>0</v>
      </c>
      <c r="P148" s="4">
        <f t="shared" si="72"/>
        <v>-8.4817318198070364</v>
      </c>
      <c r="Q148" s="4">
        <f t="shared" si="73"/>
        <v>-34.029718054701036</v>
      </c>
      <c r="R148" s="4">
        <f t="shared" si="74"/>
        <v>8.4817318198067628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-0.6372214559469489</v>
      </c>
      <c r="G149" s="4">
        <f t="shared" si="64"/>
        <v>-0.63722145594695567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-0.63722145594695567</v>
      </c>
      <c r="G150" s="4">
        <f t="shared" si="64"/>
        <v>-0.63722145594695567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-0.63722145594695567</v>
      </c>
      <c r="G151" s="4">
        <f t="shared" si="64"/>
        <v>-0.63722145594695567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-0.63722145594695567</v>
      </c>
      <c r="G152" s="4">
        <f t="shared" si="64"/>
        <v>-0.63722145594695567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-0.63722145594695567</v>
      </c>
      <c r="G153" s="4">
        <f t="shared" si="64"/>
        <v>-0.63722145594695567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-16.963463639614499</v>
      </c>
      <c r="Q154" s="4">
        <f t="shared" ref="Q154:R154" si="75">SUM(Q146:Q153)</f>
        <v>-68.059436109404047</v>
      </c>
      <c r="R154" s="4">
        <f t="shared" si="75"/>
        <v>-1.0178524689763435E-12</v>
      </c>
    </row>
    <row r="156" spans="1:18" x14ac:dyDescent="0.25">
      <c r="O156" t="s">
        <v>96</v>
      </c>
      <c r="P156" s="1">
        <f>-1*R154/P154</f>
        <v>-6.0002632162889733E-14</v>
      </c>
    </row>
    <row r="157" spans="1:18" x14ac:dyDescent="0.25">
      <c r="O157" t="s">
        <v>97</v>
      </c>
      <c r="P157" s="1">
        <f>Q154/P154</f>
        <v>4.012119078704302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250.00000000000045</v>
      </c>
      <c r="C159" t="s">
        <v>36</v>
      </c>
    </row>
    <row r="160" spans="1:18" x14ac:dyDescent="0.25">
      <c r="A160" s="1" t="s">
        <v>106</v>
      </c>
      <c r="B160" s="4">
        <f>Q140+I122+Q154-O122</f>
        <v>3500.0000000000045</v>
      </c>
      <c r="C160" t="s">
        <v>102</v>
      </c>
    </row>
    <row r="161" spans="1:9" x14ac:dyDescent="0.25">
      <c r="A161" s="1" t="s">
        <v>107</v>
      </c>
      <c r="B161" s="4">
        <f>R140+J122+R154-P122</f>
        <v>4.8043347078419174E-11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250.00000000000045</v>
      </c>
      <c r="C164" t="s">
        <v>36</v>
      </c>
      <c r="E164" s="8">
        <f>B2-B164</f>
        <v>-4.5474735088646412E-13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3500.0000000000045</v>
      </c>
      <c r="C165" t="s">
        <v>102</v>
      </c>
      <c r="E165" s="8">
        <f>B3+B165</f>
        <v>4.5474735088646412E-12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-8.5187604427389442E-12</v>
      </c>
      <c r="C166" t="s">
        <v>102</v>
      </c>
      <c r="E166" s="8">
        <f>B4+B166</f>
        <v>-8.5187604427389442E-12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-2.1074401349050857</v>
      </c>
      <c r="C169" s="3">
        <f ca="1">A169+B169</f>
        <v>-4.4408920985006262E-15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-2.3970046641448829E-22</v>
      </c>
      <c r="C175" s="27">
        <f>B65*SQRT(I175)</f>
        <v>2.9610867452491715E-7</v>
      </c>
      <c r="D175" s="27">
        <f>B66*SQRT(I175)</f>
        <v>3.1258388680255488E-8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-1.6160602388602764E-14</v>
      </c>
      <c r="C176" s="3">
        <f>B65+C175</f>
        <v>19.963643059995881</v>
      </c>
      <c r="D176" s="3">
        <f>D175+B66</f>
        <v>2.1074401661634701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-2.3970046631563406E-22</v>
      </c>
      <c r="C177" s="27">
        <f>C176-B65</f>
        <v>2.9610867358087489E-7</v>
      </c>
      <c r="D177" s="27">
        <f>D176-B66</f>
        <v>3.1258388766275402E-8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4.5474735088646412E-13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-4.5474735088646412E-12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8.5187604427389442E-12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4.4408920985006262E-15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49" workbookViewId="0">
      <selection activeCell="L63" sqref="L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ht="15.75" thickBot="1" x14ac:dyDescent="0.3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19.963643059995881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6.3886196377439139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14.036356940004314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-3.6367957312842048E-4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14.036356940004152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-6.3886198672756658</v>
      </c>
      <c r="I111">
        <f t="shared" ref="I111:I121" si="39">H111*C111</f>
        <v>102.21791787641014</v>
      </c>
      <c r="J111">
        <f t="shared" ref="J111:J121" si="40">H111*B111*-1</f>
        <v>31.94309933637998</v>
      </c>
      <c r="K111">
        <f ca="1">H111/$B$55</f>
        <v>-10.546707999648657</v>
      </c>
      <c r="L111">
        <f t="shared" ref="L111:L121" ca="1" si="41">K111/$B$54</f>
        <v>-3.6367958619478125E-4</v>
      </c>
      <c r="M111">
        <f t="shared" si="34"/>
        <v>-3.6367957312841631E-4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8.0363569400043122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-3.6577318336145876</v>
      </c>
      <c r="I112">
        <f t="shared" si="39"/>
        <v>36.57731833614617</v>
      </c>
      <c r="J112">
        <f t="shared" si="40"/>
        <v>-18.288659168072346</v>
      </c>
      <c r="K112">
        <f t="shared" ref="K112:K121" ca="1" si="45">H112/$B$55</f>
        <v>-6.0383980251752147</v>
      </c>
      <c r="L112">
        <f t="shared" ca="1" si="41"/>
        <v>-2.0822062155776601E-4</v>
      </c>
      <c r="M112">
        <f t="shared" si="34"/>
        <v>-2.0822061407676696E-4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8.0363569400041523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-3.6577318336145148</v>
      </c>
      <c r="I113">
        <f t="shared" si="39"/>
        <v>36.577318336144856</v>
      </c>
      <c r="J113">
        <f t="shared" si="40"/>
        <v>18.288659168073167</v>
      </c>
      <c r="K113">
        <f t="shared" ca="1" si="45"/>
        <v>-6.0383980251750948</v>
      </c>
      <c r="L113">
        <f t="shared" ca="1" si="41"/>
        <v>-2.0822062155776189E-4</v>
      </c>
      <c r="M113">
        <f t="shared" si="34"/>
        <v>-2.0822061407676281E-4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2.0363569400043131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-0.92684379995343635</v>
      </c>
      <c r="I114">
        <f t="shared" si="39"/>
        <v>3.7073751998138205</v>
      </c>
      <c r="J114">
        <f t="shared" si="40"/>
        <v>-4.6342189997671213</v>
      </c>
      <c r="K114">
        <f t="shared" ca="1" si="45"/>
        <v>-1.5300880507016514</v>
      </c>
      <c r="L114">
        <f t="shared" ca="1" si="41"/>
        <v>-5.2761656920746599E-5</v>
      </c>
      <c r="M114">
        <f t="shared" si="34"/>
        <v>-5.276165502511348E-5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2.0363569400041515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-0.92684379995336275</v>
      </c>
      <c r="I115">
        <f t="shared" si="39"/>
        <v>3.7073751998133759</v>
      </c>
      <c r="J115">
        <f t="shared" si="40"/>
        <v>4.6342189997668735</v>
      </c>
      <c r="K115">
        <f t="shared" ca="1" si="45"/>
        <v>-1.53008805070153</v>
      </c>
      <c r="L115">
        <f t="shared" ca="1" si="41"/>
        <v>-5.2761656920742411E-5</v>
      </c>
      <c r="M115">
        <f t="shared" si="34"/>
        <v>-5.2761655025109292E-5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-3.9636430599956869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1.0269730402654E-4</v>
      </c>
      <c r="N116">
        <f t="shared" si="42"/>
        <v>0.3709861932052696</v>
      </c>
      <c r="O116">
        <f t="shared" si="43"/>
        <v>0.74197238641050922</v>
      </c>
      <c r="P116">
        <f t="shared" si="44"/>
        <v>1.8549309660263598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-3.9636430599958485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1.0269730402654418E-4</v>
      </c>
      <c r="N117">
        <f t="shared" si="42"/>
        <v>0.37098619320528475</v>
      </c>
      <c r="O117">
        <f t="shared" si="43"/>
        <v>0.74197238641059948</v>
      </c>
      <c r="P117">
        <f t="shared" si="44"/>
        <v>-1.8549309660264119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-9.963643059995686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2.5815626307819345E-4</v>
      </c>
      <c r="N118">
        <f t="shared" si="42"/>
        <v>0.93256984883192917</v>
      </c>
      <c r="O118">
        <f t="shared" si="43"/>
        <v>7.4605587906553579</v>
      </c>
      <c r="P118">
        <f t="shared" si="44"/>
        <v>4.6628492441597666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-9.9636430599958477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2.5815626307819763E-4</v>
      </c>
      <c r="N119">
        <f t="shared" si="42"/>
        <v>0.93256984883194438</v>
      </c>
      <c r="O119">
        <f t="shared" si="43"/>
        <v>7.4605587906556297</v>
      </c>
      <c r="P119">
        <f t="shared" si="44"/>
        <v>-4.6628492441596006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-15.963643059995688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4.13615222129847E-4</v>
      </c>
      <c r="N120">
        <f t="shared" si="42"/>
        <v>1.4941535044585892</v>
      </c>
      <c r="O120">
        <f t="shared" si="43"/>
        <v>20.918149062420131</v>
      </c>
      <c r="P120">
        <f t="shared" si="44"/>
        <v>7.4707675222932846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-15.963643059995848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4.1361522212985112E-4</v>
      </c>
      <c r="N121" s="23">
        <f t="shared" si="42"/>
        <v>1.4941535044586041</v>
      </c>
      <c r="O121" s="23">
        <f t="shared" si="43"/>
        <v>20.918149062420575</v>
      </c>
      <c r="P121" s="23">
        <f t="shared" si="44"/>
        <v>-7.4707675222926815</v>
      </c>
    </row>
    <row r="122" spans="1:16" ht="15.75" thickTop="1" x14ac:dyDescent="0.25">
      <c r="D122" s="10" t="s">
        <v>44</v>
      </c>
      <c r="E122" s="4">
        <f>MAX(E110:E121)</f>
        <v>14.036356940004314</v>
      </c>
      <c r="H122">
        <f>SUM(H110:H121)</f>
        <v>-21.946391001687306</v>
      </c>
      <c r="I122">
        <f t="shared" ref="I122:J122" si="46">SUM(I110:I121)</f>
        <v>285.00522282474071</v>
      </c>
      <c r="J122">
        <f t="shared" si="46"/>
        <v>3.5074165793957945E-12</v>
      </c>
      <c r="L122">
        <f ca="1">MIN(L110:L121)</f>
        <v>-3.6367958619478547E-4</v>
      </c>
      <c r="M122">
        <f>MIN(M110:M121)</f>
        <v>-3.6367957312842048E-4</v>
      </c>
      <c r="N122">
        <f>SUM(N110:N121)</f>
        <v>5.5954190929916212</v>
      </c>
      <c r="O122">
        <f>SUM(O110:O121)</f>
        <v>58.241360478972801</v>
      </c>
      <c r="P122">
        <f>SUM(P110:P121)</f>
        <v>7.1675998469800106E-13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-1.9636430599957677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-1.9636430599957677</v>
      </c>
    </row>
    <row r="127" spans="1:16" x14ac:dyDescent="0.25">
      <c r="F127" s="4">
        <f>MAX(B84:B90)+1</f>
        <v>8.0000000000002913</v>
      </c>
      <c r="G127" s="4">
        <f>G126</f>
        <v>-1.9636430599957677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-1.6928604729840211</v>
      </c>
      <c r="G132" s="4">
        <f t="shared" ref="G132:G139" si="49">($B$66/$B$65)*(E132-$B$125)</f>
        <v>-1.6928604729839971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-1.6928604729839971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-1.9636430599957677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147.25263918243726</v>
      </c>
      <c r="Q133" s="4">
        <f t="shared" ref="Q133:Q139" si="59">((1/12)*(M133-K133)*(N133*J133*((3*K133)+M133)+N133*L133*(K133+M133)+O133*J133*(K133+M133)+O133*L133*(K133+(3*M133))))</f>
        <v>1670.6477958570329</v>
      </c>
      <c r="R133" s="4">
        <f t="shared" ref="R133:R139" si="60">((-1/24)*(M133-K133)*(J133*J133*((3*N133)+O133)+2*J133*L133*(N133+O133)+L133*L133*(N133+(3*O133))))</f>
        <v>-515.38423713851694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-1.6928604729840211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-1.9636430599957677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147.25263918244164</v>
      </c>
      <c r="Q135" s="4">
        <f t="shared" si="59"/>
        <v>1670.6477958570754</v>
      </c>
      <c r="R135" s="4">
        <f t="shared" si="60"/>
        <v>515.38423713855934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-1.6928604729840211</v>
      </c>
      <c r="G136" s="4">
        <f t="shared" si="49"/>
        <v>-1.6928604729840211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-1.6928604729840211</v>
      </c>
      <c r="G137" s="4">
        <f t="shared" si="49"/>
        <v>-1.6928604729840211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-1.6928604729840211</v>
      </c>
      <c r="G138" s="4">
        <f t="shared" si="49"/>
        <v>-1.6928604729840211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-1.6928604729840211</v>
      </c>
      <c r="G139" s="4">
        <f t="shared" si="49"/>
        <v>-1.6928604729840211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294.5052783648789</v>
      </c>
      <c r="Q140" s="4">
        <f>SUM(Q132:Q139)</f>
        <v>3341.295591714108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-1.5711277981025041E-13</v>
      </c>
    </row>
    <row r="143" spans="1:18" x14ac:dyDescent="0.25">
      <c r="O143" t="s">
        <v>97</v>
      </c>
      <c r="P143" s="1">
        <f>Q140/P140</f>
        <v>11.345452313334743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-0.63722141523704623</v>
      </c>
      <c r="G146" s="4">
        <f>($B$66/$B$65)*(E146-$B$125)</f>
        <v>0.94623717138340313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-1.9636430599957677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0.94623717138340313</v>
      </c>
      <c r="P146" s="4">
        <f>(1/6)*(M146-K146)*((N146*((2*J146)+L146))+(O146*(J146+(2*L146))))</f>
        <v>-8.4817322543811127</v>
      </c>
      <c r="Q146" s="4">
        <f>((1/12)*(M146-K146)*(N146*J146*((3*K146)+M146)+N146*L146*(K146+M146)+O146*J146*(K146+M146)+O146*L146*(K146+(3*M146))))</f>
        <v>-34.02971896109274</v>
      </c>
      <c r="R146" s="4">
        <f>((-1/24)*(M146-K146)*(J146*J146*((3*N146)+O146)+2*J146*L146*(N146+O146)+L146*L146*(N146+(3*O146))))</f>
        <v>-8.481732254381388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0.94623717138340313</v>
      </c>
      <c r="G147" s="4">
        <f t="shared" ref="G147:G153" si="64">($B$66/$B$65)*(E147-$B$125)</f>
        <v>0.9462371713834099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0.94623717138340313</v>
      </c>
      <c r="O147" s="4">
        <f t="shared" si="71"/>
        <v>0.9462371713834099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-4.0340516905959876E-14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0.9462371713834099</v>
      </c>
      <c r="G148" s="4">
        <f t="shared" si="64"/>
        <v>-0.63722141523703946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-1.9636430599957677</v>
      </c>
      <c r="N148" s="4">
        <f t="shared" si="71"/>
        <v>0.9462371713834099</v>
      </c>
      <c r="O148" s="4">
        <f t="shared" si="71"/>
        <v>0</v>
      </c>
      <c r="P148" s="4">
        <f t="shared" si="72"/>
        <v>-8.4817322543806846</v>
      </c>
      <c r="Q148" s="4">
        <f t="shared" si="73"/>
        <v>-34.029718961090772</v>
      </c>
      <c r="R148" s="4">
        <f t="shared" si="74"/>
        <v>8.4817322543804092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-0.63722141523703946</v>
      </c>
      <c r="G149" s="4">
        <f t="shared" si="64"/>
        <v>-0.63722141523704623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-0.63722141523704623</v>
      </c>
      <c r="G150" s="4">
        <f t="shared" si="64"/>
        <v>-0.63722141523704623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-0.63722141523704623</v>
      </c>
      <c r="G151" s="4">
        <f t="shared" si="64"/>
        <v>-0.63722141523704623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-0.63722141523704623</v>
      </c>
      <c r="G152" s="4">
        <f t="shared" si="64"/>
        <v>-0.63722141523704623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-0.63722141523704623</v>
      </c>
      <c r="G153" s="4">
        <f t="shared" si="64"/>
        <v>-0.63722141523704623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-16.963464508761795</v>
      </c>
      <c r="Q154" s="4">
        <f t="shared" ref="Q154:R154" si="75">SUM(Q146:Q153)</f>
        <v>-68.05943792218352</v>
      </c>
      <c r="R154" s="4">
        <f t="shared" si="75"/>
        <v>-1.0196288258157438E-12</v>
      </c>
    </row>
    <row r="156" spans="1:18" x14ac:dyDescent="0.25">
      <c r="O156" t="s">
        <v>96</v>
      </c>
      <c r="P156" s="1">
        <f>-1*R154/P154</f>
        <v>-6.0107345718741332E-14</v>
      </c>
    </row>
    <row r="157" spans="1:18" x14ac:dyDescent="0.25">
      <c r="O157" t="s">
        <v>97</v>
      </c>
      <c r="P157" s="1">
        <f>Q154/P154</f>
        <v>4.0121189800014116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250.00000376143819</v>
      </c>
      <c r="C159" t="s">
        <v>36</v>
      </c>
    </row>
    <row r="160" spans="1:18" x14ac:dyDescent="0.25">
      <c r="A160" s="1" t="s">
        <v>106</v>
      </c>
      <c r="B160" s="4">
        <f>Q140+I122+Q154-O122</f>
        <v>3500.0000161376925</v>
      </c>
      <c r="C160" t="s">
        <v>102</v>
      </c>
    </row>
    <row r="161" spans="1:9" x14ac:dyDescent="0.25">
      <c r="A161" s="1" t="s">
        <v>107</v>
      </c>
      <c r="B161" s="4">
        <f>R140+J122+R154-P122</f>
        <v>4.8041570721579774E-11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250.00000376143819</v>
      </c>
      <c r="C164" t="s">
        <v>36</v>
      </c>
      <c r="E164" s="8">
        <f>B2-B164</f>
        <v>-3.7614381938055885E-6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3500.0000161376925</v>
      </c>
      <c r="C165" t="s">
        <v>102</v>
      </c>
      <c r="E165" s="8">
        <f>B3+B165</f>
        <v>1.6137692455231445E-5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-8.5205378993247463E-12</v>
      </c>
      <c r="C166" t="s">
        <v>102</v>
      </c>
      <c r="E166" s="8">
        <f>B4+B166</f>
        <v>-8.5205378993247463E-12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-2.107440210621685</v>
      </c>
      <c r="C169" s="3">
        <f ca="1">A169+B169</f>
        <v>-7.5716603653575021E-8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2.9610867891691856E-7</v>
      </c>
      <c r="D175" s="27">
        <f>B66*SQRT(I175)</f>
        <v>3.1258388680255488E-8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19.963643356104562</v>
      </c>
      <c r="D176" s="3">
        <f>D175+B66</f>
        <v>2.1074401661634701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2.9610868068630225E-7</v>
      </c>
      <c r="D177" s="27">
        <f>D176-B66</f>
        <v>3.1258388766275402E-8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3.7614381938055885E-6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-1.6137692455231445E-5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8.5205378993247463E-12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7.5716603653575021E-8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18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ht="15.75" thickBot="1" x14ac:dyDescent="0.3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19.963642467778534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x14ac:dyDescent="0.25">
      <c r="A67" s="1" t="s">
        <v>37</v>
      </c>
      <c r="B67" s="17">
        <f>'Rigid Bearing Plate Analysis'!B67</f>
        <v>6.3886198672757395</v>
      </c>
      <c r="C67" t="s">
        <v>36</v>
      </c>
      <c r="D67" t="s">
        <v>122</v>
      </c>
      <c r="G67" s="20">
        <f ca="1">($B$56*$B$66*$B$55*$E$122)/$B$65</f>
        <v>6.3886200968075446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14.036357532221661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-6.3886198672757395</v>
      </c>
      <c r="I110">
        <f>H110*C110</f>
        <v>102.21791787641236</v>
      </c>
      <c r="J110">
        <f>H110*B110*-1</f>
        <v>-31.943099336377045</v>
      </c>
      <c r="K110">
        <f ca="1">H110/$B$55</f>
        <v>-10.546707999648779</v>
      </c>
      <c r="L110">
        <f ca="1">K110/$B$54</f>
        <v>-3.6367958619478547E-4</v>
      </c>
      <c r="M110">
        <f t="shared" ref="M110:M121" si="34">IFERROR(($D$66/$B$65)*(G110-$B$125),0)</f>
        <v>-3.6367959926114938E-4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14.0363575322215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-6.3886198672756658</v>
      </c>
      <c r="I111">
        <f t="shared" ref="I111:I121" si="39">H111*C111</f>
        <v>102.21791787641014</v>
      </c>
      <c r="J111">
        <f t="shared" ref="J111:J121" si="40">H111*B111*-1</f>
        <v>31.94309933637998</v>
      </c>
      <c r="K111">
        <f ca="1">H111/$B$55</f>
        <v>-10.546707999648657</v>
      </c>
      <c r="L111">
        <f t="shared" ref="L111:L121" ca="1" si="41">K111/$B$54</f>
        <v>-3.6367958619478125E-4</v>
      </c>
      <c r="M111">
        <f t="shared" si="34"/>
        <v>-3.6367959926114521E-4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8.0363575322216594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-3.6577319488353108</v>
      </c>
      <c r="I112">
        <f t="shared" si="39"/>
        <v>36.577319488353403</v>
      </c>
      <c r="J112">
        <f t="shared" si="40"/>
        <v>-18.288659744175963</v>
      </c>
      <c r="K112">
        <f t="shared" ref="K112:K121" ca="1" si="45">H112/$B$55</f>
        <v>-6.0383982153883355</v>
      </c>
      <c r="L112">
        <f t="shared" ca="1" si="41"/>
        <v>-2.0822062811683915E-4</v>
      </c>
      <c r="M112">
        <f t="shared" si="34"/>
        <v>-2.082206355978378E-4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8.0363575322214995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-3.657731948835238</v>
      </c>
      <c r="I113">
        <f t="shared" si="39"/>
        <v>36.577319488352089</v>
      </c>
      <c r="J113">
        <f t="shared" si="40"/>
        <v>18.28865974417678</v>
      </c>
      <c r="K113">
        <f t="shared" ca="1" si="45"/>
        <v>-6.0383982153882156</v>
      </c>
      <c r="L113">
        <f t="shared" ca="1" si="41"/>
        <v>-2.0822062811683503E-4</v>
      </c>
      <c r="M113">
        <f t="shared" si="34"/>
        <v>-2.0822063559783365E-4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2.0363575322216603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-0.92684403039488283</v>
      </c>
      <c r="I114">
        <f t="shared" si="39"/>
        <v>3.7073761215796064</v>
      </c>
      <c r="J114">
        <f t="shared" si="40"/>
        <v>-4.634220151974354</v>
      </c>
      <c r="K114">
        <f t="shared" ca="1" si="45"/>
        <v>-1.5300884311278933</v>
      </c>
      <c r="L114">
        <f t="shared" ca="1" si="41"/>
        <v>-5.2761670038892871E-5</v>
      </c>
      <c r="M114">
        <f t="shared" si="34"/>
        <v>-5.2761671934526301E-5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2.0363575322214986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-0.92684403039480923</v>
      </c>
      <c r="I115">
        <f t="shared" si="39"/>
        <v>3.7073761215791619</v>
      </c>
      <c r="J115">
        <f t="shared" si="40"/>
        <v>4.6342201519741062</v>
      </c>
      <c r="K115">
        <f t="shared" ca="1" si="45"/>
        <v>-1.5300884311277718</v>
      </c>
      <c r="L115">
        <f t="shared" ca="1" si="41"/>
        <v>-5.2761670038888683E-5</v>
      </c>
      <c r="M115">
        <f t="shared" si="34"/>
        <v>-5.2761671934522114E-5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-3.9636424677783397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1.0269729172878522E-4</v>
      </c>
      <c r="N116">
        <f t="shared" si="42"/>
        <v>0.37098614878056663</v>
      </c>
      <c r="O116">
        <f t="shared" si="43"/>
        <v>0.74197229756110328</v>
      </c>
      <c r="P116">
        <f t="shared" si="44"/>
        <v>1.8549307439028451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-3.9636424677785014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1.0269729172878941E-4</v>
      </c>
      <c r="N117">
        <f t="shared" si="42"/>
        <v>0.37098614878058173</v>
      </c>
      <c r="O117">
        <f t="shared" si="43"/>
        <v>0.74197229756119343</v>
      </c>
      <c r="P117">
        <f t="shared" si="44"/>
        <v>-1.8549307439028968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-9.9636424677783388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2.5815625539209674E-4</v>
      </c>
      <c r="N118">
        <f t="shared" si="42"/>
        <v>0.93256982106648989</v>
      </c>
      <c r="O118">
        <f t="shared" si="43"/>
        <v>7.4605585685318436</v>
      </c>
      <c r="P118">
        <f t="shared" si="44"/>
        <v>4.6628491053325707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-9.9636424677785005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2.5815625539210091E-4</v>
      </c>
      <c r="N119">
        <f t="shared" si="42"/>
        <v>0.93256982106650499</v>
      </c>
      <c r="O119">
        <f t="shared" si="43"/>
        <v>7.4605585685321145</v>
      </c>
      <c r="P119">
        <f t="shared" si="44"/>
        <v>-4.6628491053324037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-15.963642467778341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4.136152190554083E-4</v>
      </c>
      <c r="N120">
        <f t="shared" si="42"/>
        <v>1.4941534933524134</v>
      </c>
      <c r="O120">
        <f t="shared" si="43"/>
        <v>20.91814890693367</v>
      </c>
      <c r="P120">
        <f t="shared" si="44"/>
        <v>7.470767466762406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-15.9636424677785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4.1361521905541242E-4</v>
      </c>
      <c r="N121" s="23">
        <f t="shared" si="42"/>
        <v>1.4941534933524285</v>
      </c>
      <c r="O121" s="23">
        <f t="shared" si="43"/>
        <v>20.918148906934118</v>
      </c>
      <c r="P121" s="23">
        <f t="shared" si="44"/>
        <v>-7.4707674667618038</v>
      </c>
    </row>
    <row r="122" spans="1:16" ht="15.75" thickTop="1" x14ac:dyDescent="0.25">
      <c r="D122" s="10" t="s">
        <v>44</v>
      </c>
      <c r="E122" s="4">
        <f>MAX(E110:E121)</f>
        <v>14.036357532221661</v>
      </c>
      <c r="H122">
        <f>SUM(H110:H121)</f>
        <v>-21.946391693011641</v>
      </c>
      <c r="I122">
        <f t="shared" ref="I122:J122" si="46">SUM(I110:I121)</f>
        <v>285.00522697268673</v>
      </c>
      <c r="J122">
        <f t="shared" si="46"/>
        <v>3.503863865716994E-12</v>
      </c>
      <c r="L122">
        <f ca="1">MIN(L110:L121)</f>
        <v>-3.6367958619478547E-4</v>
      </c>
      <c r="M122">
        <f>MIN(M110:M121)</f>
        <v>-3.6367959926114938E-4</v>
      </c>
      <c r="N122">
        <f>SUM(N110:N121)</f>
        <v>5.5954189263989846</v>
      </c>
      <c r="O122">
        <f>SUM(O110:O121)</f>
        <v>58.241359546054042</v>
      </c>
      <c r="P122">
        <f>SUM(P110:P121)</f>
        <v>7.1764816311770119E-13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-1.9636424677784206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-1.9636424677784206</v>
      </c>
    </row>
    <row r="127" spans="1:16" x14ac:dyDescent="0.25">
      <c r="F127" s="4">
        <f>MAX(B84:B90)+1</f>
        <v>8.0000000000002913</v>
      </c>
      <c r="G127" s="4">
        <f>G126</f>
        <v>-1.9636424677784206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-1.6928605857191568</v>
      </c>
      <c r="G132" s="4">
        <f t="shared" ref="G132:G139" si="49">($B$66/$B$65)*(E132-$B$125)</f>
        <v>-1.6928605857191328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-1.6928605857191328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-1.9636424677784206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147.25263481421814</v>
      </c>
      <c r="Q133" s="4">
        <f t="shared" ref="Q133:Q139" si="59">((1/12)*(M133-K133)*(N133*J133*((3*K133)+M133)+N133*L133*(K133+M133)+O133*J133*(K133+M133)+O133*L133*(K133+(3*M133))))</f>
        <v>1670.6477753661327</v>
      </c>
      <c r="R133" s="4">
        <f t="shared" ref="R133:R139" si="60">((-1/24)*(M133-K133)*(J133*J133*((3*N133)+O133)+2*J133*L133*(N133+O133)+L133*L133*(N133+(3*O133))))</f>
        <v>-515.38422184975002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-1.6928605857191568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-1.9636424677784206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147.25263481422252</v>
      </c>
      <c r="Q135" s="4">
        <f t="shared" si="59"/>
        <v>1670.6477753661752</v>
      </c>
      <c r="R135" s="4">
        <f t="shared" si="60"/>
        <v>515.38422184979243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-1.6928605857191568</v>
      </c>
      <c r="G136" s="4">
        <f t="shared" si="49"/>
        <v>-1.6928605857191568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-1.6928605857191568</v>
      </c>
      <c r="G137" s="4">
        <f t="shared" si="49"/>
        <v>-1.6928605857191568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-1.6928605857191568</v>
      </c>
      <c r="G138" s="4">
        <f t="shared" si="49"/>
        <v>-1.6928605857191568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-1.6928605857191568</v>
      </c>
      <c r="G139" s="4">
        <f t="shared" si="49"/>
        <v>-1.6928605857191568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294.50526962844066</v>
      </c>
      <c r="Q140" s="4">
        <f>SUM(Q132:Q139)</f>
        <v>3341.2955507323077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-1.5711278447096872E-13</v>
      </c>
    </row>
    <row r="143" spans="1:18" x14ac:dyDescent="0.25">
      <c r="O143" t="s">
        <v>97</v>
      </c>
      <c r="P143" s="1">
        <f>Q140/P140</f>
        <v>11.345452510740525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-0.63722149665686645</v>
      </c>
      <c r="G146" s="4">
        <f>($B$66/$B$65)*(E146-$B$125)</f>
        <v>0.94623713693655609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-1.9636424677784206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0.94623713693655609</v>
      </c>
      <c r="P146" s="4">
        <f>(1/6)*(M146-K146)*((N146*((2*J146)+L146))+(O146*(J146+(2*L146))))</f>
        <v>-8.4817313852338234</v>
      </c>
      <c r="Q146" s="4">
        <f>((1/12)*(M146-K146)*(N146*J146*((3*K146)+M146)+N146*L146*(K146+M146)+O146*J146*(K146+M146)+O146*L146*(K146+(3*M146))))</f>
        <v>-34.029717148313232</v>
      </c>
      <c r="R146" s="4">
        <f>((-1/24)*(M146-K146)*(J146*J146*((3*N146)+O146)+2*J146*L146*(N146+O146)+L146*L146*(N146+(3*O146))))</f>
        <v>-8.4817313852341005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0.94623713693655609</v>
      </c>
      <c r="G147" s="4">
        <f t="shared" ref="G147:G153" si="64">($B$66/$B$65)*(E147-$B$125)</f>
        <v>0.94623713693656286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0.94623713693655609</v>
      </c>
      <c r="O147" s="4">
        <f t="shared" si="71"/>
        <v>0.94623713693656286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-4.0340515437402461E-14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0.94623713693656286</v>
      </c>
      <c r="G148" s="4">
        <f t="shared" si="64"/>
        <v>-0.63722149665685979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-1.9636424677784206</v>
      </c>
      <c r="N148" s="4">
        <f t="shared" si="71"/>
        <v>0.94623713693656286</v>
      </c>
      <c r="O148" s="4">
        <f t="shared" si="71"/>
        <v>0</v>
      </c>
      <c r="P148" s="4">
        <f t="shared" si="72"/>
        <v>-8.4817313852333953</v>
      </c>
      <c r="Q148" s="4">
        <f t="shared" si="73"/>
        <v>-34.029717148311256</v>
      </c>
      <c r="R148" s="4">
        <f t="shared" si="74"/>
        <v>8.4817313852331235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-0.63722149665685979</v>
      </c>
      <c r="G149" s="4">
        <f t="shared" si="64"/>
        <v>-0.63722149665686645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-0.63722149665686645</v>
      </c>
      <c r="G150" s="4">
        <f t="shared" si="64"/>
        <v>-0.63722149665686645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-0.63722149665686645</v>
      </c>
      <c r="G151" s="4">
        <f t="shared" si="64"/>
        <v>-0.63722149665686645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-0.63722149665686645</v>
      </c>
      <c r="G152" s="4">
        <f t="shared" si="64"/>
        <v>-0.63722149665686645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-0.63722149665686645</v>
      </c>
      <c r="G153" s="4">
        <f t="shared" si="64"/>
        <v>-0.63722149665686645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-16.963462770467217</v>
      </c>
      <c r="Q154" s="4">
        <f t="shared" ref="Q154:R154" si="75">SUM(Q146:Q153)</f>
        <v>-68.059434296624488</v>
      </c>
      <c r="R154" s="4">
        <f t="shared" si="75"/>
        <v>-1.0178524689763435E-12</v>
      </c>
    </row>
    <row r="156" spans="1:18" x14ac:dyDescent="0.25">
      <c r="O156" t="s">
        <v>96</v>
      </c>
      <c r="P156" s="1">
        <f>-1*R154/P154</f>
        <v>-6.0002635237210432E-14</v>
      </c>
    </row>
    <row r="157" spans="1:18" x14ac:dyDescent="0.25">
      <c r="O157" t="s">
        <v>97</v>
      </c>
      <c r="P157" s="1">
        <f>Q154/P154</f>
        <v>4.012119177407194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249.99999623856277</v>
      </c>
      <c r="C159" t="s">
        <v>36</v>
      </c>
    </row>
    <row r="160" spans="1:18" x14ac:dyDescent="0.25">
      <c r="A160" s="1" t="s">
        <v>106</v>
      </c>
      <c r="B160" s="4">
        <f>Q140+I122+Q154-O122</f>
        <v>3499.9999838623157</v>
      </c>
      <c r="C160" t="s">
        <v>102</v>
      </c>
    </row>
    <row r="161" spans="1:9" x14ac:dyDescent="0.25">
      <c r="A161" s="1" t="s">
        <v>107</v>
      </c>
      <c r="B161" s="4">
        <f>R140+J122+R154-P122</f>
        <v>4.8038906186320673E-11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249.99999623856277</v>
      </c>
      <c r="C164" t="s">
        <v>36</v>
      </c>
      <c r="E164" s="8">
        <f>B2-B164</f>
        <v>3.7614372274674679E-6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3499.9999838623157</v>
      </c>
      <c r="C165" t="s">
        <v>102</v>
      </c>
      <c r="E165" s="8">
        <f>B3+B165</f>
        <v>-1.6137684269779129E-5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-8.5232019129943129E-12</v>
      </c>
      <c r="C166" t="s">
        <v>102</v>
      </c>
      <c r="E166" s="8">
        <f>B4+B166</f>
        <v>-8.5232019129943129E-12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-2.1074400591884896</v>
      </c>
      <c r="C169" s="3">
        <f ca="1">A169+B169</f>
        <v>7.5716591663166355E-8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2.9610867013291579E-7</v>
      </c>
      <c r="D175" s="27">
        <f>B66*SQRT(I175)</f>
        <v>3.1258388680255488E-8</v>
      </c>
      <c r="E175" s="27">
        <f>B67*SQRT(I175)</f>
        <v>9.4758545988639266E-8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19.963642763887204</v>
      </c>
      <c r="D176" s="3">
        <f>D175+B66</f>
        <v>2.1074401661634701</v>
      </c>
      <c r="E176" s="3">
        <f>B67+E175</f>
        <v>6.3886199620342854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2.9610867002816121E-7</v>
      </c>
      <c r="D177" s="27">
        <f>D176-B66</f>
        <v>3.1258388766275402E-8</v>
      </c>
      <c r="E177" s="27">
        <f>E176-B67</f>
        <v>9.4758545898798729E-8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-3.7614372274674679E-6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1.6137684269779129E-5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8.5232019129943129E-12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-7.5716591663166355E-8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42" workbookViewId="0">
      <selection activeCell="B67" sqref="B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x14ac:dyDescent="0.25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6.3886199620342854</v>
      </c>
      <c r="C67" t="s">
        <v>36</v>
      </c>
      <c r="D67" t="s">
        <v>122</v>
      </c>
      <c r="G67" s="20">
        <f ca="1">($B$56*$B$66*$B$55*$E$122)/$B$65</f>
        <v>6.3886198672757253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-6.3886199620342854</v>
      </c>
      <c r="I110">
        <f>H110*C110</f>
        <v>102.21791939254909</v>
      </c>
      <c r="J110">
        <f>H110*B110*-1</f>
        <v>-31.943099810169777</v>
      </c>
      <c r="K110">
        <f ca="1">H110/$B$55</f>
        <v>-10.546708156081738</v>
      </c>
      <c r="L110">
        <f ca="1">K110/$B$54</f>
        <v>-3.6367959158902549E-4</v>
      </c>
      <c r="M110">
        <f t="shared" ref="M110:M121" si="34">IFERROR(($D$66/$B$65)*(G110-$B$125),0)</f>
        <v>-3.6367958619478471E-4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-6.3886199620342117</v>
      </c>
      <c r="I111">
        <f t="shared" ref="I111:I121" si="39">H111*C111</f>
        <v>102.21791939254688</v>
      </c>
      <c r="J111">
        <f t="shared" ref="J111:J121" si="40">H111*B111*-1</f>
        <v>31.943099810172711</v>
      </c>
      <c r="K111">
        <f ca="1">H111/$B$55</f>
        <v>-10.546708156081618</v>
      </c>
      <c r="L111">
        <f t="shared" ref="L111:L121" ca="1" si="41">K111/$B$54</f>
        <v>-3.6367959158902131E-4</v>
      </c>
      <c r="M111">
        <f t="shared" si="34"/>
        <v>-3.6367958619478054E-4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-3.6577319454778814</v>
      </c>
      <c r="I112">
        <f t="shared" si="39"/>
        <v>36.577319454779108</v>
      </c>
      <c r="J112">
        <f t="shared" si="40"/>
        <v>-18.288659727388815</v>
      </c>
      <c r="K112">
        <f t="shared" ref="K112:K121" ca="1" si="45">H112/$B$55</f>
        <v>-6.0383982098456945</v>
      </c>
      <c r="L112">
        <f t="shared" ca="1" si="41"/>
        <v>-2.082206279257136E-4</v>
      </c>
      <c r="M112">
        <f t="shared" si="34"/>
        <v>-2.0822062483730221E-4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-3.6577319454778086</v>
      </c>
      <c r="I113">
        <f t="shared" si="39"/>
        <v>36.577319454777793</v>
      </c>
      <c r="J113">
        <f t="shared" si="40"/>
        <v>18.288659727389636</v>
      </c>
      <c r="K113">
        <f t="shared" ca="1" si="45"/>
        <v>-6.0383982098455737</v>
      </c>
      <c r="L113">
        <f t="shared" ca="1" si="41"/>
        <v>-2.0822062792570943E-4</v>
      </c>
      <c r="M113">
        <f t="shared" si="34"/>
        <v>-2.0822062483729807E-4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-0.92684392892147882</v>
      </c>
      <c r="I114">
        <f t="shared" si="39"/>
        <v>3.7073757156859903</v>
      </c>
      <c r="J114">
        <f t="shared" si="40"/>
        <v>-4.6342196446073336</v>
      </c>
      <c r="K114">
        <f t="shared" ca="1" si="45"/>
        <v>-1.5300882636096524</v>
      </c>
      <c r="L114">
        <f t="shared" ca="1" si="41"/>
        <v>-5.276166426240181E-5</v>
      </c>
      <c r="M114">
        <f t="shared" si="34"/>
        <v>-5.2761663479819769E-5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-0.92684392892140521</v>
      </c>
      <c r="I115">
        <f t="shared" si="39"/>
        <v>3.7073757156855458</v>
      </c>
      <c r="J115">
        <f t="shared" si="40"/>
        <v>4.6342196446070858</v>
      </c>
      <c r="K115">
        <f t="shared" ca="1" si="45"/>
        <v>-1.530088263609531</v>
      </c>
      <c r="L115">
        <f t="shared" ca="1" si="41"/>
        <v>-5.2761664262397622E-5</v>
      </c>
      <c r="M115">
        <f t="shared" si="34"/>
        <v>-5.2761663479815581E-5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1.026972978776627E-4</v>
      </c>
      <c r="N116">
        <f t="shared" si="42"/>
        <v>0.37098617099291842</v>
      </c>
      <c r="O116">
        <f t="shared" si="43"/>
        <v>0.74197234198580686</v>
      </c>
      <c r="P116">
        <f t="shared" si="44"/>
        <v>1.854930854964604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1.0269729787766689E-4</v>
      </c>
      <c r="N117">
        <f t="shared" si="42"/>
        <v>0.37098617099293363</v>
      </c>
      <c r="O117">
        <f t="shared" si="43"/>
        <v>0.74197234198589723</v>
      </c>
      <c r="P117">
        <f t="shared" si="44"/>
        <v>-1.8549308549646564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2.5815625923514518E-4</v>
      </c>
      <c r="N118">
        <f t="shared" si="42"/>
        <v>0.93256983494920986</v>
      </c>
      <c r="O118">
        <f t="shared" si="43"/>
        <v>7.4605586795936034</v>
      </c>
      <c r="P118">
        <f t="shared" si="44"/>
        <v>4.66284917474617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2.5815625923514935E-4</v>
      </c>
      <c r="N119">
        <f t="shared" si="42"/>
        <v>0.93256983494922496</v>
      </c>
      <c r="O119">
        <f t="shared" si="43"/>
        <v>7.4605586795938743</v>
      </c>
      <c r="P119">
        <f t="shared" si="44"/>
        <v>-4.6628491747460039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4.1361522059262765E-4</v>
      </c>
      <c r="N120">
        <f t="shared" si="42"/>
        <v>1.4941534989055014</v>
      </c>
      <c r="O120">
        <f t="shared" si="43"/>
        <v>20.9181489846769</v>
      </c>
      <c r="P120">
        <f t="shared" si="44"/>
        <v>7.4707674945278457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4.1361522059263182E-4</v>
      </c>
      <c r="N121" s="23">
        <f t="shared" si="42"/>
        <v>1.4941534989055163</v>
      </c>
      <c r="O121" s="23">
        <f t="shared" si="43"/>
        <v>20.918148984677348</v>
      </c>
      <c r="P121" s="23">
        <f t="shared" si="44"/>
        <v>-7.4707674945272426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-21.946391672867069</v>
      </c>
      <c r="I122">
        <f t="shared" ref="I122:J122" si="46">SUM(I110:I121)</f>
        <v>285.0052291260244</v>
      </c>
      <c r="J122">
        <f t="shared" si="46"/>
        <v>3.5074165793957945E-12</v>
      </c>
      <c r="L122">
        <f ca="1">MIN(L110:L121)</f>
        <v>-3.6367959158902549E-4</v>
      </c>
      <c r="M122">
        <f>MIN(M110:M121)</f>
        <v>-3.6367958619478471E-4</v>
      </c>
      <c r="N122">
        <f>SUM(N110:N121)</f>
        <v>5.5954190096953038</v>
      </c>
      <c r="O122">
        <f>SUM(O110:O121)</f>
        <v>58.241360012513425</v>
      </c>
      <c r="P122">
        <f>SUM(P110:P121)</f>
        <v>7.1675998469800106E-13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-1.6928605293515879</v>
      </c>
      <c r="G132" s="4">
        <f t="shared" ref="G132:G139" si="49">($B$66/$B$65)*(E132-$B$125)</f>
        <v>-1.6928605293515639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-1.6928605293515639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147.25263699832769</v>
      </c>
      <c r="Q133" s="4">
        <f t="shared" ref="Q133:Q139" si="59">((1/12)*(M133-K133)*(N133*J133*((3*K133)+M133)+N133*L133*(K133+M133)+O133*J133*(K133+M133)+O133*L133*(K133+(3*M133))))</f>
        <v>1670.6477856115828</v>
      </c>
      <c r="R133" s="4">
        <f t="shared" ref="R133:R139" si="60">((-1/24)*(M133-K133)*(J133*J133*((3*N133)+O133)+2*J133*L133*(N133+O133)+L133*L133*(N133+(3*O133))))</f>
        <v>-515.38422949413348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-1.6928605293515879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147.25263699833209</v>
      </c>
      <c r="Q135" s="4">
        <f t="shared" si="59"/>
        <v>1670.6477856116255</v>
      </c>
      <c r="R135" s="4">
        <f t="shared" si="60"/>
        <v>515.38422949417588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-1.6928605293515879</v>
      </c>
      <c r="G136" s="4">
        <f t="shared" si="49"/>
        <v>-1.6928605293515879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-1.6928605293515879</v>
      </c>
      <c r="G137" s="4">
        <f t="shared" si="49"/>
        <v>-1.6928605293515879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-1.6928605293515879</v>
      </c>
      <c r="G138" s="4">
        <f t="shared" si="49"/>
        <v>-1.6928605293515879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-1.6928605293515879</v>
      </c>
      <c r="G139" s="4">
        <f t="shared" si="49"/>
        <v>-1.6928605293515879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294.50527399665975</v>
      </c>
      <c r="Q140" s="4">
        <f>SUM(Q132:Q139)</f>
        <v>3341.2955712232083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-1.5711278214060954E-13</v>
      </c>
    </row>
    <row r="143" spans="1:18" x14ac:dyDescent="0.25">
      <c r="O143" t="s">
        <v>97</v>
      </c>
      <c r="P143" s="1">
        <f>Q140/P140</f>
        <v>11.345452412037636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-0.63722145594695567</v>
      </c>
      <c r="G146" s="4">
        <f>($B$66/$B$65)*(E146-$B$125)</f>
        <v>0.94623715415997978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0.94623715415997978</v>
      </c>
      <c r="P146" s="4">
        <f>(1/6)*(M146-K146)*((N146*((2*J146)+L146))+(O146*(J146+(2*L146))))</f>
        <v>-8.4817318198074627</v>
      </c>
      <c r="Q146" s="4">
        <f>((1/12)*(M146-K146)*(N146*J146*((3*K146)+M146)+N146*L146*(K146+M146)+O146*J146*(K146+M146)+O146*L146*(K146+(3*M146))))</f>
        <v>-34.029718054703011</v>
      </c>
      <c r="R146" s="4">
        <f>((-1/24)*(M146-K146)*(J146*J146*((3*N146)+O146)+2*J146*L146*(N146+O146)+L146*L146*(N146+(3*O146))))</f>
        <v>-8.4817318198077398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0.94623715415997978</v>
      </c>
      <c r="G147" s="4">
        <f t="shared" ref="G147:G153" si="64">($B$66/$B$65)*(E147-$B$125)</f>
        <v>0.94623715415998655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0.94623715415997978</v>
      </c>
      <c r="O147" s="4">
        <f t="shared" si="71"/>
        <v>0.94623715415998655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-4.0340516171681172E-14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0.94623715415998655</v>
      </c>
      <c r="G148" s="4">
        <f t="shared" si="64"/>
        <v>-0.6372214559469489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0.94623715415998655</v>
      </c>
      <c r="O148" s="4">
        <f t="shared" si="71"/>
        <v>0</v>
      </c>
      <c r="P148" s="4">
        <f t="shared" si="72"/>
        <v>-8.4817318198070364</v>
      </c>
      <c r="Q148" s="4">
        <f t="shared" si="73"/>
        <v>-34.029718054701036</v>
      </c>
      <c r="R148" s="4">
        <f t="shared" si="74"/>
        <v>8.4817318198067628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-0.6372214559469489</v>
      </c>
      <c r="G149" s="4">
        <f t="shared" si="64"/>
        <v>-0.63722145594695567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-0.63722145594695567</v>
      </c>
      <c r="G150" s="4">
        <f t="shared" si="64"/>
        <v>-0.63722145594695567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-0.63722145594695567</v>
      </c>
      <c r="G151" s="4">
        <f t="shared" si="64"/>
        <v>-0.63722145594695567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-0.63722145594695567</v>
      </c>
      <c r="G152" s="4">
        <f t="shared" si="64"/>
        <v>-0.63722145594695567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-0.63722145594695567</v>
      </c>
      <c r="G153" s="4">
        <f t="shared" si="64"/>
        <v>-0.63722145594695567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-16.963463639614499</v>
      </c>
      <c r="Q154" s="4">
        <f t="shared" ref="Q154:R154" si="75">SUM(Q146:Q153)</f>
        <v>-68.059436109404047</v>
      </c>
      <c r="R154" s="4">
        <f t="shared" si="75"/>
        <v>-1.0178524689763435E-12</v>
      </c>
    </row>
    <row r="156" spans="1:18" x14ac:dyDescent="0.25">
      <c r="O156" t="s">
        <v>96</v>
      </c>
      <c r="P156" s="1">
        <f>-1*R154/P154</f>
        <v>-6.0002632162889733E-14</v>
      </c>
    </row>
    <row r="157" spans="1:18" x14ac:dyDescent="0.25">
      <c r="O157" t="s">
        <v>97</v>
      </c>
      <c r="P157" s="1">
        <f>Q154/P154</f>
        <v>4.012119078704302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249.99999967448286</v>
      </c>
      <c r="C159" t="s">
        <v>36</v>
      </c>
    </row>
    <row r="160" spans="1:18" x14ac:dyDescent="0.25">
      <c r="A160" s="1" t="s">
        <v>106</v>
      </c>
      <c r="B160" s="4">
        <f>Q140+I122+Q154-O122</f>
        <v>3500.0000042273155</v>
      </c>
      <c r="C160" t="s">
        <v>102</v>
      </c>
    </row>
    <row r="161" spans="1:9" x14ac:dyDescent="0.25">
      <c r="A161" s="1" t="s">
        <v>107</v>
      </c>
      <c r="B161" s="4">
        <f>R140+J122+R154-P122</f>
        <v>4.8043347078419174E-11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249.99999967448286</v>
      </c>
      <c r="C164" t="s">
        <v>36</v>
      </c>
      <c r="E164" s="8">
        <f>B2-B164</f>
        <v>3.2551713502471102E-7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3500.0000042273155</v>
      </c>
      <c r="C165" t="s">
        <v>102</v>
      </c>
      <c r="E165" s="8">
        <f>B3+B165</f>
        <v>4.2273154576832894E-6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-8.5187613500064792E-12</v>
      </c>
      <c r="C166" t="s">
        <v>102</v>
      </c>
      <c r="E166" s="8">
        <f>B4+B166</f>
        <v>-8.5187613500064792E-12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-2.1074401661634745</v>
      </c>
      <c r="C169" s="3">
        <f ca="1">A169+B169</f>
        <v>-3.1258393207167501E-8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2.9610867452491715E-7</v>
      </c>
      <c r="D175" s="27">
        <f>B66*SQRT(I175)</f>
        <v>3.1258388680255488E-8</v>
      </c>
      <c r="E175" s="27">
        <f>B67*SQRT(I175)</f>
        <v>9.4758547394135633E-8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19.963643059995881</v>
      </c>
      <c r="D176" s="3">
        <f>D175+B66</f>
        <v>2.1074401661634701</v>
      </c>
      <c r="E176" s="3">
        <f>B67+E175</f>
        <v>6.3886200567928331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2.9610867358087489E-7</v>
      </c>
      <c r="D177" s="27">
        <f>D176-B66</f>
        <v>3.1258388766275402E-8</v>
      </c>
      <c r="E177" s="27">
        <f>E176-B67</f>
        <v>9.4758547675155569E-8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-3.2551713502471102E-7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-4.2273154576832894E-6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8.5187613500064792E-12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3.1258393207167501E-8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3" workbookViewId="0">
      <selection activeCell="B68" sqref="B6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-4.5474735088646412E-13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4.5474735088646412E-12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-8.5187612816905889E-12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9.6672438803101798E-12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97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1</v>
      </c>
      <c r="M60" s="17" t="str">
        <f>'Rigid Bearing Plate Analysis'!M60</f>
        <v>Used Higher Precision for Solution</v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-1.6160602388602768E-14</v>
      </c>
      <c r="C64" t="s">
        <v>19</v>
      </c>
      <c r="D64" t="s">
        <v>34</v>
      </c>
      <c r="H64" s="17">
        <f>DEGREES(B64)</f>
        <v>-9.2593431125597563E-13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19.963642763887208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2.1074401349050813</v>
      </c>
      <c r="C66" t="s">
        <v>11</v>
      </c>
      <c r="D66">
        <f>B66/B53</f>
        <v>5.1725452816428767E-4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6.3886197725171936</v>
      </c>
      <c r="C67" t="s">
        <v>36</v>
      </c>
      <c r="D67" t="s">
        <v>122</v>
      </c>
      <c r="G67" s="20">
        <f ca="1">($B$56*$B$66*$B$55*$E$122)/$B$65</f>
        <v>6.3886198672757253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-19.000000000000114</v>
      </c>
      <c r="R76">
        <f>Q76</f>
        <v>-19.000000000000114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19.000000000000114</v>
      </c>
      <c r="R77">
        <f>Q77</f>
        <v>19.000000000000114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-6.9999999999997087</v>
      </c>
      <c r="C84" s="1">
        <f t="shared" ref="C84:C92" si="23">(-1*B73*SIN($B$64))+(C73*COS($B$64))</f>
        <v>-18.000000000000114</v>
      </c>
      <c r="H84" s="1">
        <f t="shared" ref="H84:H92" si="24">H73</f>
        <v>1</v>
      </c>
      <c r="I84" s="4">
        <f>(I73*COS($B$64))+(J73*SIN($B$64))</f>
        <v>-1.9999999999998708</v>
      </c>
      <c r="J84" s="1">
        <f>(-1*I73*SIN($B$64))+(J73*COS($B$64))</f>
        <v>-8.000000000000032</v>
      </c>
    </row>
    <row r="85" spans="1:10" x14ac:dyDescent="0.25">
      <c r="A85" s="1">
        <f t="shared" si="21"/>
        <v>2</v>
      </c>
      <c r="B85" s="4">
        <f t="shared" si="22"/>
        <v>7.0000000000002913</v>
      </c>
      <c r="C85" s="1">
        <f t="shared" si="23"/>
        <v>-17.999999999999886</v>
      </c>
      <c r="H85" s="1">
        <f t="shared" si="24"/>
        <v>2</v>
      </c>
      <c r="I85" s="4">
        <f t="shared" ref="I85:I92" si="25">(I74*COS($B$64))+(J74*SIN($B$64))</f>
        <v>-2.0000000000001132</v>
      </c>
      <c r="J85" s="1">
        <f t="shared" ref="J85:J92" si="26">(-1*I74*SIN($B$64))+(J74*COS($B$64))</f>
        <v>6.999999999999968</v>
      </c>
    </row>
    <row r="86" spans="1:10" x14ac:dyDescent="0.25">
      <c r="A86" s="1">
        <f t="shared" si="21"/>
        <v>3</v>
      </c>
      <c r="B86" s="4">
        <f t="shared" si="22"/>
        <v>6.9999999999997087</v>
      </c>
      <c r="C86" s="1">
        <f t="shared" si="23"/>
        <v>18.000000000000114</v>
      </c>
      <c r="H86" s="1">
        <f t="shared" si="24"/>
        <v>3</v>
      </c>
      <c r="I86" s="4">
        <f t="shared" si="25"/>
        <v>1.999999999999887</v>
      </c>
      <c r="J86" s="1">
        <f t="shared" si="26"/>
        <v>7.000000000000032</v>
      </c>
    </row>
    <row r="87" spans="1:10" x14ac:dyDescent="0.25">
      <c r="A87" s="1">
        <f t="shared" si="21"/>
        <v>4</v>
      </c>
      <c r="B87" s="4">
        <f t="shared" si="22"/>
        <v>-7.0000000000002913</v>
      </c>
      <c r="C87" s="1">
        <f t="shared" si="23"/>
        <v>17.999999999999886</v>
      </c>
      <c r="H87" s="1">
        <f t="shared" si="24"/>
        <v>4</v>
      </c>
      <c r="I87" s="4">
        <f t="shared" si="25"/>
        <v>2.0000000000001292</v>
      </c>
      <c r="J87" s="1">
        <f t="shared" si="26"/>
        <v>-7.999999999999968</v>
      </c>
    </row>
    <row r="88" spans="1:10" x14ac:dyDescent="0.25">
      <c r="A88" s="1">
        <f t="shared" si="21"/>
        <v>5</v>
      </c>
      <c r="B88" s="4">
        <f t="shared" si="22"/>
        <v>-6.9999999999997087</v>
      </c>
      <c r="C88" s="1">
        <f t="shared" si="23"/>
        <v>-18.000000000000114</v>
      </c>
      <c r="H88" s="1">
        <f t="shared" si="24"/>
        <v>5</v>
      </c>
      <c r="I88" s="4">
        <f t="shared" si="25"/>
        <v>-1.9999999999998708</v>
      </c>
      <c r="J88" s="1">
        <f t="shared" si="26"/>
        <v>-8.000000000000032</v>
      </c>
    </row>
    <row r="89" spans="1:10" x14ac:dyDescent="0.25">
      <c r="A89" s="1">
        <f t="shared" si="21"/>
        <v>6</v>
      </c>
      <c r="B89" s="4">
        <f t="shared" si="22"/>
        <v>-6.9999999999997087</v>
      </c>
      <c r="C89" s="1">
        <f t="shared" si="23"/>
        <v>-18.000000000000114</v>
      </c>
      <c r="H89" s="1">
        <f t="shared" si="24"/>
        <v>6</v>
      </c>
      <c r="I89" s="4">
        <f t="shared" si="25"/>
        <v>-1.9999999999998708</v>
      </c>
      <c r="J89" s="1">
        <f t="shared" si="26"/>
        <v>-8.000000000000032</v>
      </c>
    </row>
    <row r="90" spans="1:10" x14ac:dyDescent="0.25">
      <c r="A90" s="1">
        <f t="shared" si="21"/>
        <v>7</v>
      </c>
      <c r="B90" s="4">
        <f t="shared" si="22"/>
        <v>-6.9999999999997087</v>
      </c>
      <c r="C90" s="1">
        <f t="shared" si="23"/>
        <v>-18.000000000000114</v>
      </c>
      <c r="H90" s="1">
        <f t="shared" si="24"/>
        <v>7</v>
      </c>
      <c r="I90" s="4">
        <f t="shared" si="25"/>
        <v>-1.9999999999998708</v>
      </c>
      <c r="J90" s="1">
        <f t="shared" si="26"/>
        <v>-8.000000000000032</v>
      </c>
    </row>
    <row r="91" spans="1:10" x14ac:dyDescent="0.25">
      <c r="A91" s="1">
        <f t="shared" si="21"/>
        <v>8</v>
      </c>
      <c r="B91" s="4">
        <f t="shared" si="22"/>
        <v>-6.9999999999997087</v>
      </c>
      <c r="C91" s="1">
        <f t="shared" si="23"/>
        <v>-18.000000000000114</v>
      </c>
      <c r="H91" s="1">
        <f t="shared" si="24"/>
        <v>8</v>
      </c>
      <c r="I91" s="4">
        <f t="shared" si="25"/>
        <v>-1.9999999999998708</v>
      </c>
      <c r="J91" s="1">
        <f t="shared" si="26"/>
        <v>-8.000000000000032</v>
      </c>
    </row>
    <row r="92" spans="1:10" x14ac:dyDescent="0.25">
      <c r="A92" s="1">
        <f t="shared" si="21"/>
        <v>9</v>
      </c>
      <c r="B92" s="4">
        <f t="shared" si="22"/>
        <v>-6.9999999999997087</v>
      </c>
      <c r="C92" s="1">
        <f t="shared" si="23"/>
        <v>-18.000000000000114</v>
      </c>
      <c r="H92" s="1">
        <f t="shared" si="24"/>
        <v>9</v>
      </c>
      <c r="I92" s="4">
        <f t="shared" si="25"/>
        <v>-1.9999999999998708</v>
      </c>
      <c r="J92" s="1">
        <f t="shared" si="26"/>
        <v>-8.000000000000032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-4.9999999999997415</v>
      </c>
      <c r="C110" s="1">
        <f>(-1*B95*SIN($B$64))+(C95*COS($B$64))</f>
        <v>-16.000000000000082</v>
      </c>
      <c r="D110" t="str">
        <f t="shared" ref="D110" si="31">D95</f>
        <v>y</v>
      </c>
      <c r="E110" s="4">
        <f t="shared" ref="E110:E121" si="32">IF($D110="y",$B$125-C110,0)</f>
        <v>14.036357236112988</v>
      </c>
      <c r="F110" s="1">
        <f>IF($D110="y",B110,NA())</f>
        <v>-4.9999999999997415</v>
      </c>
      <c r="G110" s="1">
        <f>IF($D110="y",C110,NA())</f>
        <v>-16.000000000000082</v>
      </c>
      <c r="H110">
        <f t="shared" ref="H110:H121" si="33">IF($E$122=0,0,-1*MAX(($B$67/$E$122)*(E110),0))</f>
        <v>-6.3886197725171936</v>
      </c>
      <c r="I110">
        <f>H110*C110</f>
        <v>102.21791636027562</v>
      </c>
      <c r="J110">
        <f>H110*B110*-1</f>
        <v>-31.943098862584318</v>
      </c>
      <c r="K110">
        <f ca="1">H110/$B$55</f>
        <v>-10.546707843215819</v>
      </c>
      <c r="L110">
        <f ca="1">K110/$B$54</f>
        <v>-3.6367958080054546E-4</v>
      </c>
      <c r="M110">
        <f t="shared" ref="M110:M121" si="34">IFERROR(($D$66/$B$65)*(G110-$B$125),0)</f>
        <v>-3.6367958619478471E-4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5.0000000000002585</v>
      </c>
      <c r="C111" s="1">
        <f t="shared" ref="C111:C121" si="37">(-1*B96*SIN($B$64))+(C96*COS($B$64))</f>
        <v>-15.99999999999992</v>
      </c>
      <c r="D111" t="str">
        <f t="shared" si="35"/>
        <v>y</v>
      </c>
      <c r="E111" s="4">
        <f t="shared" si="32"/>
        <v>14.036357236112826</v>
      </c>
      <c r="F111" s="1">
        <f t="shared" ref="F111:G121" si="38">IF($D111="y",B111,NA())</f>
        <v>5.0000000000002585</v>
      </c>
      <c r="G111" s="1">
        <f t="shared" si="38"/>
        <v>-15.99999999999992</v>
      </c>
      <c r="H111">
        <f t="shared" si="33"/>
        <v>-6.3886197725171208</v>
      </c>
      <c r="I111">
        <f t="shared" ref="I111:I121" si="39">H111*C111</f>
        <v>102.21791636027342</v>
      </c>
      <c r="J111">
        <f t="shared" ref="J111:J121" si="40">H111*B111*-1</f>
        <v>31.943098862587256</v>
      </c>
      <c r="K111">
        <f ca="1">H111/$B$55</f>
        <v>-10.5467078432157</v>
      </c>
      <c r="L111">
        <f t="shared" ref="L111:L121" ca="1" si="41">K111/$B$54</f>
        <v>-3.6367958080054134E-4</v>
      </c>
      <c r="M111">
        <f t="shared" si="34"/>
        <v>-3.6367958619478054E-4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-4.9999999999998384</v>
      </c>
      <c r="C112" s="1">
        <f t="shared" si="37"/>
        <v>-10.00000000000008</v>
      </c>
      <c r="D112" t="str">
        <f t="shared" si="35"/>
        <v>y</v>
      </c>
      <c r="E112" s="4">
        <f t="shared" si="32"/>
        <v>8.0363572361129858</v>
      </c>
      <c r="F112" s="1">
        <f t="shared" si="38"/>
        <v>-4.9999999999998384</v>
      </c>
      <c r="G112" s="1">
        <f t="shared" si="38"/>
        <v>-10.00000000000008</v>
      </c>
      <c r="H112">
        <f t="shared" si="33"/>
        <v>-3.6577318369720189</v>
      </c>
      <c r="I112">
        <f t="shared" si="39"/>
        <v>36.57731836972048</v>
      </c>
      <c r="J112">
        <f t="shared" si="40"/>
        <v>-18.288659184859505</v>
      </c>
      <c r="K112">
        <f t="shared" ref="K112:K121" ca="1" si="45">H112/$B$55</f>
        <v>-6.0383980307178593</v>
      </c>
      <c r="L112">
        <f t="shared" ca="1" si="41"/>
        <v>-2.0822062174889169E-4</v>
      </c>
      <c r="M112">
        <f t="shared" si="34"/>
        <v>-2.0822062483730221E-4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5.0000000000001616</v>
      </c>
      <c r="C113" s="1">
        <f t="shared" si="37"/>
        <v>-9.9999999999999201</v>
      </c>
      <c r="D113" t="str">
        <f t="shared" si="35"/>
        <v>y</v>
      </c>
      <c r="E113" s="4">
        <f t="shared" si="32"/>
        <v>8.0363572361128259</v>
      </c>
      <c r="F113" s="1">
        <f t="shared" si="38"/>
        <v>5.0000000000001616</v>
      </c>
      <c r="G113" s="1">
        <f t="shared" si="38"/>
        <v>-9.9999999999999201</v>
      </c>
      <c r="H113">
        <f t="shared" si="33"/>
        <v>-3.657731836971946</v>
      </c>
      <c r="I113">
        <f t="shared" si="39"/>
        <v>36.577318369719166</v>
      </c>
      <c r="J113">
        <f t="shared" si="40"/>
        <v>18.288659184860322</v>
      </c>
      <c r="K113">
        <f t="shared" ca="1" si="45"/>
        <v>-6.0383980307177385</v>
      </c>
      <c r="L113">
        <f t="shared" ca="1" si="41"/>
        <v>-2.0822062174888755E-4</v>
      </c>
      <c r="M113">
        <f t="shared" si="34"/>
        <v>-2.0822062483729807E-4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-4.9999999999999352</v>
      </c>
      <c r="C114" s="1">
        <f t="shared" si="37"/>
        <v>-4.0000000000000808</v>
      </c>
      <c r="D114" t="str">
        <f t="shared" si="35"/>
        <v>y</v>
      </c>
      <c r="E114" s="4">
        <f t="shared" si="32"/>
        <v>2.0363572361129867</v>
      </c>
      <c r="F114" s="1">
        <f t="shared" si="38"/>
        <v>-4.9999999999999352</v>
      </c>
      <c r="G114" s="1">
        <f t="shared" si="38"/>
        <v>-4.0000000000000808</v>
      </c>
      <c r="H114">
        <f t="shared" si="33"/>
        <v>-0.92684390142684514</v>
      </c>
      <c r="I114">
        <f t="shared" si="39"/>
        <v>3.7073756057074556</v>
      </c>
      <c r="J114">
        <f t="shared" si="40"/>
        <v>-4.6342195071341656</v>
      </c>
      <c r="K114">
        <f t="shared" ca="1" si="45"/>
        <v>-1.5300882182199003</v>
      </c>
      <c r="L114">
        <f t="shared" ca="1" si="41"/>
        <v>-5.2761662697237938E-5</v>
      </c>
      <c r="M114">
        <f t="shared" si="34"/>
        <v>-5.2761663479819769E-5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5.0000000000000648</v>
      </c>
      <c r="C115" s="1">
        <f t="shared" si="37"/>
        <v>-3.9999999999999192</v>
      </c>
      <c r="D115" t="str">
        <f t="shared" si="35"/>
        <v>y</v>
      </c>
      <c r="E115" s="4">
        <f t="shared" si="32"/>
        <v>2.036357236112825</v>
      </c>
      <c r="F115" s="1">
        <f t="shared" si="38"/>
        <v>5.0000000000000648</v>
      </c>
      <c r="G115" s="1">
        <f t="shared" si="38"/>
        <v>-3.9999999999999192</v>
      </c>
      <c r="H115">
        <f t="shared" si="33"/>
        <v>-0.92684390142677164</v>
      </c>
      <c r="I115">
        <f t="shared" si="39"/>
        <v>3.7073756057070115</v>
      </c>
      <c r="J115">
        <f t="shared" si="40"/>
        <v>4.6342195071339187</v>
      </c>
      <c r="K115">
        <f t="shared" ca="1" si="45"/>
        <v>-1.5300882182197788</v>
      </c>
      <c r="L115">
        <f t="shared" ca="1" si="41"/>
        <v>-5.276166269723375E-5</v>
      </c>
      <c r="M115">
        <f t="shared" si="34"/>
        <v>-5.2761663479815581E-5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-5.000000000000032</v>
      </c>
      <c r="C116" s="1">
        <f t="shared" si="37"/>
        <v>1.9999999999999192</v>
      </c>
      <c r="D116" t="str">
        <f t="shared" si="35"/>
        <v>y</v>
      </c>
      <c r="E116" s="4">
        <f t="shared" si="32"/>
        <v>-3.9636427638870133</v>
      </c>
      <c r="F116" s="1">
        <f t="shared" si="38"/>
        <v>-5.000000000000032</v>
      </c>
      <c r="G116" s="1">
        <f t="shared" si="38"/>
        <v>1.9999999999999192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1.026972978776627E-4</v>
      </c>
      <c r="N116">
        <f t="shared" si="42"/>
        <v>0.37098617099291842</v>
      </c>
      <c r="O116">
        <f t="shared" si="43"/>
        <v>0.74197234198580686</v>
      </c>
      <c r="P116">
        <f t="shared" si="44"/>
        <v>1.854930854964604</v>
      </c>
    </row>
    <row r="117" spans="1:16" x14ac:dyDescent="0.25">
      <c r="A117">
        <f t="shared" si="35"/>
        <v>8</v>
      </c>
      <c r="B117" s="1">
        <f t="shared" si="36"/>
        <v>4.999999999999968</v>
      </c>
      <c r="C117" s="1">
        <f t="shared" si="37"/>
        <v>2.0000000000000808</v>
      </c>
      <c r="D117" t="str">
        <f t="shared" si="35"/>
        <v>y</v>
      </c>
      <c r="E117" s="4">
        <f t="shared" si="32"/>
        <v>-3.963642763887175</v>
      </c>
      <c r="F117" s="1">
        <f t="shared" si="38"/>
        <v>4.999999999999968</v>
      </c>
      <c r="G117" s="1">
        <f t="shared" si="38"/>
        <v>2.0000000000000808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1.0269729787766689E-4</v>
      </c>
      <c r="N117">
        <f t="shared" si="42"/>
        <v>0.37098617099293363</v>
      </c>
      <c r="O117">
        <f t="shared" si="43"/>
        <v>0.74197234198589723</v>
      </c>
      <c r="P117">
        <f t="shared" si="44"/>
        <v>-1.8549308549646564</v>
      </c>
    </row>
    <row r="118" spans="1:16" x14ac:dyDescent="0.25">
      <c r="A118">
        <f t="shared" si="35"/>
        <v>9</v>
      </c>
      <c r="B118" s="1">
        <f t="shared" si="36"/>
        <v>-5.0000000000001297</v>
      </c>
      <c r="C118" s="1">
        <f t="shared" si="37"/>
        <v>7.9999999999999192</v>
      </c>
      <c r="D118" t="str">
        <f t="shared" si="35"/>
        <v>y</v>
      </c>
      <c r="E118" s="4">
        <f t="shared" si="32"/>
        <v>-9.9636427638870124</v>
      </c>
      <c r="F118" s="1">
        <f t="shared" si="38"/>
        <v>-5.0000000000001297</v>
      </c>
      <c r="G118" s="1">
        <f t="shared" si="38"/>
        <v>7.9999999999999192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2.5815625923514518E-4</v>
      </c>
      <c r="N118">
        <f t="shared" si="42"/>
        <v>0.93256983494920986</v>
      </c>
      <c r="O118">
        <f t="shared" si="43"/>
        <v>7.4605586795936034</v>
      </c>
      <c r="P118">
        <f t="shared" si="44"/>
        <v>4.66284917474617</v>
      </c>
    </row>
    <row r="119" spans="1:16" x14ac:dyDescent="0.25">
      <c r="A119">
        <f t="shared" si="35"/>
        <v>10</v>
      </c>
      <c r="B119" s="1">
        <f t="shared" si="36"/>
        <v>4.9999999999998703</v>
      </c>
      <c r="C119" s="1">
        <f t="shared" si="37"/>
        <v>8.0000000000000799</v>
      </c>
      <c r="D119" t="str">
        <f t="shared" si="35"/>
        <v>y</v>
      </c>
      <c r="E119" s="4">
        <f t="shared" si="32"/>
        <v>-9.9636427638871741</v>
      </c>
      <c r="F119" s="1">
        <f t="shared" si="38"/>
        <v>4.9999999999998703</v>
      </c>
      <c r="G119" s="1">
        <f t="shared" si="38"/>
        <v>8.0000000000000799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2.5815625923514935E-4</v>
      </c>
      <c r="N119">
        <f t="shared" si="42"/>
        <v>0.93256983494922496</v>
      </c>
      <c r="O119">
        <f t="shared" si="43"/>
        <v>7.4605586795938743</v>
      </c>
      <c r="P119">
        <f t="shared" si="44"/>
        <v>-4.6628491747460039</v>
      </c>
    </row>
    <row r="120" spans="1:16" x14ac:dyDescent="0.25">
      <c r="A120">
        <f t="shared" si="35"/>
        <v>11</v>
      </c>
      <c r="B120" s="1">
        <f t="shared" si="36"/>
        <v>-5.0000000000002265</v>
      </c>
      <c r="C120" s="1">
        <f t="shared" si="37"/>
        <v>13.99999999999992</v>
      </c>
      <c r="D120" t="str">
        <f t="shared" si="35"/>
        <v>y</v>
      </c>
      <c r="E120" s="4">
        <f t="shared" si="32"/>
        <v>-15.963642763887014</v>
      </c>
      <c r="F120" s="1">
        <f t="shared" si="38"/>
        <v>-5.0000000000002265</v>
      </c>
      <c r="G120" s="1">
        <f t="shared" si="38"/>
        <v>13.99999999999992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4.1361522059262765E-4</v>
      </c>
      <c r="N120">
        <f t="shared" si="42"/>
        <v>1.4941534989055014</v>
      </c>
      <c r="O120">
        <f t="shared" si="43"/>
        <v>20.9181489846769</v>
      </c>
      <c r="P120">
        <f t="shared" si="44"/>
        <v>7.4707674945278457</v>
      </c>
    </row>
    <row r="121" spans="1:16" ht="15.75" thickBot="1" x14ac:dyDescent="0.3">
      <c r="A121">
        <f t="shared" si="35"/>
        <v>12</v>
      </c>
      <c r="B121" s="1">
        <f t="shared" si="36"/>
        <v>4.9999999999997735</v>
      </c>
      <c r="C121" s="1">
        <f t="shared" si="37"/>
        <v>14.00000000000008</v>
      </c>
      <c r="D121" t="str">
        <f t="shared" si="35"/>
        <v>y</v>
      </c>
      <c r="E121" s="4">
        <f t="shared" si="32"/>
        <v>-15.963642763887174</v>
      </c>
      <c r="F121" s="1">
        <f t="shared" si="38"/>
        <v>4.9999999999997735</v>
      </c>
      <c r="G121" s="1">
        <f t="shared" si="38"/>
        <v>14.00000000000008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4.1361522059263182E-4</v>
      </c>
      <c r="N121" s="23">
        <f t="shared" si="42"/>
        <v>1.4941534989055163</v>
      </c>
      <c r="O121" s="23">
        <f t="shared" si="43"/>
        <v>20.918148984677348</v>
      </c>
      <c r="P121" s="23">
        <f t="shared" si="44"/>
        <v>-7.4707674945272426</v>
      </c>
    </row>
    <row r="122" spans="1:16" ht="15.75" thickTop="1" x14ac:dyDescent="0.25">
      <c r="D122" s="10" t="s">
        <v>44</v>
      </c>
      <c r="E122" s="4">
        <f>MAX(E110:E121)</f>
        <v>14.036357236112988</v>
      </c>
      <c r="H122">
        <f>SUM(H110:H121)</f>
        <v>-21.946391021831896</v>
      </c>
      <c r="I122">
        <f t="shared" ref="I122:J122" si="46">SUM(I110:I121)</f>
        <v>285.00522067140315</v>
      </c>
      <c r="J122">
        <f t="shared" si="46"/>
        <v>3.5083047578154947E-12</v>
      </c>
      <c r="L122">
        <f ca="1">MIN(L110:L121)</f>
        <v>-3.6367958080054546E-4</v>
      </c>
      <c r="M122">
        <f>MIN(M110:M121)</f>
        <v>-3.6367958619478471E-4</v>
      </c>
      <c r="N122">
        <f>SUM(N110:N121)</f>
        <v>5.5954190096953038</v>
      </c>
      <c r="O122">
        <f>SUM(O110:O121)</f>
        <v>58.241360012513425</v>
      </c>
      <c r="P122">
        <f>SUM(P110:P121)</f>
        <v>7.1675998469800106E-13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-1.9636427638870941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-8.0000000000002913</v>
      </c>
      <c r="G126" s="4">
        <f>B125</f>
        <v>-1.9636427638870941</v>
      </c>
    </row>
    <row r="127" spans="1:16" x14ac:dyDescent="0.25">
      <c r="F127" s="4">
        <f>MAX(B84:B90)+1</f>
        <v>8.0000000000002913</v>
      </c>
      <c r="G127" s="4">
        <f>G126</f>
        <v>-1.9636427638870941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-6.9999999999997087</v>
      </c>
      <c r="C132" s="4">
        <f>C84</f>
        <v>-18.000000000000114</v>
      </c>
      <c r="D132" s="4">
        <f t="shared" ref="D132:E139" si="47">B85</f>
        <v>7.0000000000002913</v>
      </c>
      <c r="E132" s="4">
        <f t="shared" si="47"/>
        <v>-17.999999999999886</v>
      </c>
      <c r="F132" s="4">
        <f t="shared" ref="F132:F139" si="48">($B$66/$B$65)*(C132-$B$125)</f>
        <v>-1.6928605293515879</v>
      </c>
      <c r="G132" s="4">
        <f t="shared" ref="G132:G139" si="49">($B$66/$B$65)*(E132-$B$125)</f>
        <v>-1.6928605293515639</v>
      </c>
      <c r="H132" s="4">
        <f>IF(B132=D132,"V",(C132-E132)/(B132-D132))</f>
        <v>1.6240976817373718E-14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7.0000000000002913</v>
      </c>
      <c r="C133" s="4">
        <f t="shared" si="50"/>
        <v>-17.999999999999886</v>
      </c>
      <c r="D133" s="4">
        <f t="shared" si="47"/>
        <v>6.9999999999997087</v>
      </c>
      <c r="E133" s="4">
        <f t="shared" si="47"/>
        <v>18.000000000000114</v>
      </c>
      <c r="F133" s="4">
        <f t="shared" si="48"/>
        <v>-1.6928605293515639</v>
      </c>
      <c r="G133" s="4">
        <f t="shared" si="49"/>
        <v>2.1074401349050813</v>
      </c>
      <c r="H133" s="4">
        <f t="shared" ref="H133:H139" si="51">IF(B133=D133,"V",(C133-E133)/(B133-D133))</f>
        <v>-61787190009656.195</v>
      </c>
      <c r="I133" s="4">
        <f t="shared" ref="I133:I139" si="52">IF(H133="V",0,(-1*B133*H133)+C133)</f>
        <v>432510330067593.38</v>
      </c>
      <c r="J133" s="4">
        <f t="shared" ref="J133:J139" si="53">IF($F133&gt;=0,B133,IF(AND($F133&lt;0,$G133&gt;=0),IF(H133="V",B133,($B$125-I133)/H133),0))</f>
        <v>7.0000000000000311</v>
      </c>
      <c r="K133" s="4">
        <f t="shared" ref="K133:K139" si="54">IF($F133&gt;=0,C133,IF(AND($F133&lt;0,$G133&gt;=0),$B$125,0))</f>
        <v>-1.9636427638870941</v>
      </c>
      <c r="L133" s="4">
        <f t="shared" ref="L133:L139" si="55">IF($G133&gt;=0,D133,IF(AND($G133&lt;0,$F133&gt;=0),IF(H133="V",D133,($B$125-I133)/H133),0))</f>
        <v>6.9999999999997087</v>
      </c>
      <c r="M133" s="4">
        <f t="shared" ref="M133:M139" si="56">IF($G133&gt;=0,E133,IF(AND($G133&lt;0,$F133&gt;=0),$B$125,0))</f>
        <v>18.000000000000114</v>
      </c>
      <c r="N133" s="4">
        <f t="shared" ref="N133:O139" si="57">IF(F133&lt;0,IF($I$54="Linear",0,$B$66),IF($I$54="Linear",F133,$B$66))</f>
        <v>0</v>
      </c>
      <c r="O133" s="4">
        <f t="shared" si="57"/>
        <v>2.1074401349050813</v>
      </c>
      <c r="P133" s="4">
        <f t="shared" ref="P133:P139" si="58">(1/6)*(M133-K133)*((N133*((2*J133)+L133))+(O133*(J133+(2*L133))))</f>
        <v>147.25263699832769</v>
      </c>
      <c r="Q133" s="4">
        <f t="shared" ref="Q133:Q139" si="59">((1/12)*(M133-K133)*(N133*J133*((3*K133)+M133)+N133*L133*(K133+M133)+O133*J133*(K133+M133)+O133*L133*(K133+(3*M133))))</f>
        <v>1670.6477856115828</v>
      </c>
      <c r="R133" s="4">
        <f t="shared" ref="R133:R139" si="60">((-1/24)*(M133-K133)*(J133*J133*((3*N133)+O133)+2*J133*L133*(N133+O133)+L133*L133*(N133+(3*O133))))</f>
        <v>-515.38422949413348</v>
      </c>
    </row>
    <row r="134" spans="1:18" x14ac:dyDescent="0.25">
      <c r="A134" t="s">
        <v>71</v>
      </c>
      <c r="B134" s="4">
        <f t="shared" si="50"/>
        <v>6.9999999999997087</v>
      </c>
      <c r="C134" s="4">
        <f t="shared" si="50"/>
        <v>18.000000000000114</v>
      </c>
      <c r="D134" s="4">
        <f t="shared" si="47"/>
        <v>-7.0000000000002913</v>
      </c>
      <c r="E134" s="4">
        <f t="shared" si="47"/>
        <v>17.999999999999886</v>
      </c>
      <c r="F134" s="4">
        <f t="shared" si="48"/>
        <v>2.1074401349050813</v>
      </c>
      <c r="G134" s="4">
        <f t="shared" si="49"/>
        <v>2.1074401349050573</v>
      </c>
      <c r="H134" s="4">
        <f t="shared" si="51"/>
        <v>1.6240976817373718E-14</v>
      </c>
      <c r="I134" s="4">
        <f t="shared" si="52"/>
        <v>18</v>
      </c>
      <c r="J134" s="4">
        <f t="shared" si="53"/>
        <v>6.9999999999997087</v>
      </c>
      <c r="K134" s="4">
        <f t="shared" si="54"/>
        <v>18.000000000000114</v>
      </c>
      <c r="L134" s="4">
        <f t="shared" si="55"/>
        <v>-7.0000000000002913</v>
      </c>
      <c r="M134" s="4">
        <f t="shared" si="56"/>
        <v>17.999999999999886</v>
      </c>
      <c r="N134" s="4">
        <f t="shared" si="57"/>
        <v>2.1074401349050813</v>
      </c>
      <c r="O134" s="4">
        <f t="shared" si="57"/>
        <v>2.1074401349050573</v>
      </c>
      <c r="P134" s="4">
        <f t="shared" si="58"/>
        <v>1.3321862241556329E-25</v>
      </c>
      <c r="Q134" s="4">
        <f t="shared" si="59"/>
        <v>2.2747466845208261E-24</v>
      </c>
      <c r="R134" s="4">
        <f t="shared" si="60"/>
        <v>3.9132740088745621E-12</v>
      </c>
    </row>
    <row r="135" spans="1:18" x14ac:dyDescent="0.25">
      <c r="A135" t="s">
        <v>72</v>
      </c>
      <c r="B135" s="4">
        <f t="shared" si="50"/>
        <v>-7.0000000000002913</v>
      </c>
      <c r="C135" s="4">
        <f t="shared" si="50"/>
        <v>17.999999999999886</v>
      </c>
      <c r="D135" s="4">
        <f t="shared" si="47"/>
        <v>-6.9999999999997087</v>
      </c>
      <c r="E135" s="4">
        <f t="shared" si="47"/>
        <v>-18.000000000000114</v>
      </c>
      <c r="F135" s="4">
        <f t="shared" si="48"/>
        <v>2.1074401349050573</v>
      </c>
      <c r="G135" s="4">
        <f t="shared" si="49"/>
        <v>-1.6928605293515879</v>
      </c>
      <c r="H135" s="4">
        <f t="shared" si="51"/>
        <v>-61787190009656.195</v>
      </c>
      <c r="I135" s="4">
        <f t="shared" si="52"/>
        <v>-432510330067593.38</v>
      </c>
      <c r="J135" s="4">
        <f t="shared" si="53"/>
        <v>-7.0000000000002913</v>
      </c>
      <c r="K135" s="4">
        <f t="shared" si="54"/>
        <v>17.999999999999886</v>
      </c>
      <c r="L135" s="4">
        <f t="shared" si="55"/>
        <v>-6.9999999999999689</v>
      </c>
      <c r="M135" s="4">
        <f t="shared" si="56"/>
        <v>-1.9636427638870941</v>
      </c>
      <c r="N135" s="4">
        <f t="shared" si="57"/>
        <v>2.1074401349050573</v>
      </c>
      <c r="O135" s="4">
        <f t="shared" si="57"/>
        <v>0</v>
      </c>
      <c r="P135" s="4">
        <f t="shared" si="58"/>
        <v>147.25263699833209</v>
      </c>
      <c r="Q135" s="4">
        <f t="shared" si="59"/>
        <v>1670.6477856116255</v>
      </c>
      <c r="R135" s="4">
        <f t="shared" si="60"/>
        <v>515.38422949417588</v>
      </c>
    </row>
    <row r="136" spans="1:18" x14ac:dyDescent="0.25">
      <c r="A136" t="s">
        <v>73</v>
      </c>
      <c r="B136" s="4">
        <f t="shared" si="50"/>
        <v>-6.9999999999997087</v>
      </c>
      <c r="C136" s="4">
        <f t="shared" si="50"/>
        <v>-18.000000000000114</v>
      </c>
      <c r="D136" s="4">
        <f t="shared" si="47"/>
        <v>-6.9999999999997087</v>
      </c>
      <c r="E136" s="4">
        <f t="shared" si="47"/>
        <v>-18.000000000000114</v>
      </c>
      <c r="F136" s="4">
        <f t="shared" si="48"/>
        <v>-1.6928605293515879</v>
      </c>
      <c r="G136" s="4">
        <f t="shared" si="49"/>
        <v>-1.6928605293515879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-6.9999999999997087</v>
      </c>
      <c r="C137" s="4">
        <f t="shared" si="50"/>
        <v>-18.000000000000114</v>
      </c>
      <c r="D137" s="4">
        <f t="shared" si="47"/>
        <v>-6.9999999999997087</v>
      </c>
      <c r="E137" s="4">
        <f t="shared" si="47"/>
        <v>-18.000000000000114</v>
      </c>
      <c r="F137" s="4">
        <f t="shared" si="48"/>
        <v>-1.6928605293515879</v>
      </c>
      <c r="G137" s="4">
        <f t="shared" si="49"/>
        <v>-1.6928605293515879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-6.9999999999997087</v>
      </c>
      <c r="C138" s="4">
        <f t="shared" si="50"/>
        <v>-18.000000000000114</v>
      </c>
      <c r="D138" s="4">
        <f t="shared" si="47"/>
        <v>-6.9999999999997087</v>
      </c>
      <c r="E138" s="4">
        <f t="shared" si="47"/>
        <v>-18.000000000000114</v>
      </c>
      <c r="F138" s="4">
        <f t="shared" si="48"/>
        <v>-1.6928605293515879</v>
      </c>
      <c r="G138" s="4">
        <f t="shared" si="49"/>
        <v>-1.6928605293515879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-6.9999999999997087</v>
      </c>
      <c r="C139" s="4">
        <f>E138</f>
        <v>-18.000000000000114</v>
      </c>
      <c r="D139" s="4">
        <f t="shared" si="47"/>
        <v>-6.9999999999997087</v>
      </c>
      <c r="E139" s="4">
        <f t="shared" si="47"/>
        <v>-18.000000000000114</v>
      </c>
      <c r="F139" s="4">
        <f t="shared" si="48"/>
        <v>-1.6928605293515879</v>
      </c>
      <c r="G139" s="4">
        <f t="shared" si="49"/>
        <v>-1.6928605293515879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294.50527399665975</v>
      </c>
      <c r="Q140" s="4">
        <f>SUM(Q132:Q139)</f>
        <v>3341.2955712232083</v>
      </c>
      <c r="R140" s="4">
        <f>SUM(R132:R139)</f>
        <v>4.6270542952697724E-11</v>
      </c>
    </row>
    <row r="142" spans="1:18" x14ac:dyDescent="0.25">
      <c r="O142" t="s">
        <v>96</v>
      </c>
      <c r="P142" s="1">
        <f>-1*R140/P140</f>
        <v>-1.5711278214060954E-13</v>
      </c>
    </row>
    <row r="143" spans="1:18" x14ac:dyDescent="0.25">
      <c r="O143" t="s">
        <v>97</v>
      </c>
      <c r="P143" s="1">
        <f>Q140/P140</f>
        <v>11.345452412037636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-1.9999999999998708</v>
      </c>
      <c r="C146" s="9">
        <f>J84</f>
        <v>-8.000000000000032</v>
      </c>
      <c r="D146" s="9">
        <f t="shared" ref="D146:E153" si="61">I85</f>
        <v>-2.0000000000001132</v>
      </c>
      <c r="E146">
        <f t="shared" si="61"/>
        <v>6.999999999999968</v>
      </c>
      <c r="F146" s="4">
        <f>($B$66/$B$65)*(C146-$B$125)</f>
        <v>-0.63722145594695567</v>
      </c>
      <c r="G146" s="4">
        <f>($B$66/$B$65)*(E146-$B$125)</f>
        <v>0.94623715415997978</v>
      </c>
      <c r="H146" s="4">
        <f>IF(B146=D146,"V",(C146-E146)/(B146-D146))</f>
        <v>-61862632244100.219</v>
      </c>
      <c r="I146" s="4">
        <f>IF(H146="V",0,(-1*B146*H146)+C146)</f>
        <v>-123725264488200.44</v>
      </c>
      <c r="J146" s="4">
        <f>IF($F146&gt;=0,B146,IF(AND($F146&lt;0,$G146&gt;=0),IF(H146="V",B146,($B$125-I146)/H146),0))</f>
        <v>-1.9999999999999682</v>
      </c>
      <c r="K146" s="4">
        <f>IF($F146&gt;=0,C146,IF(AND($F146&lt;0,$G146&gt;=0),$B$125,0))</f>
        <v>-1.9636427638870941</v>
      </c>
      <c r="L146" s="4">
        <f>IF($G146&gt;=0,D146,IF(AND($G146&lt;0,$F146&gt;=0),IF(H146="V",D146,($B$125-I146)/H146),0))</f>
        <v>-2.0000000000001132</v>
      </c>
      <c r="M146" s="4">
        <f>IF($G146&gt;=0,E146,IF(AND($G146&lt;0,$F146&gt;=0),$B$125,0))</f>
        <v>6.999999999999968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0.94623715415997978</v>
      </c>
      <c r="P146" s="4">
        <f>(1/6)*(M146-K146)*((N146*((2*J146)+L146))+(O146*(J146+(2*L146))))</f>
        <v>-8.4817318198074627</v>
      </c>
      <c r="Q146" s="4">
        <f>((1/12)*(M146-K146)*(N146*J146*((3*K146)+M146)+N146*L146*(K146+M146)+O146*J146*(K146+M146)+O146*L146*(K146+(3*M146))))</f>
        <v>-34.029718054703011</v>
      </c>
      <c r="R146" s="4">
        <f>((-1/24)*(M146-K146)*(J146*J146*((3*N146)+O146)+2*J146*L146*(N146+O146)+L146*L146*(N146+(3*O146))))</f>
        <v>-8.4817318198077398</v>
      </c>
    </row>
    <row r="147" spans="1:18" x14ac:dyDescent="0.25">
      <c r="A147" t="s">
        <v>70</v>
      </c>
      <c r="B147" s="9">
        <f t="shared" ref="B147:C153" si="62">D146</f>
        <v>-2.0000000000001132</v>
      </c>
      <c r="C147">
        <f t="shared" si="62"/>
        <v>6.999999999999968</v>
      </c>
      <c r="D147" s="9">
        <f t="shared" si="61"/>
        <v>1.999999999999887</v>
      </c>
      <c r="E147">
        <f t="shared" si="61"/>
        <v>7.000000000000032</v>
      </c>
      <c r="F147" s="4">
        <f t="shared" ref="F147:F153" si="63">($B$66/$B$65)*(C147-$B$125)</f>
        <v>0.94623715415997978</v>
      </c>
      <c r="G147" s="4">
        <f t="shared" ref="G147:G153" si="64">($B$66/$B$65)*(E147-$B$125)</f>
        <v>0.94623715415998655</v>
      </c>
      <c r="H147" s="4">
        <f t="shared" ref="H147:H153" si="65">IF(B147=D147,"V",(C147-E147)/(B147-D147))</f>
        <v>1.5987211554602254E-14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-2.0000000000001132</v>
      </c>
      <c r="K147" s="4">
        <f t="shared" ref="K147:K153" si="68">IF($F147&gt;=0,C147,IF(AND($F147&lt;0,$G147&gt;=0),$B$125,0))</f>
        <v>6.999999999999968</v>
      </c>
      <c r="L147" s="4">
        <f t="shared" ref="L147:L153" si="69">IF($G147&gt;=0,D147,IF(AND($G147&lt;0,$F147&gt;=0),IF(H147="V",D147,($B$125-I147)/H147),0))</f>
        <v>1.999999999999887</v>
      </c>
      <c r="M147" s="4">
        <f t="shared" ref="M147:M153" si="70">IF($G147&gt;=0,E147,IF(AND($G147&lt;0,$F147&gt;=0),$B$125,0))</f>
        <v>7.000000000000032</v>
      </c>
      <c r="N147" s="4">
        <f t="shared" ref="N147:O153" si="71">IF(F147&lt;0,IF($I$54="Linear",0,$B$66),IF($I$54="Linear",F147,$B$66))</f>
        <v>0.94623715415997978</v>
      </c>
      <c r="O147" s="4">
        <f t="shared" si="71"/>
        <v>0.94623715415998655</v>
      </c>
      <c r="P147" s="4">
        <f t="shared" ref="P147:P153" si="72">(1/6)*(M147-K147)*((N147*((2*J147)+L147))+(O147*(J147+(2*L147))))</f>
        <v>-6.6997956680420533E-27</v>
      </c>
      <c r="Q147" s="4">
        <f t="shared" ref="Q147:Q153" si="73">((1/12)*(M147-K147)*(N147*J147*((3*K147)+M147)+N147*L147*(K147+M147)+O147*J147*(K147+M147)+O147*L147*(K147+(3*M147))))</f>
        <v>-4.5665580081433931E-26</v>
      </c>
      <c r="R147" s="4">
        <f t="shared" ref="R147:R153" si="74">((-1/24)*(M147-K147)*(J147*J147*((3*N147)+O147)+2*J147*L147*(N147+O147)+L147*L147*(N147+(3*O147))))</f>
        <v>-4.0340516171681172E-14</v>
      </c>
    </row>
    <row r="148" spans="1:18" x14ac:dyDescent="0.25">
      <c r="A148" t="s">
        <v>71</v>
      </c>
      <c r="B148" s="9">
        <f t="shared" si="62"/>
        <v>1.999999999999887</v>
      </c>
      <c r="C148">
        <f t="shared" si="62"/>
        <v>7.000000000000032</v>
      </c>
      <c r="D148" s="9">
        <f t="shared" si="61"/>
        <v>2.0000000000001292</v>
      </c>
      <c r="E148">
        <f t="shared" si="61"/>
        <v>-7.999999999999968</v>
      </c>
      <c r="F148" s="4">
        <f t="shared" si="63"/>
        <v>0.94623715415998655</v>
      </c>
      <c r="G148" s="4">
        <f t="shared" si="64"/>
        <v>-0.6372214559469489</v>
      </c>
      <c r="H148" s="4">
        <f t="shared" si="65"/>
        <v>-61919334931766.672</v>
      </c>
      <c r="I148" s="4">
        <f t="shared" si="66"/>
        <v>123838669863533.34</v>
      </c>
      <c r="J148" s="4">
        <f t="shared" si="67"/>
        <v>1.999999999999887</v>
      </c>
      <c r="K148" s="4">
        <f t="shared" si="68"/>
        <v>7.000000000000032</v>
      </c>
      <c r="L148" s="4">
        <f t="shared" si="69"/>
        <v>2.000000000000032</v>
      </c>
      <c r="M148" s="4">
        <f t="shared" si="70"/>
        <v>-1.9636427638870941</v>
      </c>
      <c r="N148" s="4">
        <f t="shared" si="71"/>
        <v>0.94623715415998655</v>
      </c>
      <c r="O148" s="4">
        <f t="shared" si="71"/>
        <v>0</v>
      </c>
      <c r="P148" s="4">
        <f t="shared" si="72"/>
        <v>-8.4817318198070364</v>
      </c>
      <c r="Q148" s="4">
        <f t="shared" si="73"/>
        <v>-34.029718054701036</v>
      </c>
      <c r="R148" s="4">
        <f t="shared" si="74"/>
        <v>8.4817318198067628</v>
      </c>
    </row>
    <row r="149" spans="1:18" x14ac:dyDescent="0.25">
      <c r="A149" t="s">
        <v>72</v>
      </c>
      <c r="B149" s="9">
        <f t="shared" si="62"/>
        <v>2.0000000000001292</v>
      </c>
      <c r="C149">
        <f t="shared" si="62"/>
        <v>-7.999999999999968</v>
      </c>
      <c r="D149" s="9">
        <f t="shared" si="61"/>
        <v>-1.9999999999998708</v>
      </c>
      <c r="E149">
        <f t="shared" si="61"/>
        <v>-8.000000000000032</v>
      </c>
      <c r="F149" s="4">
        <f t="shared" si="63"/>
        <v>-0.6372214559469489</v>
      </c>
      <c r="G149" s="4">
        <f t="shared" si="64"/>
        <v>-0.63722145594695567</v>
      </c>
      <c r="H149" s="4">
        <f t="shared" si="65"/>
        <v>1.5987211554602254E-14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-1.9999999999998708</v>
      </c>
      <c r="C150">
        <f t="shared" si="62"/>
        <v>-8.000000000000032</v>
      </c>
      <c r="D150" s="9">
        <f t="shared" si="61"/>
        <v>-1.9999999999998708</v>
      </c>
      <c r="E150">
        <f t="shared" si="61"/>
        <v>-8.000000000000032</v>
      </c>
      <c r="F150" s="4">
        <f t="shared" si="63"/>
        <v>-0.63722145594695567</v>
      </c>
      <c r="G150" s="4">
        <f t="shared" si="64"/>
        <v>-0.63722145594695567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-1.9999999999998708</v>
      </c>
      <c r="C151">
        <f t="shared" si="62"/>
        <v>-8.000000000000032</v>
      </c>
      <c r="D151" s="9">
        <f t="shared" si="61"/>
        <v>-1.9999999999998708</v>
      </c>
      <c r="E151">
        <f t="shared" si="61"/>
        <v>-8.000000000000032</v>
      </c>
      <c r="F151" s="4">
        <f t="shared" si="63"/>
        <v>-0.63722145594695567</v>
      </c>
      <c r="G151" s="4">
        <f t="shared" si="64"/>
        <v>-0.63722145594695567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-1.9999999999998708</v>
      </c>
      <c r="C152">
        <f t="shared" si="62"/>
        <v>-8.000000000000032</v>
      </c>
      <c r="D152" s="9">
        <f t="shared" si="61"/>
        <v>-1.9999999999998708</v>
      </c>
      <c r="E152">
        <f t="shared" si="61"/>
        <v>-8.000000000000032</v>
      </c>
      <c r="F152" s="4">
        <f t="shared" si="63"/>
        <v>-0.63722145594695567</v>
      </c>
      <c r="G152" s="4">
        <f t="shared" si="64"/>
        <v>-0.63722145594695567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-1.9999999999998708</v>
      </c>
      <c r="C153">
        <f t="shared" si="62"/>
        <v>-8.000000000000032</v>
      </c>
      <c r="D153" s="9">
        <f t="shared" si="61"/>
        <v>-1.9999999999998708</v>
      </c>
      <c r="E153">
        <f t="shared" si="61"/>
        <v>-8.000000000000032</v>
      </c>
      <c r="F153" s="4">
        <f t="shared" si="63"/>
        <v>-0.63722145594695567</v>
      </c>
      <c r="G153" s="4">
        <f t="shared" si="64"/>
        <v>-0.63722145594695567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-16.963463639614499</v>
      </c>
      <c r="Q154" s="4">
        <f t="shared" ref="Q154:R154" si="75">SUM(Q146:Q153)</f>
        <v>-68.059436109404047</v>
      </c>
      <c r="R154" s="4">
        <f t="shared" si="75"/>
        <v>-1.0178524689763435E-12</v>
      </c>
    </row>
    <row r="156" spans="1:18" x14ac:dyDescent="0.25">
      <c r="O156" t="s">
        <v>96</v>
      </c>
      <c r="P156" s="1">
        <f>-1*R154/P154</f>
        <v>-6.0002632162889733E-14</v>
      </c>
    </row>
    <row r="157" spans="1:18" x14ac:dyDescent="0.25">
      <c r="O157" t="s">
        <v>97</v>
      </c>
      <c r="P157" s="1">
        <f>Q154/P154</f>
        <v>4.012119078704302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250.00000032551804</v>
      </c>
      <c r="C159" t="s">
        <v>36</v>
      </c>
    </row>
    <row r="160" spans="1:18" x14ac:dyDescent="0.25">
      <c r="A160" s="1" t="s">
        <v>106</v>
      </c>
      <c r="B160" s="4">
        <f>Q140+I122+Q154-O122</f>
        <v>3499.9999957726941</v>
      </c>
      <c r="C160" t="s">
        <v>102</v>
      </c>
    </row>
    <row r="161" spans="1:9" x14ac:dyDescent="0.25">
      <c r="A161" s="1" t="s">
        <v>107</v>
      </c>
      <c r="B161" s="4">
        <f>R140+J122+R154-P122</f>
        <v>4.8044235256838874E-11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250.00000032551804</v>
      </c>
      <c r="C164" t="s">
        <v>36</v>
      </c>
      <c r="E164" s="8">
        <f>B2-B164</f>
        <v>-3.255180445194128E-7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3499.9999957726941</v>
      </c>
      <c r="C165" t="s">
        <v>102</v>
      </c>
      <c r="E165" s="8">
        <f>B3+B165</f>
        <v>-4.2273059079889208E-6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-8.5178730349550048E-12</v>
      </c>
      <c r="C166" t="s">
        <v>102</v>
      </c>
      <c r="E166" s="8">
        <f>B4+B166</f>
        <v>-8.5178730349550048E-12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2.1074401349050813</v>
      </c>
      <c r="B169" s="1">
        <f ca="1">IF(E122=0,0,(MIN(H110:H121)*B65)/(B55*B56*E122))</f>
        <v>-2.107440103646697</v>
      </c>
      <c r="C169" s="3">
        <f ca="1">A169+B169</f>
        <v>3.1258384325383304E-8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-2.397004699698208E-22</v>
      </c>
      <c r="C175" s="27">
        <f>B65*SQRT(I175)</f>
        <v>2.9610867452491715E-7</v>
      </c>
      <c r="D175" s="27">
        <f>B66*SQRT(I175)</f>
        <v>3.1258388680255488E-8</v>
      </c>
      <c r="E175" s="27">
        <f>B67*SQRT(I175)</f>
        <v>9.4758544583142898E-8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-1.6160602628303237E-14</v>
      </c>
      <c r="C176" s="3">
        <f>B65+C175</f>
        <v>19.963643059995881</v>
      </c>
      <c r="D176" s="3">
        <f>D175+B66</f>
        <v>2.1074401661634701</v>
      </c>
      <c r="E176" s="3">
        <f>B67+E175</f>
        <v>6.3886198672757386</v>
      </c>
      <c r="F176" s="16" t="s">
        <v>125</v>
      </c>
    </row>
    <row r="177" spans="1:13" x14ac:dyDescent="0.25">
      <c r="B177" s="27">
        <f>B176-B64</f>
        <v>-2.3970046947107768E-22</v>
      </c>
      <c r="C177" s="27">
        <f>C176-B65</f>
        <v>2.9610867358087489E-7</v>
      </c>
      <c r="D177" s="27">
        <f>D176-B66</f>
        <v>3.1258388766275402E-8</v>
      </c>
      <c r="E177" s="27">
        <f>E176-B67</f>
        <v>9.475854501062031E-8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-129.0410987816411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3.255180445194128E-7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4.2273059079889208E-6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8.5178730349550048E-12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-3.1258384325383304E-8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-129.0410987816411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-129.0410987816411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2020-11-06T22:56:58Z</dcterms:modified>
</cp:coreProperties>
</file>