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BD7A7F16-F0B0-494C-9A7B-44B310823998}" xr6:coauthVersionLast="45" xr6:coauthVersionMax="45" xr10:uidLastSave="{00000000-0000-0000-0000-000000000000}"/>
  <bookViews>
    <workbookView xWindow="-120" yWindow="-120" windowWidth="27930" windowHeight="1824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9" i="13" l="1"/>
  <c r="I20" i="13" s="1"/>
  <c r="J18" i="13"/>
  <c r="J19" i="13" s="1"/>
  <c r="K23" i="13"/>
  <c r="M23" i="13"/>
  <c r="M22" i="13"/>
  <c r="B38" i="1"/>
  <c r="K24" i="13" l="1"/>
  <c r="L24" i="13"/>
  <c r="L23" i="13"/>
  <c r="K22" i="13"/>
  <c r="M24" i="13"/>
  <c r="L22" i="13"/>
  <c r="N54" i="6"/>
  <c r="N55" i="6"/>
  <c r="N56" i="6"/>
  <c r="N57" i="6"/>
  <c r="N58" i="6"/>
  <c r="N59" i="6"/>
  <c r="N60" i="6"/>
  <c r="L54" i="6"/>
  <c r="M54" i="6"/>
  <c r="L55" i="6"/>
  <c r="M55" i="6"/>
  <c r="L56" i="6"/>
  <c r="M56" i="6"/>
  <c r="L58" i="6"/>
  <c r="M58" i="6"/>
  <c r="L59" i="6"/>
  <c r="L60" i="6"/>
  <c r="G54" i="6"/>
  <c r="H54" i="6"/>
  <c r="I54" i="6"/>
  <c r="J54" i="6"/>
  <c r="K54" i="6"/>
  <c r="G55" i="6"/>
  <c r="H55" i="6"/>
  <c r="J55" i="6"/>
  <c r="K55" i="6"/>
  <c r="G56" i="6"/>
  <c r="H56" i="6"/>
  <c r="J56" i="6"/>
  <c r="K56" i="6"/>
  <c r="G57" i="6"/>
  <c r="H57" i="6"/>
  <c r="J57" i="6"/>
  <c r="K57" i="6"/>
  <c r="G58" i="6"/>
  <c r="H58" i="6"/>
  <c r="I58" i="6"/>
  <c r="J58" i="6"/>
  <c r="K58" i="6"/>
  <c r="G59" i="6"/>
  <c r="H59" i="6"/>
  <c r="I59" i="6"/>
  <c r="J59" i="6"/>
  <c r="K59" i="6"/>
  <c r="G60" i="6"/>
  <c r="H60" i="6"/>
  <c r="I60" i="6"/>
  <c r="J60" i="6"/>
  <c r="K60" i="6"/>
  <c r="F55" i="6"/>
  <c r="F56" i="6"/>
  <c r="F57" i="6"/>
  <c r="F58" i="6"/>
  <c r="F59" i="6"/>
  <c r="F60" i="6"/>
  <c r="F54" i="6"/>
  <c r="G54" i="3"/>
  <c r="H54" i="3"/>
  <c r="I54" i="3"/>
  <c r="J54" i="3"/>
  <c r="K54" i="3"/>
  <c r="L54" i="3"/>
  <c r="M54" i="3"/>
  <c r="N54" i="3"/>
  <c r="O54" i="3"/>
  <c r="G55" i="3"/>
  <c r="H55" i="3"/>
  <c r="J55" i="3"/>
  <c r="K55" i="3"/>
  <c r="L55" i="3"/>
  <c r="M55" i="3"/>
  <c r="N55" i="3"/>
  <c r="O55" i="3"/>
  <c r="G56" i="3"/>
  <c r="H56" i="3"/>
  <c r="J56" i="3"/>
  <c r="K56" i="3"/>
  <c r="L56" i="3"/>
  <c r="M56" i="3"/>
  <c r="N56" i="3"/>
  <c r="O56" i="3"/>
  <c r="G57" i="3"/>
  <c r="H57" i="3"/>
  <c r="J57" i="3"/>
  <c r="K57" i="3"/>
  <c r="N57" i="3"/>
  <c r="O57" i="3"/>
  <c r="G58" i="3"/>
  <c r="H58" i="3"/>
  <c r="I58" i="3"/>
  <c r="J58" i="3"/>
  <c r="K58" i="3"/>
  <c r="L58" i="3"/>
  <c r="M58" i="3"/>
  <c r="N58" i="3"/>
  <c r="O58" i="3"/>
  <c r="G59" i="3"/>
  <c r="H59" i="3"/>
  <c r="I59" i="3"/>
  <c r="J59" i="3"/>
  <c r="K59" i="3"/>
  <c r="L59" i="3"/>
  <c r="N59" i="3"/>
  <c r="O59" i="3"/>
  <c r="G60" i="3"/>
  <c r="H60" i="3"/>
  <c r="I60" i="3"/>
  <c r="J60" i="3"/>
  <c r="K60" i="3"/>
  <c r="L60" i="3"/>
  <c r="N60" i="3"/>
  <c r="O60" i="3"/>
  <c r="F55" i="3"/>
  <c r="F56" i="3"/>
  <c r="F57" i="3"/>
  <c r="F58" i="3"/>
  <c r="F59" i="3"/>
  <c r="F60" i="3"/>
  <c r="F54" i="3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G54" i="7"/>
  <c r="H54" i="7"/>
  <c r="I54" i="7"/>
  <c r="J54" i="7"/>
  <c r="K54" i="7"/>
  <c r="L54" i="7"/>
  <c r="M54" i="7"/>
  <c r="G55" i="7"/>
  <c r="H55" i="7"/>
  <c r="J55" i="7"/>
  <c r="K55" i="7"/>
  <c r="L55" i="7"/>
  <c r="M55" i="7"/>
  <c r="G56" i="7"/>
  <c r="H56" i="7"/>
  <c r="J56" i="7"/>
  <c r="K56" i="7"/>
  <c r="L56" i="7"/>
  <c r="M56" i="7"/>
  <c r="G57" i="7"/>
  <c r="H57" i="7"/>
  <c r="J57" i="7"/>
  <c r="K57" i="7"/>
  <c r="G58" i="7"/>
  <c r="H58" i="7"/>
  <c r="I58" i="7"/>
  <c r="J58" i="7"/>
  <c r="K58" i="7"/>
  <c r="L58" i="7"/>
  <c r="M58" i="7"/>
  <c r="G59" i="7"/>
  <c r="H59" i="7"/>
  <c r="I59" i="7"/>
  <c r="J59" i="7"/>
  <c r="K59" i="7"/>
  <c r="L59" i="7"/>
  <c r="G60" i="7"/>
  <c r="H60" i="7"/>
  <c r="I60" i="7"/>
  <c r="J60" i="7"/>
  <c r="K60" i="7"/>
  <c r="L60" i="7"/>
  <c r="F55" i="7"/>
  <c r="F56" i="7"/>
  <c r="F57" i="7"/>
  <c r="F58" i="7"/>
  <c r="F59" i="7"/>
  <c r="F60" i="7"/>
  <c r="F54" i="7"/>
  <c r="G54" i="4"/>
  <c r="H54" i="4"/>
  <c r="I54" i="4"/>
  <c r="J54" i="4"/>
  <c r="K54" i="4"/>
  <c r="L54" i="4"/>
  <c r="M54" i="4"/>
  <c r="G55" i="4"/>
  <c r="H55" i="4"/>
  <c r="J55" i="4"/>
  <c r="K55" i="4"/>
  <c r="L55" i="4"/>
  <c r="M55" i="4"/>
  <c r="G56" i="4"/>
  <c r="H56" i="4"/>
  <c r="J56" i="4"/>
  <c r="K56" i="4"/>
  <c r="L56" i="4"/>
  <c r="M56" i="4"/>
  <c r="G57" i="4"/>
  <c r="H57" i="4"/>
  <c r="J57" i="4"/>
  <c r="K57" i="4"/>
  <c r="G58" i="4"/>
  <c r="H58" i="4"/>
  <c r="I58" i="4"/>
  <c r="J58" i="4"/>
  <c r="K58" i="4"/>
  <c r="L58" i="4"/>
  <c r="M58" i="4"/>
  <c r="G59" i="4"/>
  <c r="H59" i="4"/>
  <c r="I59" i="4"/>
  <c r="J59" i="4"/>
  <c r="K59" i="4"/>
  <c r="L59" i="4"/>
  <c r="G60" i="4"/>
  <c r="H60" i="4"/>
  <c r="I60" i="4"/>
  <c r="J60" i="4"/>
  <c r="K60" i="4"/>
  <c r="L60" i="4"/>
  <c r="F55" i="4"/>
  <c r="F56" i="4"/>
  <c r="F57" i="4"/>
  <c r="F58" i="4"/>
  <c r="F59" i="4"/>
  <c r="F60" i="4"/>
  <c r="F54" i="4"/>
  <c r="G54" i="8"/>
  <c r="H54" i="8"/>
  <c r="I54" i="8"/>
  <c r="J54" i="8"/>
  <c r="K54" i="8"/>
  <c r="L54" i="8"/>
  <c r="M54" i="8"/>
  <c r="N54" i="8"/>
  <c r="G55" i="8"/>
  <c r="H55" i="8"/>
  <c r="J55" i="8"/>
  <c r="K55" i="8"/>
  <c r="L55" i="8"/>
  <c r="M55" i="8"/>
  <c r="N55" i="8"/>
  <c r="G56" i="8"/>
  <c r="H56" i="8"/>
  <c r="J56" i="8"/>
  <c r="K56" i="8"/>
  <c r="L56" i="8"/>
  <c r="M56" i="8"/>
  <c r="N56" i="8"/>
  <c r="G57" i="8"/>
  <c r="H57" i="8"/>
  <c r="J57" i="8"/>
  <c r="K57" i="8"/>
  <c r="N57" i="8"/>
  <c r="G58" i="8"/>
  <c r="H58" i="8"/>
  <c r="I58" i="8"/>
  <c r="J58" i="8"/>
  <c r="K58" i="8"/>
  <c r="L58" i="8"/>
  <c r="M58" i="8"/>
  <c r="N58" i="8"/>
  <c r="G59" i="8"/>
  <c r="H59" i="8"/>
  <c r="I59" i="8"/>
  <c r="J59" i="8"/>
  <c r="K59" i="8"/>
  <c r="L59" i="8"/>
  <c r="N59" i="8"/>
  <c r="G60" i="8"/>
  <c r="H60" i="8"/>
  <c r="I60" i="8"/>
  <c r="J60" i="8"/>
  <c r="K60" i="8"/>
  <c r="L60" i="8"/>
  <c r="N60" i="8"/>
  <c r="F55" i="8"/>
  <c r="F56" i="8"/>
  <c r="F57" i="8"/>
  <c r="F58" i="8"/>
  <c r="F59" i="8"/>
  <c r="F60" i="8"/>
  <c r="F54" i="8"/>
  <c r="G54" i="5"/>
  <c r="H54" i="5"/>
  <c r="I54" i="5"/>
  <c r="J54" i="5"/>
  <c r="K54" i="5"/>
  <c r="L54" i="5"/>
  <c r="M54" i="5"/>
  <c r="G55" i="5"/>
  <c r="H55" i="5"/>
  <c r="J55" i="5"/>
  <c r="K55" i="5"/>
  <c r="L55" i="5"/>
  <c r="M55" i="5"/>
  <c r="G56" i="5"/>
  <c r="H56" i="5"/>
  <c r="J56" i="5"/>
  <c r="K56" i="5"/>
  <c r="L56" i="5"/>
  <c r="M56" i="5"/>
  <c r="G57" i="5"/>
  <c r="H57" i="5"/>
  <c r="J57" i="5"/>
  <c r="K57" i="5"/>
  <c r="G58" i="5"/>
  <c r="H58" i="5"/>
  <c r="I58" i="5"/>
  <c r="J58" i="5"/>
  <c r="K58" i="5"/>
  <c r="L58" i="5"/>
  <c r="M58" i="5"/>
  <c r="G59" i="5"/>
  <c r="H59" i="5"/>
  <c r="I59" i="5"/>
  <c r="J59" i="5"/>
  <c r="K59" i="5"/>
  <c r="L59" i="5"/>
  <c r="G60" i="5"/>
  <c r="H60" i="5"/>
  <c r="I60" i="5"/>
  <c r="J60" i="5"/>
  <c r="K60" i="5"/>
  <c r="L60" i="5"/>
  <c r="F55" i="5"/>
  <c r="F56" i="5"/>
  <c r="F57" i="5"/>
  <c r="F58" i="5"/>
  <c r="F59" i="5"/>
  <c r="F60" i="5"/>
  <c r="F54" i="5"/>
  <c r="G54" i="9"/>
  <c r="H54" i="9"/>
  <c r="I54" i="9"/>
  <c r="J54" i="9"/>
  <c r="K54" i="9"/>
  <c r="L54" i="9"/>
  <c r="M54" i="9"/>
  <c r="N54" i="9"/>
  <c r="G55" i="9"/>
  <c r="H55" i="9"/>
  <c r="J55" i="9"/>
  <c r="K55" i="9"/>
  <c r="L55" i="9"/>
  <c r="M55" i="9"/>
  <c r="N55" i="9"/>
  <c r="G56" i="9"/>
  <c r="H56" i="9"/>
  <c r="J56" i="9"/>
  <c r="K56" i="9"/>
  <c r="L56" i="9"/>
  <c r="M56" i="9"/>
  <c r="N56" i="9"/>
  <c r="G57" i="9"/>
  <c r="H57" i="9"/>
  <c r="J57" i="9"/>
  <c r="K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N59" i="9"/>
  <c r="G60" i="9"/>
  <c r="H60" i="9"/>
  <c r="I60" i="9"/>
  <c r="J60" i="9"/>
  <c r="K60" i="9"/>
  <c r="L60" i="9"/>
  <c r="N60" i="9"/>
  <c r="F55" i="9"/>
  <c r="F56" i="9"/>
  <c r="F57" i="9"/>
  <c r="F58" i="9"/>
  <c r="F59" i="9"/>
  <c r="F60" i="9"/>
  <c r="F54" i="9"/>
  <c r="H54" i="2"/>
  <c r="I54" i="2"/>
  <c r="G55" i="2"/>
  <c r="H55" i="2"/>
  <c r="J55" i="2"/>
  <c r="K55" i="2"/>
  <c r="H56" i="2"/>
  <c r="J56" i="2"/>
  <c r="H57" i="2"/>
  <c r="J57" i="2"/>
  <c r="H59" i="2"/>
  <c r="I59" i="2"/>
  <c r="K59" i="2"/>
  <c r="L59" i="2"/>
  <c r="H60" i="2"/>
  <c r="I60" i="2"/>
  <c r="L60" i="2"/>
  <c r="F54" i="2"/>
  <c r="F56" i="2"/>
  <c r="F58" i="2"/>
  <c r="F59" i="2"/>
  <c r="Q25" i="1" l="1"/>
  <c r="M60" i="1" l="1"/>
  <c r="W218" i="1"/>
  <c r="L218" i="1"/>
  <c r="M60" i="2" l="1"/>
  <c r="M60" i="5"/>
  <c r="M60" i="6"/>
  <c r="M60" i="7"/>
  <c r="M60" i="4"/>
  <c r="M60" i="8"/>
  <c r="M60" i="9"/>
  <c r="M60" i="3"/>
  <c r="AU48" i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B17" i="13"/>
  <c r="C16" i="13"/>
  <c r="C17" i="13" s="1"/>
  <c r="B16" i="13"/>
  <c r="B15" i="13"/>
  <c r="J25" i="13"/>
  <c r="I25" i="13"/>
  <c r="T37" i="1"/>
  <c r="L18" i="13" l="1"/>
  <c r="M18" i="13"/>
  <c r="M19" i="13"/>
  <c r="K19" i="13"/>
  <c r="K18" i="13"/>
  <c r="L19" i="13"/>
  <c r="L25" i="13"/>
  <c r="M25" i="13"/>
  <c r="K25" i="13"/>
  <c r="L20" i="13"/>
  <c r="M20" i="13"/>
  <c r="M21" i="13"/>
  <c r="L21" i="13"/>
  <c r="K21" i="13"/>
  <c r="K20" i="13"/>
  <c r="W42" i="1"/>
  <c r="W41" i="1"/>
  <c r="Z46" i="1"/>
  <c r="W43" i="1"/>
  <c r="W40" i="1"/>
  <c r="G4" i="1"/>
  <c r="G3" i="1"/>
  <c r="K26" i="13" l="1"/>
  <c r="M26" i="13" s="1"/>
  <c r="O17" i="13" s="1"/>
  <c r="Q27" i="1"/>
  <c r="Q18" i="13" l="1"/>
  <c r="Q17" i="13"/>
  <c r="Q22" i="13"/>
  <c r="Q21" i="13"/>
  <c r="Q20" i="13"/>
  <c r="Q23" i="13"/>
  <c r="Q19" i="13"/>
  <c r="Q24" i="13"/>
  <c r="Q25" i="13"/>
  <c r="L26" i="13"/>
  <c r="N17" i="13" s="1"/>
  <c r="AI36" i="1"/>
  <c r="AI37" i="1" s="1"/>
  <c r="L15" i="1"/>
  <c r="L16" i="1"/>
  <c r="L17" i="1"/>
  <c r="L18" i="1"/>
  <c r="L19" i="1"/>
  <c r="L20" i="1"/>
  <c r="L14" i="1"/>
  <c r="P25" i="13" l="1"/>
  <c r="P24" i="13"/>
  <c r="P22" i="13"/>
  <c r="P21" i="13"/>
  <c r="P17" i="13"/>
  <c r="P20" i="13"/>
  <c r="T21" i="13" s="1"/>
  <c r="P23" i="13"/>
  <c r="P19" i="13"/>
  <c r="P18" i="13"/>
  <c r="M4" i="1"/>
  <c r="M3" i="1"/>
  <c r="T20" i="13" l="1"/>
  <c r="S24" i="13"/>
  <c r="T18" i="13"/>
  <c r="R23" i="13"/>
  <c r="S22" i="13"/>
  <c r="T22" i="13"/>
  <c r="T23" i="13"/>
  <c r="T19" i="13"/>
  <c r="S25" i="13"/>
  <c r="R24" i="13"/>
  <c r="S23" i="13"/>
  <c r="T24" i="13"/>
  <c r="R19" i="13"/>
  <c r="S18" i="13"/>
  <c r="R20" i="13"/>
  <c r="S19" i="13"/>
  <c r="S20" i="13"/>
  <c r="R21" i="13"/>
  <c r="R18" i="13"/>
  <c r="T25" i="13"/>
  <c r="R22" i="13"/>
  <c r="S21" i="13"/>
  <c r="R25" i="13"/>
  <c r="C50" i="1"/>
  <c r="B53" i="1"/>
  <c r="R26" i="13" l="1"/>
  <c r="S26" i="13" s="1"/>
  <c r="B5" i="1"/>
  <c r="T26" i="13" l="1"/>
  <c r="E55" i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R45" i="9" l="1"/>
  <c r="D27" i="7"/>
  <c r="C101" i="7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AE26" i="1"/>
  <c r="AE27" i="1"/>
  <c r="AD44" i="1" l="1"/>
  <c r="AE44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AE32" i="1"/>
  <c r="AK29" i="1"/>
  <c r="AJ29" i="1"/>
  <c r="AJ31" i="1" s="1"/>
  <c r="D180" i="2" l="1"/>
  <c r="A193" i="2" s="1"/>
  <c r="D178" i="6"/>
  <c r="D180" i="6"/>
  <c r="A193" i="6" s="1"/>
  <c r="J65" i="1"/>
  <c r="Q65" i="1"/>
  <c r="AE34" i="1"/>
  <c r="AE36" i="1" s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9" i="1" l="1"/>
  <c r="G118" i="1"/>
  <c r="G117" i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9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H152" i="1" s="1"/>
  <c r="I152" i="1" s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E118" i="1" l="1"/>
  <c r="E115" i="1"/>
  <c r="E120" i="1"/>
  <c r="E121" i="1"/>
  <c r="G119" i="4"/>
  <c r="G119" i="5"/>
  <c r="G119" i="6"/>
  <c r="G119" i="8"/>
  <c r="G119" i="2"/>
  <c r="G119" i="7"/>
  <c r="G119" i="9"/>
  <c r="G118" i="8"/>
  <c r="G118" i="9"/>
  <c r="G118" i="2"/>
  <c r="G118" i="5"/>
  <c r="G118" i="4"/>
  <c r="G118" i="6"/>
  <c r="G118" i="7"/>
  <c r="E116" i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O151" i="1" s="1"/>
  <c r="H132" i="1"/>
  <c r="I132" i="1" s="1"/>
  <c r="G138" i="1"/>
  <c r="O138" i="1" s="1"/>
  <c r="F147" i="1"/>
  <c r="N147" i="1" s="1"/>
  <c r="M115" i="1"/>
  <c r="N115" i="1" s="1"/>
  <c r="M119" i="1"/>
  <c r="N119" i="1" s="1"/>
  <c r="G147" i="1"/>
  <c r="O147" i="1" s="1"/>
  <c r="G148" i="1"/>
  <c r="O148" i="1" s="1"/>
  <c r="M113" i="1"/>
  <c r="Y113" i="1" s="1"/>
  <c r="M116" i="1"/>
  <c r="Y116" i="1" s="1"/>
  <c r="F151" i="1"/>
  <c r="N151" i="1" s="1"/>
  <c r="F139" i="1"/>
  <c r="N139" i="1" s="1"/>
  <c r="F153" i="1"/>
  <c r="N153" i="1" s="1"/>
  <c r="M112" i="1"/>
  <c r="N112" i="1" s="1"/>
  <c r="G153" i="1"/>
  <c r="O153" i="1" s="1"/>
  <c r="F148" i="1"/>
  <c r="N148" i="1" s="1"/>
  <c r="F149" i="1"/>
  <c r="N149" i="1" s="1"/>
  <c r="G135" i="1"/>
  <c r="O135" i="1" s="1"/>
  <c r="M120" i="1"/>
  <c r="N120" i="1" s="1"/>
  <c r="G149" i="1"/>
  <c r="O149" i="1" s="1"/>
  <c r="G146" i="1"/>
  <c r="O146" i="1" s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O136" i="1" s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N132" i="1" s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N136" i="1" s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H153" i="6" s="1"/>
  <c r="I153" i="6" s="1"/>
  <c r="C134" i="6"/>
  <c r="H134" i="6" s="1"/>
  <c r="I134" i="6" s="1"/>
  <c r="H137" i="1"/>
  <c r="I137" i="1" s="1"/>
  <c r="F137" i="1"/>
  <c r="N137" i="1" s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N150" i="1" s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9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9" i="7" s="1"/>
  <c r="C134" i="5"/>
  <c r="H134" i="5" s="1"/>
  <c r="I134" i="5" s="1"/>
  <c r="C147" i="5"/>
  <c r="H147" i="5" s="1"/>
  <c r="I147" i="5" s="1"/>
  <c r="H135" i="1"/>
  <c r="I135" i="1" s="1"/>
  <c r="F135" i="1"/>
  <c r="N135" i="1" s="1"/>
  <c r="C138" i="9"/>
  <c r="H138" i="9" s="1"/>
  <c r="I138" i="9" s="1"/>
  <c r="C132" i="2"/>
  <c r="B125" i="2"/>
  <c r="E119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N138" i="1" s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N133" i="1" s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N134" i="1" s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H153" i="9"/>
  <c r="I153" i="9" s="1"/>
  <c r="C136" i="9"/>
  <c r="H146" i="9"/>
  <c r="I146" i="9" s="1"/>
  <c r="E111" i="1"/>
  <c r="G126" i="1"/>
  <c r="E110" i="1"/>
  <c r="M111" i="1"/>
  <c r="E114" i="5" l="1"/>
  <c r="E121" i="5"/>
  <c r="E120" i="5"/>
  <c r="E118" i="7"/>
  <c r="E118" i="2"/>
  <c r="E119" i="5"/>
  <c r="E114" i="9"/>
  <c r="E121" i="9"/>
  <c r="E120" i="9"/>
  <c r="E113" i="4"/>
  <c r="E120" i="4"/>
  <c r="E121" i="4"/>
  <c r="M110" i="6"/>
  <c r="N110" i="6" s="1"/>
  <c r="E120" i="6"/>
  <c r="E121" i="6"/>
  <c r="E118" i="6"/>
  <c r="E118" i="9"/>
  <c r="E119" i="4"/>
  <c r="E118" i="4"/>
  <c r="E118" i="8"/>
  <c r="E115" i="7"/>
  <c r="E121" i="7"/>
  <c r="E120" i="7"/>
  <c r="E113" i="2"/>
  <c r="E120" i="2"/>
  <c r="E121" i="2"/>
  <c r="E115" i="8"/>
  <c r="E120" i="8"/>
  <c r="E121" i="8"/>
  <c r="E118" i="5"/>
  <c r="E119" i="9"/>
  <c r="E119" i="6"/>
  <c r="G119" i="3"/>
  <c r="G118" i="3"/>
  <c r="E116" i="5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O139" i="8" s="1"/>
  <c r="F149" i="5"/>
  <c r="N149" i="5" s="1"/>
  <c r="G147" i="8"/>
  <c r="O147" i="8" s="1"/>
  <c r="G147" i="5"/>
  <c r="O147" i="5" s="1"/>
  <c r="G138" i="8"/>
  <c r="O138" i="8" s="1"/>
  <c r="G149" i="5"/>
  <c r="O149" i="5" s="1"/>
  <c r="F139" i="8"/>
  <c r="N139" i="8" s="1"/>
  <c r="M121" i="8"/>
  <c r="N121" i="8" s="1"/>
  <c r="O121" i="8" s="1"/>
  <c r="F139" i="5"/>
  <c r="N139" i="5" s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J152" i="1"/>
  <c r="F149" i="2"/>
  <c r="N149" i="2" s="1"/>
  <c r="M113" i="7"/>
  <c r="N113" i="7" s="1"/>
  <c r="P113" i="7" s="1"/>
  <c r="K151" i="1"/>
  <c r="K148" i="1"/>
  <c r="K152" i="1"/>
  <c r="M114" i="8"/>
  <c r="N114" i="8" s="1"/>
  <c r="P114" i="8" s="1"/>
  <c r="G151" i="2"/>
  <c r="O151" i="2" s="1"/>
  <c r="G135" i="5"/>
  <c r="O135" i="5" s="1"/>
  <c r="F147" i="5"/>
  <c r="N147" i="5" s="1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N134" i="2" s="1"/>
  <c r="M117" i="5"/>
  <c r="N117" i="5" s="1"/>
  <c r="O117" i="5" s="1"/>
  <c r="M121" i="5"/>
  <c r="N121" i="5" s="1"/>
  <c r="P121" i="5" s="1"/>
  <c r="G150" i="8"/>
  <c r="O150" i="8" s="1"/>
  <c r="M112" i="8"/>
  <c r="N112" i="8" s="1"/>
  <c r="P112" i="8" s="1"/>
  <c r="G132" i="8"/>
  <c r="O132" i="8" s="1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N133" i="8" s="1"/>
  <c r="F150" i="5"/>
  <c r="N150" i="5" s="1"/>
  <c r="G149" i="8"/>
  <c r="O149" i="8" s="1"/>
  <c r="G148" i="2"/>
  <c r="O148" i="2" s="1"/>
  <c r="G134" i="8"/>
  <c r="O134" i="8" s="1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O135" i="8" s="1"/>
  <c r="F148" i="5"/>
  <c r="N148" i="5" s="1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N132" i="2" s="1"/>
  <c r="G134" i="9"/>
  <c r="O134" i="9" s="1"/>
  <c r="G150" i="9"/>
  <c r="O150" i="9" s="1"/>
  <c r="M153" i="1"/>
  <c r="F134" i="8"/>
  <c r="N134" i="8" s="1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F147" i="9"/>
  <c r="N147" i="9" s="1"/>
  <c r="G134" i="4"/>
  <c r="O134" i="4" s="1"/>
  <c r="N116" i="1"/>
  <c r="P116" i="1" s="1"/>
  <c r="G147" i="2"/>
  <c r="O147" i="2" s="1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N132" i="7" s="1"/>
  <c r="G146" i="8"/>
  <c r="O146" i="8" s="1"/>
  <c r="G134" i="2"/>
  <c r="O134" i="2" s="1"/>
  <c r="M114" i="7"/>
  <c r="N114" i="7" s="1"/>
  <c r="O114" i="7" s="1"/>
  <c r="G146" i="2"/>
  <c r="O146" i="2" s="1"/>
  <c r="M115" i="7"/>
  <c r="N115" i="7" s="1"/>
  <c r="P115" i="7" s="1"/>
  <c r="F151" i="2"/>
  <c r="N151" i="2" s="1"/>
  <c r="G133" i="9"/>
  <c r="O133" i="9" s="1"/>
  <c r="F149" i="9"/>
  <c r="N149" i="9" s="1"/>
  <c r="F139" i="9"/>
  <c r="N139" i="9" s="1"/>
  <c r="M118" i="2"/>
  <c r="N118" i="2" s="1"/>
  <c r="P118" i="2" s="1"/>
  <c r="M117" i="2"/>
  <c r="N117" i="2" s="1"/>
  <c r="O117" i="2" s="1"/>
  <c r="F146" i="9"/>
  <c r="N146" i="9" s="1"/>
  <c r="N113" i="1"/>
  <c r="O113" i="1" s="1"/>
  <c r="F148" i="2"/>
  <c r="N148" i="2" s="1"/>
  <c r="G149" i="7"/>
  <c r="O149" i="7" s="1"/>
  <c r="F150" i="2"/>
  <c r="N150" i="2" s="1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O152" i="5" s="1"/>
  <c r="F136" i="9"/>
  <c r="N136" i="9" s="1"/>
  <c r="M116" i="2"/>
  <c r="N116" i="2" s="1"/>
  <c r="O116" i="2" s="1"/>
  <c r="F137" i="7"/>
  <c r="N137" i="7" s="1"/>
  <c r="G133" i="2"/>
  <c r="O133" i="2" s="1"/>
  <c r="F147" i="7"/>
  <c r="N147" i="7" s="1"/>
  <c r="G153" i="2"/>
  <c r="O153" i="2" s="1"/>
  <c r="F132" i="8"/>
  <c r="N132" i="8" s="1"/>
  <c r="F146" i="5"/>
  <c r="N146" i="5" s="1"/>
  <c r="F153" i="5"/>
  <c r="N153" i="5" s="1"/>
  <c r="G148" i="6"/>
  <c r="O148" i="6" s="1"/>
  <c r="F151" i="6"/>
  <c r="N151" i="6" s="1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N138" i="6" s="1"/>
  <c r="F148" i="9"/>
  <c r="N148" i="9" s="1"/>
  <c r="H132" i="7"/>
  <c r="I132" i="7" s="1"/>
  <c r="E110" i="7"/>
  <c r="E111" i="7"/>
  <c r="G126" i="7"/>
  <c r="G127" i="7" s="1"/>
  <c r="G153" i="4"/>
  <c r="O153" i="4" s="1"/>
  <c r="M113" i="8"/>
  <c r="N113" i="8" s="1"/>
  <c r="F152" i="8"/>
  <c r="N152" i="8" s="1"/>
  <c r="H136" i="9"/>
  <c r="I136" i="9" s="1"/>
  <c r="G135" i="2"/>
  <c r="O135" i="2" s="1"/>
  <c r="G146" i="9"/>
  <c r="O146" i="9" s="1"/>
  <c r="F146" i="7"/>
  <c r="N146" i="7" s="1"/>
  <c r="F152" i="4"/>
  <c r="N152" i="4" s="1"/>
  <c r="M121" i="6"/>
  <c r="N121" i="6" s="1"/>
  <c r="M116" i="8"/>
  <c r="N116" i="8" s="1"/>
  <c r="F136" i="5"/>
  <c r="N136" i="5" s="1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N153" i="9" s="1"/>
  <c r="F152" i="7"/>
  <c r="N152" i="7" s="1"/>
  <c r="F148" i="4"/>
  <c r="N148" i="4" s="1"/>
  <c r="F137" i="6"/>
  <c r="N137" i="6" s="1"/>
  <c r="F152" i="9"/>
  <c r="N152" i="9" s="1"/>
  <c r="F135" i="5"/>
  <c r="N135" i="5" s="1"/>
  <c r="M117" i="7"/>
  <c r="N117" i="7" s="1"/>
  <c r="H136" i="4"/>
  <c r="I136" i="4" s="1"/>
  <c r="M120" i="6"/>
  <c r="N120" i="6" s="1"/>
  <c r="F146" i="4"/>
  <c r="N146" i="4" s="1"/>
  <c r="P115" i="1"/>
  <c r="O115" i="1"/>
  <c r="K137" i="1"/>
  <c r="J137" i="1"/>
  <c r="K136" i="1"/>
  <c r="J136" i="1"/>
  <c r="N111" i="1"/>
  <c r="Y111" i="1"/>
  <c r="M119" i="6"/>
  <c r="N119" i="6" s="1"/>
  <c r="F151" i="4"/>
  <c r="N151" i="4" s="1"/>
  <c r="F147" i="6"/>
  <c r="N147" i="6" s="1"/>
  <c r="F150" i="4"/>
  <c r="N150" i="4" s="1"/>
  <c r="G147" i="6"/>
  <c r="O147" i="6" s="1"/>
  <c r="F149" i="6"/>
  <c r="N149" i="6" s="1"/>
  <c r="F132" i="6"/>
  <c r="N132" i="6" s="1"/>
  <c r="E110" i="9"/>
  <c r="E111" i="9"/>
  <c r="G126" i="9"/>
  <c r="G127" i="9" s="1"/>
  <c r="K134" i="1"/>
  <c r="J134" i="1"/>
  <c r="M119" i="7"/>
  <c r="N119" i="7" s="1"/>
  <c r="M120" i="7"/>
  <c r="N120" i="7" s="1"/>
  <c r="M111" i="4"/>
  <c r="N111" i="4" s="1"/>
  <c r="F135" i="6"/>
  <c r="N135" i="6" s="1"/>
  <c r="G136" i="7"/>
  <c r="O136" i="7" s="1"/>
  <c r="G149" i="9"/>
  <c r="O149" i="9" s="1"/>
  <c r="G146" i="7"/>
  <c r="O146" i="7" s="1"/>
  <c r="M120" i="4"/>
  <c r="N120" i="4" s="1"/>
  <c r="E110" i="2"/>
  <c r="E111" i="2"/>
  <c r="G126" i="2"/>
  <c r="G127" i="2" s="1"/>
  <c r="G153" i="9"/>
  <c r="O153" i="9" s="1"/>
  <c r="F136" i="7"/>
  <c r="N136" i="7" s="1"/>
  <c r="F138" i="4"/>
  <c r="N138" i="4" s="1"/>
  <c r="F133" i="6"/>
  <c r="N133" i="6" s="1"/>
  <c r="E111" i="8"/>
  <c r="E110" i="8"/>
  <c r="G126" i="8"/>
  <c r="G127" i="8" s="1"/>
  <c r="F135" i="2"/>
  <c r="N135" i="2" s="1"/>
  <c r="E110" i="5"/>
  <c r="E111" i="5"/>
  <c r="G126" i="5"/>
  <c r="G127" i="5" s="1"/>
  <c r="H134" i="2"/>
  <c r="I134" i="2" s="1"/>
  <c r="F151" i="9"/>
  <c r="N151" i="9" s="1"/>
  <c r="G151" i="5"/>
  <c r="O151" i="5" s="1"/>
  <c r="F133" i="7"/>
  <c r="N133" i="7" s="1"/>
  <c r="G148" i="4"/>
  <c r="O148" i="4" s="1"/>
  <c r="G153" i="6"/>
  <c r="O153" i="6" s="1"/>
  <c r="F146" i="8"/>
  <c r="N146" i="8" s="1"/>
  <c r="G132" i="2"/>
  <c r="O132" i="2" s="1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O148" i="8" s="1"/>
  <c r="F152" i="2"/>
  <c r="N152" i="2" s="1"/>
  <c r="G153" i="5"/>
  <c r="O153" i="5" s="1"/>
  <c r="F134" i="7"/>
  <c r="N134" i="7" s="1"/>
  <c r="M117" i="4"/>
  <c r="N117" i="4" s="1"/>
  <c r="F148" i="6"/>
  <c r="N148" i="6" s="1"/>
  <c r="M115" i="8"/>
  <c r="N115" i="8" s="1"/>
  <c r="M112" i="2"/>
  <c r="N112" i="2" s="1"/>
  <c r="F134" i="9"/>
  <c r="N134" i="9" s="1"/>
  <c r="G150" i="5"/>
  <c r="O150" i="5" s="1"/>
  <c r="M113" i="5"/>
  <c r="N113" i="5" s="1"/>
  <c r="G136" i="4"/>
  <c r="O136" i="4" s="1"/>
  <c r="M115" i="6"/>
  <c r="N115" i="6" s="1"/>
  <c r="Q77" i="8"/>
  <c r="R77" i="8" s="1"/>
  <c r="R76" i="8"/>
  <c r="O112" i="1"/>
  <c r="P112" i="1"/>
  <c r="G139" i="6"/>
  <c r="O139" i="6" s="1"/>
  <c r="D181" i="3"/>
  <c r="B193" i="3" s="1"/>
  <c r="B178" i="3"/>
  <c r="F135" i="4"/>
  <c r="N135" i="4" s="1"/>
  <c r="G137" i="4"/>
  <c r="O137" i="4" s="1"/>
  <c r="M115" i="4"/>
  <c r="N115" i="4" s="1"/>
  <c r="M118" i="4"/>
  <c r="N118" i="4" s="1"/>
  <c r="G133" i="4"/>
  <c r="O133" i="4" s="1"/>
  <c r="K138" i="1"/>
  <c r="J138" i="1"/>
  <c r="F150" i="9"/>
  <c r="N150" i="9" s="1"/>
  <c r="M112" i="4"/>
  <c r="N112" i="4" s="1"/>
  <c r="R76" i="6"/>
  <c r="Q77" i="6"/>
  <c r="R77" i="6" s="1"/>
  <c r="G137" i="9"/>
  <c r="O137" i="9" s="1"/>
  <c r="G148" i="7"/>
  <c r="O148" i="7" s="1"/>
  <c r="M116" i="6"/>
  <c r="N116" i="6" s="1"/>
  <c r="Q77" i="9"/>
  <c r="R77" i="9" s="1"/>
  <c r="R76" i="9"/>
  <c r="M113" i="2"/>
  <c r="N113" i="2" s="1"/>
  <c r="M111" i="2"/>
  <c r="N111" i="2" s="1"/>
  <c r="G132" i="9"/>
  <c r="O132" i="9" s="1"/>
  <c r="F152" i="5"/>
  <c r="N152" i="5" s="1"/>
  <c r="H136" i="7"/>
  <c r="I136" i="7" s="1"/>
  <c r="F149" i="4"/>
  <c r="N149" i="4" s="1"/>
  <c r="G133" i="6"/>
  <c r="O133" i="6" s="1"/>
  <c r="H136" i="8"/>
  <c r="I136" i="8" s="1"/>
  <c r="F133" i="2"/>
  <c r="N133" i="2" s="1"/>
  <c r="C132" i="3"/>
  <c r="B125" i="3"/>
  <c r="E118" i="3" s="1"/>
  <c r="C153" i="3"/>
  <c r="H153" i="3" s="1"/>
  <c r="I153" i="3" s="1"/>
  <c r="F149" i="8"/>
  <c r="N149" i="8" s="1"/>
  <c r="G137" i="2"/>
  <c r="O137" i="2" s="1"/>
  <c r="H135" i="9"/>
  <c r="I135" i="9" s="1"/>
  <c r="M110" i="5"/>
  <c r="G150" i="7"/>
  <c r="O150" i="7" s="1"/>
  <c r="H132" i="4"/>
  <c r="I132" i="4" s="1"/>
  <c r="G146" i="4"/>
  <c r="O146" i="4" s="1"/>
  <c r="H133" i="6"/>
  <c r="I133" i="6" s="1"/>
  <c r="Q77" i="2"/>
  <c r="R77" i="2" s="1"/>
  <c r="R76" i="2"/>
  <c r="K132" i="1"/>
  <c r="J132" i="1"/>
  <c r="M113" i="9"/>
  <c r="N113" i="9" s="1"/>
  <c r="F151" i="5"/>
  <c r="N151" i="5" s="1"/>
  <c r="F137" i="4"/>
  <c r="N137" i="4" s="1"/>
  <c r="M113" i="6"/>
  <c r="N113" i="6" s="1"/>
  <c r="G149" i="6"/>
  <c r="O149" i="6" s="1"/>
  <c r="H134" i="8"/>
  <c r="I134" i="8" s="1"/>
  <c r="G149" i="4"/>
  <c r="O149" i="4" s="1"/>
  <c r="F132" i="4"/>
  <c r="N132" i="4" s="1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N146" i="6" s="1"/>
  <c r="B181" i="6"/>
  <c r="B191" i="6" s="1"/>
  <c r="B202" i="6" s="1"/>
  <c r="M111" i="9"/>
  <c r="N111" i="9" s="1"/>
  <c r="H135" i="4"/>
  <c r="I135" i="4" s="1"/>
  <c r="F138" i="9"/>
  <c r="N138" i="9" s="1"/>
  <c r="F149" i="7"/>
  <c r="N149" i="7" s="1"/>
  <c r="M111" i="6"/>
  <c r="N111" i="6" s="1"/>
  <c r="G152" i="7"/>
  <c r="O152" i="7" s="1"/>
  <c r="J150" i="1"/>
  <c r="K150" i="1"/>
  <c r="F133" i="9"/>
  <c r="N133" i="9" s="1"/>
  <c r="G137" i="7"/>
  <c r="O137" i="7" s="1"/>
  <c r="G132" i="4"/>
  <c r="O132" i="4" s="1"/>
  <c r="F134" i="6"/>
  <c r="N134" i="6" s="1"/>
  <c r="G136" i="2"/>
  <c r="O136" i="2" s="1"/>
  <c r="C133" i="3"/>
  <c r="C149" i="3"/>
  <c r="H149" i="3" s="1"/>
  <c r="I149" i="3" s="1"/>
  <c r="C151" i="3"/>
  <c r="H151" i="3" s="1"/>
  <c r="I151" i="3" s="1"/>
  <c r="M120" i="8"/>
  <c r="N120" i="8" s="1"/>
  <c r="F138" i="2"/>
  <c r="N138" i="2" s="1"/>
  <c r="M116" i="9"/>
  <c r="N116" i="9" s="1"/>
  <c r="F151" i="7"/>
  <c r="N151" i="7" s="1"/>
  <c r="G135" i="4"/>
  <c r="O135" i="4" s="1"/>
  <c r="F147" i="4"/>
  <c r="N147" i="4" s="1"/>
  <c r="G136" i="8"/>
  <c r="O136" i="8" s="1"/>
  <c r="G136" i="5"/>
  <c r="O136" i="5" s="1"/>
  <c r="F137" i="5"/>
  <c r="N137" i="5" s="1"/>
  <c r="G147" i="7"/>
  <c r="O147" i="7" s="1"/>
  <c r="H132" i="8"/>
  <c r="I132" i="8" s="1"/>
  <c r="F150" i="6"/>
  <c r="N150" i="6" s="1"/>
  <c r="O119" i="1"/>
  <c r="P119" i="1"/>
  <c r="J133" i="1"/>
  <c r="K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O134" i="6" s="1"/>
  <c r="R76" i="4"/>
  <c r="Q77" i="4"/>
  <c r="R77" i="4" s="1"/>
  <c r="G138" i="6"/>
  <c r="O138" i="6" s="1"/>
  <c r="M110" i="7"/>
  <c r="G135" i="6"/>
  <c r="O135" i="6" s="1"/>
  <c r="M116" i="4"/>
  <c r="N116" i="4" s="1"/>
  <c r="G136" i="9"/>
  <c r="O136" i="9" s="1"/>
  <c r="M114" i="4"/>
  <c r="N114" i="4" s="1"/>
  <c r="H132" i="6"/>
  <c r="I132" i="6" s="1"/>
  <c r="M110" i="9"/>
  <c r="F138" i="8"/>
  <c r="N138" i="8" s="1"/>
  <c r="F153" i="7"/>
  <c r="N153" i="7" s="1"/>
  <c r="H136" i="2"/>
  <c r="I136" i="2" s="1"/>
  <c r="Y110" i="1"/>
  <c r="M122" i="1"/>
  <c r="N110" i="1"/>
  <c r="M121" i="9"/>
  <c r="N121" i="9" s="1"/>
  <c r="G132" i="5"/>
  <c r="O132" i="5" s="1"/>
  <c r="F138" i="7"/>
  <c r="N138" i="7" s="1"/>
  <c r="F133" i="4"/>
  <c r="N133" i="4" s="1"/>
  <c r="M117" i="6"/>
  <c r="N117" i="6" s="1"/>
  <c r="M119" i="8"/>
  <c r="N119" i="8" s="1"/>
  <c r="F137" i="2"/>
  <c r="N137" i="2" s="1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O152" i="2" s="1"/>
  <c r="G138" i="2"/>
  <c r="O138" i="2" s="1"/>
  <c r="M120" i="9"/>
  <c r="N120" i="9" s="1"/>
  <c r="G138" i="7"/>
  <c r="O138" i="7" s="1"/>
  <c r="F136" i="4"/>
  <c r="N136" i="4" s="1"/>
  <c r="F152" i="6"/>
  <c r="N152" i="6" s="1"/>
  <c r="F137" i="8"/>
  <c r="N137" i="8" s="1"/>
  <c r="M116" i="5"/>
  <c r="N116" i="5" s="1"/>
  <c r="F148" i="7"/>
  <c r="N148" i="7" s="1"/>
  <c r="M112" i="6"/>
  <c r="N112" i="6" s="1"/>
  <c r="G152" i="8"/>
  <c r="O152" i="8" s="1"/>
  <c r="H135" i="8"/>
  <c r="I135" i="8" s="1"/>
  <c r="E110" i="4"/>
  <c r="G126" i="4"/>
  <c r="G127" i="4" s="1"/>
  <c r="E111" i="4"/>
  <c r="M110" i="4"/>
  <c r="G132" i="6"/>
  <c r="O132" i="6" s="1"/>
  <c r="F153" i="6"/>
  <c r="N153" i="6" s="1"/>
  <c r="P120" i="1"/>
  <c r="O120" i="1"/>
  <c r="M113" i="4"/>
  <c r="N113" i="4" s="1"/>
  <c r="F134" i="4"/>
  <c r="N134" i="4" s="1"/>
  <c r="G138" i="4"/>
  <c r="O138" i="4" s="1"/>
  <c r="E122" i="1"/>
  <c r="G135" i="9"/>
  <c r="O135" i="9" s="1"/>
  <c r="F139" i="4"/>
  <c r="N139" i="4" s="1"/>
  <c r="F139" i="6"/>
  <c r="N139" i="6" s="1"/>
  <c r="H135" i="7"/>
  <c r="I135" i="7" s="1"/>
  <c r="G139" i="4"/>
  <c r="O139" i="4" s="1"/>
  <c r="F136" i="6"/>
  <c r="N136" i="6" s="1"/>
  <c r="H133" i="8"/>
  <c r="I133" i="8" s="1"/>
  <c r="G137" i="6"/>
  <c r="O137" i="6" s="1"/>
  <c r="G147" i="9"/>
  <c r="O147" i="9" s="1"/>
  <c r="F137" i="9"/>
  <c r="N137" i="9" s="1"/>
  <c r="Q77" i="7"/>
  <c r="R77" i="7" s="1"/>
  <c r="R76" i="7"/>
  <c r="J135" i="1"/>
  <c r="K135" i="1"/>
  <c r="F134" i="5"/>
  <c r="N134" i="5" s="1"/>
  <c r="F153" i="4"/>
  <c r="N153" i="4" s="1"/>
  <c r="G151" i="8"/>
  <c r="O151" i="8" s="1"/>
  <c r="H132" i="9"/>
  <c r="I132" i="9" s="1"/>
  <c r="H135" i="2"/>
  <c r="I135" i="2" s="1"/>
  <c r="H133" i="9"/>
  <c r="I133" i="9" s="1"/>
  <c r="M134" i="1"/>
  <c r="F133" i="5"/>
  <c r="N133" i="5" s="1"/>
  <c r="F138" i="5"/>
  <c r="N138" i="5" s="1"/>
  <c r="H133" i="7"/>
  <c r="I133" i="7" s="1"/>
  <c r="G151" i="4"/>
  <c r="O151" i="4" s="1"/>
  <c r="M118" i="6"/>
  <c r="N118" i="6" s="1"/>
  <c r="M118" i="8"/>
  <c r="N118" i="8" s="1"/>
  <c r="M117" i="9"/>
  <c r="N117" i="9" s="1"/>
  <c r="C148" i="3"/>
  <c r="H148" i="3" s="1"/>
  <c r="I148" i="3" s="1"/>
  <c r="F153" i="2"/>
  <c r="N153" i="2" s="1"/>
  <c r="F139" i="2"/>
  <c r="N139" i="2" s="1"/>
  <c r="G152" i="9"/>
  <c r="O152" i="9" s="1"/>
  <c r="G151" i="7"/>
  <c r="O151" i="7" s="1"/>
  <c r="F139" i="7"/>
  <c r="N139" i="7" s="1"/>
  <c r="G147" i="4"/>
  <c r="O147" i="4" s="1"/>
  <c r="G136" i="6"/>
  <c r="O136" i="6" s="1"/>
  <c r="M120" i="2"/>
  <c r="N120" i="2" s="1"/>
  <c r="H132" i="2"/>
  <c r="I132" i="2" s="1"/>
  <c r="G151" i="9"/>
  <c r="O151" i="9" s="1"/>
  <c r="G134" i="5"/>
  <c r="O134" i="5" s="1"/>
  <c r="M112" i="7"/>
  <c r="N112" i="7" s="1"/>
  <c r="F153" i="8"/>
  <c r="N153" i="8" s="1"/>
  <c r="G139" i="7"/>
  <c r="O139" i="7" s="1"/>
  <c r="G67" i="1" l="1"/>
  <c r="E113" i="3"/>
  <c r="E120" i="3"/>
  <c r="E121" i="3"/>
  <c r="E119" i="3"/>
  <c r="E117" i="3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M148" i="9"/>
  <c r="U152" i="1"/>
  <c r="AD152" i="1"/>
  <c r="K132" i="9"/>
  <c r="P118" i="5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K147" i="8"/>
  <c r="P118" i="7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J150" i="7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K132" i="5"/>
  <c r="O119" i="9"/>
  <c r="O115" i="5"/>
  <c r="M133" i="2"/>
  <c r="L146" i="6"/>
  <c r="L146" i="8"/>
  <c r="K139" i="5"/>
  <c r="L139" i="5"/>
  <c r="O112" i="8"/>
  <c r="M150" i="9"/>
  <c r="K148" i="8"/>
  <c r="L139" i="2"/>
  <c r="P113" i="1"/>
  <c r="L135" i="8"/>
  <c r="K147" i="9"/>
  <c r="M133" i="7"/>
  <c r="M135" i="8"/>
  <c r="K147" i="7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3" i="1"/>
  <c r="L132" i="7"/>
  <c r="M132" i="8"/>
  <c r="M134" i="4"/>
  <c r="P153" i="1"/>
  <c r="AD153" i="1"/>
  <c r="O121" i="7"/>
  <c r="R153" i="1"/>
  <c r="M132" i="7"/>
  <c r="M153" i="2"/>
  <c r="K149" i="2"/>
  <c r="U153" i="1"/>
  <c r="L135" i="5"/>
  <c r="O120" i="5"/>
  <c r="AE153" i="1"/>
  <c r="M135" i="5"/>
  <c r="K148" i="5"/>
  <c r="L153" i="2"/>
  <c r="P121" i="2"/>
  <c r="P117" i="8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O136" i="3" s="1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L149" i="7"/>
  <c r="L134" i="9"/>
  <c r="P137" i="1"/>
  <c r="M138" i="5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O151" i="3" s="1"/>
  <c r="G153" i="3"/>
  <c r="O153" i="3" s="1"/>
  <c r="K150" i="2"/>
  <c r="M153" i="7"/>
  <c r="M117" i="3"/>
  <c r="N117" i="3" s="1"/>
  <c r="O117" i="3" s="1"/>
  <c r="L134" i="8"/>
  <c r="O115" i="2"/>
  <c r="G133" i="3"/>
  <c r="O133" i="3" s="1"/>
  <c r="J133" i="8"/>
  <c r="G149" i="3"/>
  <c r="O149" i="3" s="1"/>
  <c r="F152" i="3"/>
  <c r="N152" i="3" s="1"/>
  <c r="G150" i="3"/>
  <c r="O150" i="3" s="1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N147" i="3" s="1"/>
  <c r="L146" i="5"/>
  <c r="H133" i="3"/>
  <c r="I133" i="3" s="1"/>
  <c r="G134" i="3"/>
  <c r="O134" i="3" s="1"/>
  <c r="F150" i="3"/>
  <c r="N150" i="3" s="1"/>
  <c r="L134" i="2"/>
  <c r="M152" i="6"/>
  <c r="AD149" i="1"/>
  <c r="F151" i="3"/>
  <c r="N151" i="3" s="1"/>
  <c r="J150" i="2"/>
  <c r="M139" i="9"/>
  <c r="G152" i="3"/>
  <c r="O152" i="3" s="1"/>
  <c r="M114" i="3"/>
  <c r="N114" i="3" s="1"/>
  <c r="P114" i="3" s="1"/>
  <c r="J147" i="7"/>
  <c r="Q138" i="1"/>
  <c r="G135" i="3"/>
  <c r="O135" i="3" s="1"/>
  <c r="R136" i="1"/>
  <c r="K135" i="7"/>
  <c r="L137" i="5"/>
  <c r="G147" i="3"/>
  <c r="O147" i="3" s="1"/>
  <c r="M153" i="8"/>
  <c r="F135" i="3"/>
  <c r="N135" i="3" s="1"/>
  <c r="M134" i="2"/>
  <c r="M152" i="5"/>
  <c r="AF149" i="1"/>
  <c r="G148" i="3"/>
  <c r="O148" i="3" s="1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M152" i="8"/>
  <c r="L152" i="8"/>
  <c r="L135" i="6"/>
  <c r="M135" i="6"/>
  <c r="O116" i="9"/>
  <c r="P116" i="9"/>
  <c r="AF138" i="1"/>
  <c r="V138" i="1"/>
  <c r="U138" i="1"/>
  <c r="AD138" i="1"/>
  <c r="W138" i="1"/>
  <c r="AE138" i="1"/>
  <c r="K152" i="2"/>
  <c r="J152" i="2"/>
  <c r="M147" i="6"/>
  <c r="L147" i="6"/>
  <c r="P110" i="6"/>
  <c r="O110" i="6"/>
  <c r="N122" i="6"/>
  <c r="J136" i="4"/>
  <c r="K136" i="4"/>
  <c r="K137" i="4"/>
  <c r="J137" i="4"/>
  <c r="J139" i="2"/>
  <c r="K139" i="2"/>
  <c r="P117" i="9"/>
  <c r="O117" i="9"/>
  <c r="L139" i="4"/>
  <c r="M139" i="4"/>
  <c r="Q136" i="1"/>
  <c r="K137" i="2"/>
  <c r="J137" i="2"/>
  <c r="M136" i="9"/>
  <c r="L136" i="9"/>
  <c r="E122" i="6"/>
  <c r="J151" i="7"/>
  <c r="K151" i="7"/>
  <c r="P110" i="8"/>
  <c r="N122" i="8"/>
  <c r="O110" i="8"/>
  <c r="H136" i="3"/>
  <c r="I136" i="3" s="1"/>
  <c r="M149" i="6"/>
  <c r="L149" i="6"/>
  <c r="M137" i="2"/>
  <c r="L137" i="2"/>
  <c r="K152" i="5"/>
  <c r="J152" i="5"/>
  <c r="L137" i="9"/>
  <c r="M137" i="9"/>
  <c r="O113" i="5"/>
  <c r="P113" i="5"/>
  <c r="M153" i="5"/>
  <c r="L153" i="5"/>
  <c r="F139" i="3"/>
  <c r="N139" i="3" s="1"/>
  <c r="M151" i="5"/>
  <c r="L151" i="5"/>
  <c r="E122" i="8"/>
  <c r="M153" i="9"/>
  <c r="L153" i="9"/>
  <c r="M149" i="9"/>
  <c r="L149" i="9"/>
  <c r="P111" i="1"/>
  <c r="O111" i="1"/>
  <c r="J135" i="5"/>
  <c r="K135" i="5"/>
  <c r="G137" i="3"/>
  <c r="O137" i="3" s="1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M137" i="4"/>
  <c r="L137" i="4"/>
  <c r="J149" i="6"/>
  <c r="K149" i="6"/>
  <c r="K137" i="6"/>
  <c r="J137" i="6"/>
  <c r="J152" i="4"/>
  <c r="K152" i="4"/>
  <c r="M151" i="9"/>
  <c r="L151" i="9"/>
  <c r="M136" i="6"/>
  <c r="L136" i="6"/>
  <c r="M151" i="4"/>
  <c r="L151" i="4"/>
  <c r="M151" i="8"/>
  <c r="L151" i="8"/>
  <c r="P138" i="1"/>
  <c r="K139" i="4"/>
  <c r="J139" i="4"/>
  <c r="M132" i="6"/>
  <c r="L132" i="6"/>
  <c r="J148" i="7"/>
  <c r="K148" i="7"/>
  <c r="M138" i="7"/>
  <c r="L138" i="7"/>
  <c r="J133" i="4"/>
  <c r="K133" i="4"/>
  <c r="J153" i="7"/>
  <c r="K153" i="7"/>
  <c r="N110" i="9"/>
  <c r="M122" i="9"/>
  <c r="L134" i="6"/>
  <c r="M134" i="6"/>
  <c r="J137" i="5"/>
  <c r="K137" i="5"/>
  <c r="O120" i="8"/>
  <c r="P120" i="8"/>
  <c r="J149" i="7"/>
  <c r="K149" i="7"/>
  <c r="K132" i="4"/>
  <c r="J132" i="4"/>
  <c r="K151" i="5"/>
  <c r="J151" i="5"/>
  <c r="M146" i="4"/>
  <c r="L146" i="4"/>
  <c r="F153" i="3"/>
  <c r="N153" i="3" s="1"/>
  <c r="K133" i="2"/>
  <c r="J133" i="2"/>
  <c r="P113" i="2"/>
  <c r="O113" i="2"/>
  <c r="M122" i="2"/>
  <c r="J135" i="4"/>
  <c r="K135" i="4"/>
  <c r="O115" i="6"/>
  <c r="P115" i="6"/>
  <c r="P112" i="2"/>
  <c r="O112" i="2"/>
  <c r="L132" i="2"/>
  <c r="M132" i="2"/>
  <c r="K138" i="4"/>
  <c r="J138" i="4"/>
  <c r="E122" i="2"/>
  <c r="K147" i="6"/>
  <c r="J147" i="6"/>
  <c r="K148" i="4"/>
  <c r="J148" i="4"/>
  <c r="F134" i="3"/>
  <c r="N134" i="3" s="1"/>
  <c r="J146" i="7"/>
  <c r="K146" i="7"/>
  <c r="J138" i="6"/>
  <c r="K138" i="6"/>
  <c r="R80" i="1"/>
  <c r="R83" i="1" s="1"/>
  <c r="Q80" i="1"/>
  <c r="Q83" i="1" s="1"/>
  <c r="O118" i="8"/>
  <c r="P118" i="8"/>
  <c r="J149" i="8"/>
  <c r="K149" i="8"/>
  <c r="M150" i="5"/>
  <c r="L150" i="5"/>
  <c r="P120" i="2"/>
  <c r="O120" i="2"/>
  <c r="R138" i="1"/>
  <c r="J138" i="2"/>
  <c r="K138" i="2"/>
  <c r="K153" i="4"/>
  <c r="J153" i="4"/>
  <c r="M135" i="9"/>
  <c r="L135" i="9"/>
  <c r="K153" i="6"/>
  <c r="J153" i="6"/>
  <c r="P116" i="5"/>
  <c r="O116" i="5"/>
  <c r="P120" i="9"/>
  <c r="O120" i="9"/>
  <c r="K138" i="7"/>
  <c r="J138" i="7"/>
  <c r="K138" i="8"/>
  <c r="J138" i="8"/>
  <c r="P116" i="4"/>
  <c r="O116" i="4"/>
  <c r="L136" i="5"/>
  <c r="M136" i="5"/>
  <c r="M136" i="2"/>
  <c r="L136" i="2"/>
  <c r="J135" i="9"/>
  <c r="P113" i="9"/>
  <c r="O113" i="9"/>
  <c r="P116" i="6"/>
  <c r="O116" i="6"/>
  <c r="O110" i="2"/>
  <c r="P110" i="2"/>
  <c r="N122" i="2"/>
  <c r="L136" i="4"/>
  <c r="M136" i="4"/>
  <c r="P115" i="8"/>
  <c r="O115" i="8"/>
  <c r="F146" i="3"/>
  <c r="N146" i="3" s="1"/>
  <c r="K146" i="8"/>
  <c r="J146" i="8"/>
  <c r="J136" i="7"/>
  <c r="K136" i="7"/>
  <c r="P120" i="4"/>
  <c r="O120" i="4"/>
  <c r="AE134" i="1"/>
  <c r="AF134" i="1"/>
  <c r="U134" i="1"/>
  <c r="AD134" i="1"/>
  <c r="V134" i="1"/>
  <c r="V137" i="1"/>
  <c r="U137" i="1"/>
  <c r="AD137" i="1"/>
  <c r="AE137" i="1"/>
  <c r="AF137" i="1"/>
  <c r="W137" i="1"/>
  <c r="J146" i="4"/>
  <c r="K146" i="4"/>
  <c r="M120" i="3"/>
  <c r="N120" i="3" s="1"/>
  <c r="M146" i="9"/>
  <c r="L146" i="9"/>
  <c r="E122" i="7"/>
  <c r="O121" i="4"/>
  <c r="P121" i="4"/>
  <c r="L134" i="4"/>
  <c r="P113" i="6"/>
  <c r="O113" i="6"/>
  <c r="M137" i="6"/>
  <c r="L137" i="6"/>
  <c r="P112" i="6"/>
  <c r="O112" i="6"/>
  <c r="J133" i="9"/>
  <c r="K133" i="9"/>
  <c r="M148" i="8"/>
  <c r="L148" i="8"/>
  <c r="J133" i="6"/>
  <c r="K133" i="6"/>
  <c r="J150" i="4"/>
  <c r="K150" i="4"/>
  <c r="K137" i="8"/>
  <c r="J137" i="8"/>
  <c r="L138" i="2"/>
  <c r="M138" i="2"/>
  <c r="M132" i="5"/>
  <c r="L132" i="5"/>
  <c r="O114" i="4"/>
  <c r="P114" i="4"/>
  <c r="M136" i="8"/>
  <c r="L136" i="8"/>
  <c r="J134" i="6"/>
  <c r="K134" i="6"/>
  <c r="AF150" i="1"/>
  <c r="V150" i="1"/>
  <c r="U150" i="1"/>
  <c r="AD150" i="1"/>
  <c r="AE150" i="1"/>
  <c r="K135" i="9"/>
  <c r="M149" i="4"/>
  <c r="L149" i="4"/>
  <c r="M150" i="7"/>
  <c r="L150" i="7"/>
  <c r="M133" i="6"/>
  <c r="L133" i="6"/>
  <c r="L148" i="7"/>
  <c r="M148" i="7"/>
  <c r="P118" i="4"/>
  <c r="O118" i="4"/>
  <c r="J148" i="6"/>
  <c r="K148" i="6"/>
  <c r="L153" i="6"/>
  <c r="M153" i="6"/>
  <c r="E122" i="5"/>
  <c r="M146" i="7"/>
  <c r="L146" i="7"/>
  <c r="K135" i="6"/>
  <c r="J135" i="6"/>
  <c r="P120" i="6"/>
  <c r="O120" i="6"/>
  <c r="M135" i="2"/>
  <c r="L135" i="2"/>
  <c r="R137" i="1"/>
  <c r="U133" i="1"/>
  <c r="AD133" i="1"/>
  <c r="AF133" i="1"/>
  <c r="AE133" i="1"/>
  <c r="W133" i="1"/>
  <c r="V133" i="1"/>
  <c r="M133" i="4"/>
  <c r="L133" i="4"/>
  <c r="K151" i="9"/>
  <c r="J151" i="9"/>
  <c r="AF136" i="1"/>
  <c r="W136" i="1"/>
  <c r="AE136" i="1"/>
  <c r="AD136" i="1"/>
  <c r="V136" i="1"/>
  <c r="U136" i="1"/>
  <c r="K152" i="9"/>
  <c r="J152" i="9"/>
  <c r="M153" i="4"/>
  <c r="L153" i="4"/>
  <c r="K139" i="6"/>
  <c r="J139" i="6"/>
  <c r="P117" i="6"/>
  <c r="O117" i="6"/>
  <c r="M138" i="6"/>
  <c r="L138" i="6"/>
  <c r="M147" i="7"/>
  <c r="L147" i="7"/>
  <c r="P111" i="2"/>
  <c r="O111" i="2"/>
  <c r="O119" i="7"/>
  <c r="P119" i="7"/>
  <c r="M147" i="4"/>
  <c r="L147" i="4"/>
  <c r="J138" i="5"/>
  <c r="K138" i="5"/>
  <c r="J137" i="9"/>
  <c r="K137" i="9"/>
  <c r="M151" i="7"/>
  <c r="L151" i="7"/>
  <c r="K133" i="5"/>
  <c r="J133" i="5"/>
  <c r="P121" i="9"/>
  <c r="O121" i="9"/>
  <c r="K150" i="6"/>
  <c r="J150" i="6"/>
  <c r="K147" i="4"/>
  <c r="J147" i="4"/>
  <c r="M132" i="4"/>
  <c r="L132" i="4"/>
  <c r="M152" i="7"/>
  <c r="L152" i="7"/>
  <c r="J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K149" i="4"/>
  <c r="J149" i="4"/>
  <c r="O112" i="4"/>
  <c r="P112" i="4"/>
  <c r="O115" i="4"/>
  <c r="P115" i="4"/>
  <c r="M112" i="3"/>
  <c r="N112" i="3" s="1"/>
  <c r="M139" i="6"/>
  <c r="L139" i="6"/>
  <c r="O117" i="4"/>
  <c r="P117" i="4"/>
  <c r="M148" i="4"/>
  <c r="L148" i="4"/>
  <c r="K135" i="2"/>
  <c r="J135" i="2"/>
  <c r="P111" i="4"/>
  <c r="O111" i="4"/>
  <c r="P119" i="6"/>
  <c r="O119" i="6"/>
  <c r="K152" i="7"/>
  <c r="J152" i="7"/>
  <c r="M116" i="3"/>
  <c r="N116" i="3" s="1"/>
  <c r="Q137" i="1"/>
  <c r="K153" i="2"/>
  <c r="J153" i="2"/>
  <c r="M132" i="9"/>
  <c r="L132" i="9"/>
  <c r="L136" i="7"/>
  <c r="M136" i="7"/>
  <c r="K151" i="6"/>
  <c r="J151" i="6"/>
  <c r="L134" i="5"/>
  <c r="M134" i="5"/>
  <c r="R76" i="3"/>
  <c r="Q77" i="3"/>
  <c r="R77" i="3" s="1"/>
  <c r="O111" i="6"/>
  <c r="P111" i="6"/>
  <c r="J134" i="9"/>
  <c r="K134" i="9"/>
  <c r="K151" i="4"/>
  <c r="J151" i="4"/>
  <c r="J135" i="7"/>
  <c r="R79" i="1"/>
  <c r="R82" i="1" s="1"/>
  <c r="Q79" i="1"/>
  <c r="Q82" i="1" s="1"/>
  <c r="M139" i="7"/>
  <c r="L139" i="7"/>
  <c r="J153" i="8"/>
  <c r="K153" i="8"/>
  <c r="K139" i="7"/>
  <c r="J139" i="7"/>
  <c r="K134" i="5"/>
  <c r="J134" i="5"/>
  <c r="M147" i="9"/>
  <c r="L147" i="9"/>
  <c r="M138" i="4"/>
  <c r="L138" i="4"/>
  <c r="K134" i="4"/>
  <c r="J134" i="4"/>
  <c r="K152" i="6"/>
  <c r="J152" i="6"/>
  <c r="M152" i="2"/>
  <c r="L152" i="2"/>
  <c r="P133" i="1"/>
  <c r="L152" i="9"/>
  <c r="M152" i="9"/>
  <c r="AE135" i="1"/>
  <c r="AD135" i="1"/>
  <c r="AF135" i="1"/>
  <c r="V135" i="1"/>
  <c r="U135" i="1"/>
  <c r="J136" i="6"/>
  <c r="K136" i="6"/>
  <c r="O113" i="4"/>
  <c r="P113" i="4"/>
  <c r="N110" i="4"/>
  <c r="M122" i="4"/>
  <c r="O110" i="1"/>
  <c r="P110" i="1"/>
  <c r="N122" i="1"/>
  <c r="N110" i="7"/>
  <c r="M122" i="7"/>
  <c r="G146" i="3"/>
  <c r="O146" i="3" s="1"/>
  <c r="A201" i="2"/>
  <c r="A205" i="2" s="1" a="1"/>
  <c r="M135" i="4"/>
  <c r="L135" i="4"/>
  <c r="F149" i="3"/>
  <c r="N149" i="3" s="1"/>
  <c r="L137" i="7"/>
  <c r="M137" i="7"/>
  <c r="M122" i="8"/>
  <c r="K146" i="6"/>
  <c r="J146" i="6"/>
  <c r="F132" i="3"/>
  <c r="N132" i="3" s="1"/>
  <c r="J150" i="9"/>
  <c r="K150" i="9"/>
  <c r="K134" i="7"/>
  <c r="J134" i="7"/>
  <c r="G138" i="3"/>
  <c r="O138" i="3" s="1"/>
  <c r="K133" i="7"/>
  <c r="J133" i="7"/>
  <c r="P120" i="7"/>
  <c r="O120" i="7"/>
  <c r="J132" i="6"/>
  <c r="K132" i="6"/>
  <c r="M118" i="3"/>
  <c r="N118" i="3" s="1"/>
  <c r="O117" i="7"/>
  <c r="P117" i="7"/>
  <c r="J153" i="9"/>
  <c r="K153" i="9"/>
  <c r="K136" i="5"/>
  <c r="J136" i="5"/>
  <c r="J152" i="8"/>
  <c r="K152" i="8"/>
  <c r="J148" i="9"/>
  <c r="K148" i="9"/>
  <c r="U82" i="1" l="1"/>
  <c r="U83" i="1" s="1"/>
  <c r="J151" i="3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P132" i="8"/>
  <c r="Q148" i="2"/>
  <c r="K136" i="3"/>
  <c r="P134" i="8"/>
  <c r="P121" i="3"/>
  <c r="J136" i="3"/>
  <c r="M147" i="3"/>
  <c r="K147" i="3"/>
  <c r="M133" i="3"/>
  <c r="M136" i="3"/>
  <c r="Y149" i="1"/>
  <c r="AB149" i="1" s="1"/>
  <c r="P135" i="5"/>
  <c r="P132" i="7"/>
  <c r="M135" i="3"/>
  <c r="K152" i="3"/>
  <c r="K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K137" i="3"/>
  <c r="X151" i="1"/>
  <c r="AA151" i="1" s="1"/>
  <c r="AH147" i="1"/>
  <c r="Q149" i="2"/>
  <c r="Q133" i="8"/>
  <c r="R149" i="2"/>
  <c r="R148" i="5"/>
  <c r="Q148" i="5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K134" i="3"/>
  <c r="J134" i="3"/>
  <c r="P136" i="9"/>
  <c r="Q136" i="9"/>
  <c r="R136" i="9"/>
  <c r="Q150" i="9"/>
  <c r="K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J153" i="3"/>
  <c r="P118" i="3"/>
  <c r="O118" i="3"/>
  <c r="J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L137" i="3"/>
  <c r="M137" i="3"/>
  <c r="Q149" i="9"/>
  <c r="P149" i="9"/>
  <c r="R149" i="9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W82" i="1" l="1"/>
  <c r="W81" i="1" s="1"/>
  <c r="P156" i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P142" i="8"/>
  <c r="P143" i="2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Q97" i="1" l="1"/>
  <c r="Q92" i="1"/>
  <c r="P157" i="3"/>
  <c r="P143" i="3"/>
  <c r="P156" i="3"/>
  <c r="P142" i="3"/>
  <c r="H116" i="1"/>
  <c r="Q116" i="1" s="1"/>
  <c r="H113" i="1"/>
  <c r="K113" i="1" s="1"/>
  <c r="L113" i="1" s="1"/>
  <c r="H117" i="1"/>
  <c r="H111" i="1"/>
  <c r="R111" i="1" s="1"/>
  <c r="B67" i="7"/>
  <c r="H118" i="7" s="1"/>
  <c r="H118" i="1"/>
  <c r="R118" i="1" s="1"/>
  <c r="B67" i="3"/>
  <c r="H113" i="3" s="1"/>
  <c r="B67" i="4"/>
  <c r="H115" i="4" s="1"/>
  <c r="K115" i="4" s="1"/>
  <c r="L115" i="4" s="1"/>
  <c r="H120" i="1"/>
  <c r="J120" i="1" s="1"/>
  <c r="B67" i="2"/>
  <c r="H113" i="2" s="1"/>
  <c r="H112" i="1"/>
  <c r="J112" i="1" s="1"/>
  <c r="H110" i="1"/>
  <c r="R110" i="1" s="1"/>
  <c r="B67" i="6"/>
  <c r="H112" i="6" s="1"/>
  <c r="H114" i="1"/>
  <c r="I114" i="1" s="1"/>
  <c r="B67" i="8"/>
  <c r="H117" i="8" s="1"/>
  <c r="H115" i="1"/>
  <c r="I115" i="1" s="1"/>
  <c r="H121" i="1"/>
  <c r="Q121" i="1" s="1"/>
  <c r="H119" i="1"/>
  <c r="Q119" i="1" s="1"/>
  <c r="I67" i="1"/>
  <c r="E175" i="1"/>
  <c r="B67" i="9" s="1"/>
  <c r="E176" i="1" l="1"/>
  <c r="E177" i="1" s="1"/>
  <c r="E178" i="1" s="1"/>
  <c r="AB113" i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T121" i="1" s="1"/>
  <c r="W121" i="1" s="1"/>
  <c r="J110" i="1"/>
  <c r="AB119" i="1"/>
  <c r="AB120" i="1"/>
  <c r="J118" i="1"/>
  <c r="Q111" i="1"/>
  <c r="U111" i="1" s="1"/>
  <c r="X111" i="1" s="1"/>
  <c r="H110" i="6"/>
  <c r="I110" i="6" s="1"/>
  <c r="J111" i="1"/>
  <c r="R119" i="1"/>
  <c r="T119" i="1" s="1"/>
  <c r="W119" i="1" s="1"/>
  <c r="E175" i="6"/>
  <c r="E176" i="6" s="1"/>
  <c r="E177" i="6" s="1"/>
  <c r="H121" i="6"/>
  <c r="I121" i="6" s="1"/>
  <c r="Q112" i="1"/>
  <c r="K118" i="1"/>
  <c r="L118" i="1" s="1"/>
  <c r="AB114" i="1"/>
  <c r="H119" i="9"/>
  <c r="J113" i="1"/>
  <c r="Q110" i="1"/>
  <c r="T110" i="1" s="1"/>
  <c r="W110" i="1" s="1"/>
  <c r="AB115" i="1"/>
  <c r="AB118" i="1"/>
  <c r="Q115" i="1"/>
  <c r="I115" i="4"/>
  <c r="E175" i="8"/>
  <c r="E176" i="8" s="1"/>
  <c r="E177" i="8" s="1"/>
  <c r="Q118" i="1"/>
  <c r="U118" i="1" s="1"/>
  <c r="X118" i="1" s="1"/>
  <c r="K111" i="1"/>
  <c r="L111" i="1" s="1"/>
  <c r="H119" i="2"/>
  <c r="K119" i="2" s="1"/>
  <c r="L119" i="2" s="1"/>
  <c r="H121" i="2"/>
  <c r="I121" i="2" s="1"/>
  <c r="R112" i="1"/>
  <c r="I118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I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T116" i="1" s="1"/>
  <c r="W116" i="1" s="1"/>
  <c r="I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I119" i="1"/>
  <c r="I121" i="1"/>
  <c r="J114" i="1"/>
  <c r="I113" i="1"/>
  <c r="H116" i="8"/>
  <c r="H112" i="2"/>
  <c r="H119" i="4"/>
  <c r="H120" i="4"/>
  <c r="H113" i="4"/>
  <c r="H116" i="7"/>
  <c r="H122" i="1"/>
  <c r="E175" i="7"/>
  <c r="E176" i="7" s="1"/>
  <c r="E177" i="7" s="1"/>
  <c r="K110" i="1"/>
  <c r="L110" i="1" s="1"/>
  <c r="I110" i="1"/>
  <c r="K119" i="1"/>
  <c r="L119" i="1" s="1"/>
  <c r="K121" i="1"/>
  <c r="L121" i="1" s="1"/>
  <c r="R115" i="1"/>
  <c r="R114" i="1"/>
  <c r="I112" i="1"/>
  <c r="I120" i="1"/>
  <c r="I111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H121" i="5" l="1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J121" i="5" l="1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A191" i="1" s="1"/>
  <c r="W191" i="1" s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C182" i="1"/>
  <c r="A195" i="7" a="1"/>
  <c r="A201" i="7"/>
  <c r="A205" i="7" s="1" a="1"/>
  <c r="B182" i="1"/>
  <c r="F186" i="4"/>
  <c r="A202" i="1" l="1"/>
  <c r="C183" i="1"/>
  <c r="D192" i="1" s="1"/>
  <c r="Z192" i="1" s="1"/>
  <c r="B183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C214" i="1" l="1"/>
  <c r="A185" i="1" a="1"/>
  <c r="C187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205" i="1" a="1"/>
  <c r="A205" i="1" s="1"/>
  <c r="C217" i="1" l="1"/>
  <c r="B216" i="1"/>
  <c r="C218" i="1"/>
  <c r="A217" i="1"/>
  <c r="B217" i="1"/>
  <c r="B218" i="1"/>
  <c r="A216" i="1"/>
  <c r="C216" i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B205" i="1"/>
  <c r="C207" i="1"/>
  <c r="C205" i="1"/>
  <c r="C206" i="1"/>
  <c r="A206" i="1"/>
  <c r="A207" i="1"/>
  <c r="B207" i="1"/>
  <c r="B206" i="1"/>
  <c r="P135" i="1"/>
  <c r="W135" i="1"/>
  <c r="Q135" i="1"/>
  <c r="R135" i="1"/>
  <c r="P134" i="1"/>
  <c r="R134" i="1"/>
  <c r="Q134" i="1"/>
  <c r="W134" i="1"/>
  <c r="R140" i="1" l="1"/>
  <c r="B161" i="1" s="1"/>
  <c r="Q140" i="1"/>
  <c r="B160" i="1" s="1"/>
  <c r="P140" i="1"/>
  <c r="T140" i="1" s="1"/>
  <c r="B166" i="1" l="1"/>
  <c r="E166" i="1" s="1"/>
  <c r="AE192" i="1" s="1"/>
  <c r="B165" i="1"/>
  <c r="E165" i="1" s="1"/>
  <c r="AD191" i="1" s="1"/>
  <c r="B159" i="1"/>
  <c r="B164" i="1" s="1"/>
  <c r="E164" i="1" s="1"/>
  <c r="AD190" i="1" s="1"/>
  <c r="P143" i="1"/>
  <c r="P142" i="1"/>
  <c r="AD192" i="1" l="1"/>
  <c r="I57" i="1"/>
  <c r="I57" i="3" s="1"/>
  <c r="AB192" i="1"/>
  <c r="F187" i="1"/>
  <c r="AC192" i="1"/>
  <c r="I55" i="1"/>
  <c r="I55" i="7" s="1"/>
  <c r="F185" i="1"/>
  <c r="AE190" i="1"/>
  <c r="I56" i="1"/>
  <c r="I56" i="8" s="1"/>
  <c r="AB191" i="1"/>
  <c r="AC190" i="1"/>
  <c r="F186" i="1"/>
  <c r="AB190" i="1"/>
  <c r="AC191" i="1"/>
  <c r="AE191" i="1"/>
  <c r="Q87" i="1"/>
  <c r="R87" i="1"/>
  <c r="R90" i="1" s="1"/>
  <c r="Q90" i="1" l="1"/>
  <c r="Q85" i="1"/>
  <c r="I55" i="3"/>
  <c r="I57" i="9"/>
  <c r="I57" i="7"/>
  <c r="I57" i="5"/>
  <c r="I57" i="8"/>
  <c r="I57" i="2"/>
  <c r="I57" i="4"/>
  <c r="I57" i="6"/>
  <c r="I55" i="4"/>
  <c r="I55" i="8"/>
  <c r="I55" i="2"/>
  <c r="I55" i="6"/>
  <c r="H195" i="1" a="1"/>
  <c r="H196" i="1" s="1"/>
  <c r="I55" i="9"/>
  <c r="I55" i="5"/>
  <c r="I56" i="4"/>
  <c r="I56" i="7"/>
  <c r="I56" i="2"/>
  <c r="I56" i="3"/>
  <c r="L57" i="1"/>
  <c r="L57" i="8" s="1"/>
  <c r="I56" i="9"/>
  <c r="H205" i="1" a="1"/>
  <c r="H205" i="1" s="1"/>
  <c r="H216" i="1" a="1"/>
  <c r="S218" i="1" s="1"/>
  <c r="U218" i="1" s="1"/>
  <c r="W219" i="1" s="1"/>
  <c r="H185" i="1" a="1"/>
  <c r="H185" i="1" s="1"/>
  <c r="J185" i="1" s="1"/>
  <c r="L187" i="1" s="1"/>
  <c r="I56" i="5"/>
  <c r="I56" i="6"/>
  <c r="AB195" i="1" a="1"/>
  <c r="AD197" i="1" s="1"/>
  <c r="H198" i="1" l="1"/>
  <c r="J198" i="1" s="1"/>
  <c r="L198" i="1" s="1"/>
  <c r="H195" i="1"/>
  <c r="J195" i="1" s="1"/>
  <c r="L197" i="1" s="1"/>
  <c r="H197" i="1"/>
  <c r="J197" i="1" s="1"/>
  <c r="L196" i="1" s="1"/>
  <c r="M59" i="1"/>
  <c r="M59" i="6" s="1"/>
  <c r="L57" i="4"/>
  <c r="L57" i="3"/>
  <c r="L57" i="6"/>
  <c r="L57" i="9"/>
  <c r="L57" i="5"/>
  <c r="L57" i="7"/>
  <c r="J217" i="1"/>
  <c r="L217" i="1" s="1"/>
  <c r="J218" i="1"/>
  <c r="L219" i="1" s="1"/>
  <c r="H206" i="1"/>
  <c r="S206" i="1" s="1"/>
  <c r="U206" i="1" s="1"/>
  <c r="W205" i="1" s="1"/>
  <c r="H207" i="1"/>
  <c r="J207" i="1" s="1"/>
  <c r="L206" i="1" s="1"/>
  <c r="H216" i="1"/>
  <c r="J216" i="1" s="1"/>
  <c r="L216" i="1" s="1"/>
  <c r="H187" i="1"/>
  <c r="J187" i="1" s="1"/>
  <c r="L186" i="1" s="1"/>
  <c r="S217" i="1"/>
  <c r="U217" i="1" s="1"/>
  <c r="W217" i="1" s="1"/>
  <c r="H188" i="1"/>
  <c r="J188" i="1" s="1"/>
  <c r="L188" i="1" s="1"/>
  <c r="H186" i="1"/>
  <c r="J186" i="1" s="1"/>
  <c r="L185" i="1" s="1"/>
  <c r="AD198" i="1"/>
  <c r="AE196" i="1"/>
  <c r="AE197" i="1"/>
  <c r="AC197" i="1"/>
  <c r="AB197" i="1"/>
  <c r="AB196" i="1"/>
  <c r="AE198" i="1"/>
  <c r="AC195" i="1"/>
  <c r="AD196" i="1"/>
  <c r="AC196" i="1"/>
  <c r="AB195" i="1"/>
  <c r="AE195" i="1"/>
  <c r="AC198" i="1"/>
  <c r="AB198" i="1"/>
  <c r="AD195" i="1"/>
  <c r="S205" i="1"/>
  <c r="U205" i="1" s="1"/>
  <c r="W207" i="1" s="1"/>
  <c r="J205" i="1"/>
  <c r="L207" i="1" s="1"/>
  <c r="S196" i="1"/>
  <c r="U196" i="1" s="1"/>
  <c r="W195" i="1" s="1"/>
  <c r="J196" i="1"/>
  <c r="L195" i="1" s="1"/>
  <c r="S195" i="1" l="1"/>
  <c r="U195" i="1" s="1"/>
  <c r="W197" i="1" s="1"/>
  <c r="S198" i="1"/>
  <c r="U198" i="1" s="1"/>
  <c r="W198" i="1" s="1"/>
  <c r="S197" i="1"/>
  <c r="U197" i="1" s="1"/>
  <c r="W196" i="1" s="1"/>
  <c r="M59" i="3"/>
  <c r="M57" i="1"/>
  <c r="M57" i="4" s="1"/>
  <c r="M59" i="4"/>
  <c r="M59" i="7"/>
  <c r="M59" i="5"/>
  <c r="M59" i="8"/>
  <c r="M59" i="2"/>
  <c r="M59" i="9"/>
  <c r="J206" i="1"/>
  <c r="L205" i="1" s="1"/>
  <c r="S207" i="1"/>
  <c r="U207" i="1" s="1"/>
  <c r="W206" i="1" s="1"/>
  <c r="S216" i="1"/>
  <c r="U216" i="1" s="1"/>
  <c r="W216" i="1" s="1"/>
  <c r="AG195" i="1" a="1"/>
  <c r="AH198" i="1" s="1"/>
  <c r="Q30" i="1" l="1"/>
  <c r="M57" i="9"/>
  <c r="M57" i="6"/>
  <c r="M57" i="3"/>
  <c r="M57" i="7"/>
  <c r="M57" i="5"/>
  <c r="M57" i="8"/>
  <c r="M57" i="2"/>
  <c r="AJ198" i="1"/>
  <c r="AH196" i="1"/>
  <c r="AI196" i="1"/>
  <c r="AJ196" i="1"/>
  <c r="AH197" i="1"/>
  <c r="AJ197" i="1"/>
  <c r="AI198" i="1"/>
  <c r="AJ195" i="1"/>
  <c r="AG195" i="1"/>
  <c r="AG198" i="1"/>
  <c r="AG197" i="1"/>
  <c r="AI195" i="1"/>
  <c r="AI197" i="1"/>
  <c r="AG196" i="1"/>
  <c r="AH195" i="1"/>
  <c r="AL195" i="1" l="1" a="1"/>
  <c r="AL198" i="1" s="1"/>
  <c r="AL197" i="1" l="1"/>
  <c r="AL196" i="1"/>
  <c r="AL19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<sst xmlns="http://schemas.openxmlformats.org/spreadsheetml/2006/main" count="2470" uniqueCount="235">
  <si>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</si>
  <si>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</si>
  <si>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</si>
  <si>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</si>
  <si>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</si>
  <si>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</si>
  <si>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</si>
  <si>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</si>
  <si>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</si>
  <si>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</si>
  <si>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</si>
  <si>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</si>
  <si>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</si>
  <si>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</si>
  <si>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</si>
  <si>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</si>
  <si>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</si>
  <si>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</si>
  <si>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</si>
  <si>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</si>
  <si>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</si>
  <si>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</si>
  <si>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</si>
  <si>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</si>
  <si>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</si>
  <si>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</si>
  <si>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</si>
  <si>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</si>
  <si>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</si>
  <si>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</si>
  <si>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</si>
  <si>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</si>
  <si>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</si>
  <si>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</si>
  <si>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</si>
  <si>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</si>
  <si>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</si>
  <si>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</si>
  <si>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</si>
  <si>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</si>
  <si>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</si>
  <si>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</si>
  <si>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</si>
  <si>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</si>
  <si>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</si>
  <si>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</si>
  <si>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</si>
  <si>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</si>
  <si>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</si>
  <si>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</si>
  <si>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</si>
  <si>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</si>
  <si>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</si>
  <si>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</si>
  <si>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</si>
  <si>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</si>
  <si>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</si>
  <si>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</si>
  <si>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</si>
  <si>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</si>
  <si>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</si>
  <si>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</si>
  <si>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</si>
  <si>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</si>
  <si>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</si>
  <si>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</si>
  <si>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</si>
  <si>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</si>
  <si>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</si>
  <si>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</si>
  <si>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</si>
  <si>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</si>
  <si>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</si>
  <si>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</si>
  <si>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</si>
  <si>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</si>
  <si>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</si>
  <si>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</si>
  <si>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</si>
  <si>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</si>
  <si>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</si>
  <si>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</si>
  <si>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</si>
  <si>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</si>
  <si>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</si>
  <si>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</si>
  <si>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</si>
  <si>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</si>
  <si>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</si>
  <si>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</si>
  <si>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</si>
  <si>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</si>
  <si>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</si>
  <si>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</si>
  <si>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</si>
  <si>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</si>
  <si>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</si>
  <si>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</si>
  <si>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</si>
  <si>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</si>
  <si>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</si>
  <si>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</si>
  <si>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</si>
  <si>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</si>
  <si>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</si>
  <si>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</si>
  <si>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</si>
  <si>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</si>
  <si>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</si>
  <si>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</si>
  <si>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</si>
  <si>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</si>
  <si>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</si>
  <si>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</si>
  <si>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</si>
  <si>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</si>
  <si>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</si>
  <si>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</si>
  <si>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</si>
  <si>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</si>
  <si>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</si>
  <si>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</si>
  <si>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</si>
  <si>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</si>
  <si>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</si>
  <si>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</si>
  <si>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</si>
  <si>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</si>
  <si>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</si>
  <si>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</si>
  <si>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</si>
  <si>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</si>
  <si>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</si>
  <si>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</si>
  <si>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</si>
  <si>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</si>
  <si>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</si>
  <si>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</si>
  <si>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</si>
  <si>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</si>
  <si>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</si>
  <si>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</si>
  <si>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</si>
  <si>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</si>
  <si>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</si>
  <si>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</si>
  <si>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</si>
  <si>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</si>
  <si>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</si>
  <si>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</si>
  <si>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</si>
  <si>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</si>
  <si>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</si>
  <si>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</si>
  <si>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</si>
  <si>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</si>
  <si>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</si>
  <si>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</si>
  <si>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</si>
  <si>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</si>
  <si>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</si>
  <si>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</si>
  <si>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</si>
  <si>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</si>
  <si>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</si>
  <si>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</si>
  <si>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</si>
  <si>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</si>
  <si>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</si>
  <si>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</si>
  <si>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</si>
  <si>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</si>
  <si>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</si>
  <si>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</si>
  <si>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</si>
  <si>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</si>
  <si>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</si>
  <si>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</si>
  <si>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</si>
  <si>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</si>
  <si>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</si>
  <si>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</si>
  <si>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</si>
  <si>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</si>
  <si>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</si>
  <si>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</si>
  <si>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</si>
  <si>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</si>
  <si>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</si>
  <si>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</si>
  <si>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</si>
  <si>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</si>
  <si>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</si>
  <si>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</si>
  <si>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</si>
  <si>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</si>
  <si>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</si>
  <si>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</si>
  <si>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</si>
  <si>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</si>
  <si>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</si>
  <si>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</si>
  <si>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</si>
  <si>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</si>
  <si>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</si>
  <si>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</si>
  <si>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</si>
  <si>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</si>
  <si>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</si>
  <si>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</si>
  <si>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</si>
  <si>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</si>
  <si>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</si>
  <si>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</si>
  <si>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</si>
  <si>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</si>
  <si>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</si>
  <si>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</si>
  <si>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</si>
  <si>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</si>
  <si>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</si>
  <si>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</si>
  <si>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</si>
  <si>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</si>
  <si>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</si>
  <si>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</si>
  <si>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</si>
  <si>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</si>
  <si>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</si>
  <si>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</si>
  <si>
    <t>0.5*delta to get out of a tolerance loop</t>
  </si>
  <si>
    <t>Consider Bolt Hole?</t>
  </si>
  <si>
    <t>Stress Block</t>
  </si>
  <si>
    <t>Linear</t>
  </si>
  <si>
    <t>Hole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</si>
</sst>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9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left"/>
    </xf>
    <xf numFmtId="165" fontId="0" fillId="0" borderId="4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5.525 ksi
Design Status: OK
SOLUTION IF STRAIN IGNORED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BB51D3-F357-44C5-BE12-98D30E6C16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62AB84-156D-4A55-9D65-F75E3A51FC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5024DC-63E4-408C-A860-AD6FFE9221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6F4B48-4A5D-4B90-B496-9CC01D05D3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12.5</c:v>
                </c:pt>
                <c:pt idx="2">
                  <c:v>1.5</c:v>
                </c:pt>
                <c:pt idx="3">
                  <c:v>12.5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12.5</c:v>
                </c:pt>
                <c:pt idx="3">
                  <c:v>12.5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188.2392 kips</c:v>
                  </c:pt>
                  <c:pt idx="1">
                    <c:v>
167.6051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Analysis'!$Q$25</c:f>
              <c:strCache>
                <c:ptCount val="1"/>
                <c:pt idx="0">
                  <c:v>P: 10 kips
Mx: -3253 kip-in
My: 122 kip-in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strRef>
              <c:f>'Rigid Bearing Plate Analysis'!$W$81</c:f>
              <c:strCache>
                <c:ptCount val="1"/>
                <c:pt idx="0">
                  <c:v>Neutral Axis
y= -7.197E-03 x + 2.233E+00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-1.0846558473609953</c:v>
                </c:pt>
                <c:pt idx="1">
                  <c:v>15.015318931004501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2.2408114181739345</c:v>
                </c:pt>
                <c:pt idx="1">
                  <c:v>2.1249411734900283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
(0.02,3.061)
455.0996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7.0198942681325249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10.060827870735869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 Brg Center
(0.004,0.623)
-80.7377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7.0044818538451805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7.6227460213325617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1.5000000000000009</c:v>
                </c:pt>
                <c:pt idx="1">
                  <c:v>12.499999999999998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1.5000000000000018</c:v>
                </c:pt>
                <c:pt idx="1">
                  <c:v>1.5000000000000009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72DE3A-194C-4F71-BBAA-D32AB55940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C07222-B2D0-43AB-AB86-4FD5DAC91F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4247EE-31AA-4D8F-90AE-5BAFB9EDF1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13.999999999999998</c:v>
                </c:pt>
                <c:pt idx="2">
                  <c:v>14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2.1322483435065784</c:v>
                </c:pt>
                <c:pt idx="2">
                  <c:v>14</c:v>
                </c:pt>
                <c:pt idx="3">
                  <c:v>14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1">
                    <c:v>0 ksi</c:v>
                  </c:pt>
                  <c:pt idx="2">
                    <c:v>5.525 ksi</c:v>
                  </c:pt>
                  <c:pt idx="3">
                    <c:v>5.4781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29069D-1A62-4E0D-BE45-BAE1F2AFEE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2.2330052358561563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3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E0C0115-B847-44DB-B3BD-DDD0CD74BC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AA-44B0-BC48-A52CD2474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BB6611-CCD0-4295-B7ED-078EBBA077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AA-44B0-BC48-A52CD2474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2F9B2C-EDFC-41D7-A9B1-B548D8AE9C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AA-44B0-BC48-A52CD2474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AD7467-1390-4BCE-A193-78DA0B24E4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AA-44B0-BC48-A52CD2474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342697-C527-4A29-B51D-4CF408B5CF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AA-44B0-BC48-A52CD2474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2F5CB7-FAB8-4957-BC30-88E7138E37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AA-44B0-BC48-A52CD2474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79A867-1F9B-42BB-A70A-10B85742DE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AA-44B0-BC48-A52CD2474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A06D21-F5FA-4467-97CA-2CF2BDD3F1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AA-44B0-BC48-A52CD2474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4.0000000000000009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4.0000000000000009</c:v>
                </c:pt>
                <c:pt idx="5">
                  <c:v>4.0000000000000009</c:v>
                </c:pt>
                <c:pt idx="6">
                  <c:v>4.0000000000000009</c:v>
                </c:pt>
                <c:pt idx="7">
                  <c:v>4.0000000000000009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4.0000000000000009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  <c:pt idx="0">
                    <c:v>
-0.836 ksi</c:v>
                  </c:pt>
                  <c:pt idx="1">
                    <c:v>
-3.6293 ksi</c:v>
                  </c:pt>
                  <c:pt idx="2">
                    <c:v>
-3.6494 ksi</c:v>
                  </c:pt>
                  <c:pt idx="3">
                    <c:v>
-0.8561 ksi</c:v>
                  </c:pt>
                  <c:pt idx="4">
                    <c:v>
-0.836 ksi</c:v>
                  </c:pt>
                  <c:pt idx="5">
                    <c:v>
-0.836 ksi</c:v>
                  </c:pt>
                  <c:pt idx="6">
                    <c:v>
-0.836 ksi</c:v>
                  </c:pt>
                  <c:pt idx="7">
                    <c:v>
-0.836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0328259726272888"/>
          <c:y val="0.12507225062831639"/>
          <c:w val="0.19671740273727115"/>
          <c:h val="0.85093998484384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12.5</c:v>
                </c:pt>
                <c:pt idx="2">
                  <c:v>1.5</c:v>
                </c:pt>
                <c:pt idx="3">
                  <c:v>12.5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12.5</c:v>
                </c:pt>
                <c:pt idx="3">
                  <c:v>12.5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931B75C5-47CD-4EF8-9413-557EDE0C26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5.525 ksi
Design Status: OK
SOLUTION IF STRAIN IGNORED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-1.0846558473609953</c:v>
                </c:pt>
                <c:pt idx="1">
                  <c:v>15.015318931004501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2.2408114181739345</c:v>
                </c:pt>
                <c:pt idx="1">
                  <c:v>2.1249411734900283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
(0.02,3.061)
455.0996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7.0198942681325249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10.060827870735869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 Brg Center
(0.004,0.623)
-80.7377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7.0044818538451805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7.6227460213325617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1.5000000000000009</c:v>
                </c:pt>
                <c:pt idx="1">
                  <c:v>12.499999999999998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1.5000000000000018</c:v>
                </c:pt>
                <c:pt idx="1">
                  <c:v>1.5000000000000009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-6.9494415806636027</c:v>
                </c:pt>
                <c:pt idx="1">
                  <c:v>7.0501958637291597</c:v>
                </c:pt>
                <c:pt idx="2">
                  <c:v>6.9494415806636027</c:v>
                </c:pt>
                <c:pt idx="3">
                  <c:v>-7.0501958637291597</c:v>
                </c:pt>
                <c:pt idx="4">
                  <c:v>-6.9494415806636027</c:v>
                </c:pt>
                <c:pt idx="5">
                  <c:v>-6.9494415806636027</c:v>
                </c:pt>
                <c:pt idx="6">
                  <c:v>-6.9494415806636027</c:v>
                </c:pt>
                <c:pt idx="7">
                  <c:v>-6.9494415806636027</c:v>
                </c:pt>
                <c:pt idx="8">
                  <c:v>-6.9494415806636027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-7.0501958637291597</c:v>
                </c:pt>
                <c:pt idx="1">
                  <c:v>-6.9494415806636027</c:v>
                </c:pt>
                <c:pt idx="2">
                  <c:v>7.0501958637291597</c:v>
                </c:pt>
                <c:pt idx="3">
                  <c:v>6.9494415806636027</c:v>
                </c:pt>
                <c:pt idx="4">
                  <c:v>-7.0501958637291597</c:v>
                </c:pt>
                <c:pt idx="5">
                  <c:v>-7.0501958637291597</c:v>
                </c:pt>
                <c:pt idx="6">
                  <c:v>-7.0501958637291597</c:v>
                </c:pt>
                <c:pt idx="7">
                  <c:v>-7.0501958637291597</c:v>
                </c:pt>
                <c:pt idx="8">
                  <c:v>-7.0501958637291597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-5.4602755276642592</c:v>
                </c:pt>
                <c:pt idx="1">
                  <c:v>5.5394396072157681</c:v>
                </c:pt>
                <c:pt idx="2">
                  <c:v>-5.5394396072157681</c:v>
                </c:pt>
                <c:pt idx="3">
                  <c:v>5.4602755276642592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-5.5394396072157681</c:v>
                </c:pt>
                <c:pt idx="1">
                  <c:v>-5.4602755276642592</c:v>
                </c:pt>
                <c:pt idx="2">
                  <c:v>5.4602755276642592</c:v>
                </c:pt>
                <c:pt idx="3">
                  <c:v>5.5394396072157681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-8.0501958637291597</c:v>
                </c:pt>
                <c:pt idx="1">
                  <c:v>8.0501958637291597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-4.8172484556279507</c:v>
                </c:pt>
                <c:pt idx="1">
                  <c:v>-4.8172484556279507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7.0348506385028928</c:v>
                </c:pt>
                <c:pt idx="2">
                  <c:v>6.9494415806636027</c:v>
                </c:pt>
                <c:pt idx="3">
                  <c:v>-7.0501958637291597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-4.8172484556279507</c:v>
                </c:pt>
                <c:pt idx="2">
                  <c:v>7.0501958637291597</c:v>
                </c:pt>
                <c:pt idx="3">
                  <c:v>6.9494415806636027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6.9494415806636027</c:v>
                </c:pt>
                <c:pt idx="2">
                  <c:v>-7.0501958637291597</c:v>
                </c:pt>
                <c:pt idx="3">
                  <c:v>-6.965511926493626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7.0501958637291597</c:v>
                </c:pt>
                <c:pt idx="2">
                  <c:v>6.9494415806636027</c:v>
                </c:pt>
                <c:pt idx="3">
                  <c:v>-4.8172484556279507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-2.1342126161562665E-3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3.060891778765547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-8.0501958637291597</c:v>
                </c:pt>
                <c:pt idx="1">
                  <c:v>8.0501958637291597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-8.0501958637291597</c:v>
                </c:pt>
                <c:pt idx="1">
                  <c:v>8.0501958637291597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-2.9783321059986867</c:v>
                </c:pt>
                <c:pt idx="1">
                  <c:v>-3.0215125130267828</c:v>
                </c:pt>
                <c:pt idx="2">
                  <c:v>2.9783321059986867</c:v>
                </c:pt>
                <c:pt idx="3">
                  <c:v>3.0215125130267828</c:v>
                </c:pt>
                <c:pt idx="4">
                  <c:v>-2.9783321059986867</c:v>
                </c:pt>
                <c:pt idx="5">
                  <c:v>-2.9783321059986867</c:v>
                </c:pt>
                <c:pt idx="6">
                  <c:v>-2.9783321059986867</c:v>
                </c:pt>
                <c:pt idx="7">
                  <c:v>-2.9783321059986867</c:v>
                </c:pt>
                <c:pt idx="8">
                  <c:v>-2.9783321059986867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-3.0215125130267828</c:v>
                </c:pt>
                <c:pt idx="1">
                  <c:v>2.9783321059986867</c:v>
                </c:pt>
                <c:pt idx="2">
                  <c:v>3.0215125130267828</c:v>
                </c:pt>
                <c:pt idx="3">
                  <c:v>-2.9783321059986867</c:v>
                </c:pt>
                <c:pt idx="4">
                  <c:v>-3.0215125130267828</c:v>
                </c:pt>
                <c:pt idx="5">
                  <c:v>-3.0215125130267828</c:v>
                </c:pt>
                <c:pt idx="6">
                  <c:v>-3.0215125130267828</c:v>
                </c:pt>
                <c:pt idx="7">
                  <c:v>-3.0215125130267828</c:v>
                </c:pt>
                <c:pt idx="8">
                  <c:v>-3.0215125130267828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-2.9783321059986867</c:v>
                </c:pt>
                <c:pt idx="1">
                  <c:v>-3.0215125130267828</c:v>
                </c:pt>
                <c:pt idx="2">
                  <c:v>2.9783321059986867</c:v>
                </c:pt>
                <c:pt idx="3">
                  <c:v>3.0215125130267828</c:v>
                </c:pt>
                <c:pt idx="4">
                  <c:v>-2.9783321059986867</c:v>
                </c:pt>
                <c:pt idx="5">
                  <c:v>-2.9783321059986867</c:v>
                </c:pt>
                <c:pt idx="6">
                  <c:v>-2.9783321059986867</c:v>
                </c:pt>
                <c:pt idx="7">
                  <c:v>-2.9783321059986867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-3.0215125130267828</c:v>
                </c:pt>
                <c:pt idx="1">
                  <c:v>2.9783321059986867</c:v>
                </c:pt>
                <c:pt idx="2">
                  <c:v>3.0215125130267828</c:v>
                </c:pt>
                <c:pt idx="3">
                  <c:v>-2.9783321059986867</c:v>
                </c:pt>
                <c:pt idx="4">
                  <c:v>-3.0215125130267828</c:v>
                </c:pt>
                <c:pt idx="5">
                  <c:v>-3.0215125130267828</c:v>
                </c:pt>
                <c:pt idx="6">
                  <c:v>-3.0215125130267828</c:v>
                </c:pt>
                <c:pt idx="7">
                  <c:v>-3.0215125130267828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-3.0215125130267828</c:v>
                </c:pt>
                <c:pt idx="1">
                  <c:v>2.9783321059986867</c:v>
                </c:pt>
                <c:pt idx="2">
                  <c:v>3.0215125130267828</c:v>
                </c:pt>
                <c:pt idx="3">
                  <c:v>-2.9783321059986867</c:v>
                </c:pt>
                <c:pt idx="4">
                  <c:v>-2.9783321059986867</c:v>
                </c:pt>
                <c:pt idx="5">
                  <c:v>-2.9783321059986867</c:v>
                </c:pt>
                <c:pt idx="6">
                  <c:v>-2.9783321059986867</c:v>
                </c:pt>
                <c:pt idx="7">
                  <c:v>-2.9783321059986867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2.9783321059986867</c:v>
                </c:pt>
                <c:pt idx="1">
                  <c:v>3.0215125130267828</c:v>
                </c:pt>
                <c:pt idx="2">
                  <c:v>-2.9783321059986867</c:v>
                </c:pt>
                <c:pt idx="3">
                  <c:v>-3.0215125130267828</c:v>
                </c:pt>
                <c:pt idx="4">
                  <c:v>-3.0215125130267828</c:v>
                </c:pt>
                <c:pt idx="5">
                  <c:v>-3.0215125130267828</c:v>
                </c:pt>
                <c:pt idx="6">
                  <c:v>-3.0215125130267828</c:v>
                </c:pt>
                <c:pt idx="7">
                  <c:v>-3.0215125130267828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4.3573413142526191E-17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0.62276214889749437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-5.4602755276642592</c:v>
                </c:pt>
                <c:pt idx="1">
                  <c:v>5.5394396072157681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-5.5394396072157681</c:v>
                </c:pt>
                <c:pt idx="1">
                  <c:v>-5.4602755276642592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6.951604938271605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6.951604938271605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-2.9478899983400604</c:v>
                </c:pt>
                <c:pt idx="1">
                  <c:v>16.851099874883271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16.851099874883268</c:v>
                </c:pt>
                <c:pt idx="1">
                  <c:v>-2.9478899983400586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16.851099874883271</c:v>
                </c:pt>
                <c:pt idx="1">
                  <c:v>-16.851099874883271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16.851099874883271</c:v>
                </c:pt>
                <c:pt idx="1">
                  <c:v>-16.851099874883271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704850</xdr:colOff>
          <xdr:row>9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Point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 Centroid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E3" sqref="E3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207</v>
      </c>
    </row>
    <row r="4" spans="1:1" x14ac:dyDescent="0.25">
      <c r="A4" t="s">
        <v>208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T26"/>
  <sheetViews>
    <sheetView topLeftCell="A4" workbookViewId="0">
      <selection activeCell="A30" sqref="A30"/>
    </sheetView>
  </sheetViews>
  <sheetFormatPr defaultRowHeight="15" x14ac:dyDescent="0.25"/>
  <sheetData>
    <row r="8" spans="1:15" x14ac:dyDescent="0.25">
      <c r="A8" s="44" t="s">
        <v>209</v>
      </c>
      <c r="H8" t="s">
        <v>133</v>
      </c>
      <c r="I8" t="s">
        <v>199</v>
      </c>
    </row>
    <row r="9" spans="1:15" x14ac:dyDescent="0.25">
      <c r="A9" t="s">
        <v>76</v>
      </c>
      <c r="B9" s="2">
        <v>14</v>
      </c>
      <c r="C9" t="s">
        <v>22</v>
      </c>
      <c r="H9" t="s">
        <v>76</v>
      </c>
      <c r="I9" s="2">
        <v>4</v>
      </c>
      <c r="J9" t="s">
        <v>22</v>
      </c>
    </row>
    <row r="10" spans="1:15" x14ac:dyDescent="0.25">
      <c r="A10" t="s">
        <v>210</v>
      </c>
      <c r="B10" s="2">
        <v>24</v>
      </c>
      <c r="C10" t="s">
        <v>22</v>
      </c>
      <c r="H10" t="s">
        <v>210</v>
      </c>
      <c r="I10" s="2">
        <v>4</v>
      </c>
      <c r="J10" t="s">
        <v>22</v>
      </c>
    </row>
    <row r="12" spans="1:15" x14ac:dyDescent="0.25">
      <c r="A12" t="s">
        <v>0</v>
      </c>
      <c r="B12" t="s">
        <v>200</v>
      </c>
      <c r="H12" t="s">
        <v>234</v>
      </c>
    </row>
    <row r="13" spans="1:15" ht="15.75" thickBot="1" x14ac:dyDescent="0.3">
      <c r="A13" s="1" t="s">
        <v>3</v>
      </c>
      <c r="B13" s="1" t="s">
        <v>6</v>
      </c>
      <c r="C13" s="1" t="s">
        <v>7</v>
      </c>
      <c r="H13" s="2">
        <v>3</v>
      </c>
      <c r="I13" s="2">
        <v>4</v>
      </c>
    </row>
    <row r="14" spans="1:15" x14ac:dyDescent="0.25">
      <c r="A14">
        <v>1</v>
      </c>
      <c r="B14" s="71">
        <v>0</v>
      </c>
      <c r="C14" s="72">
        <v>0</v>
      </c>
    </row>
    <row r="15" spans="1:15" x14ac:dyDescent="0.25">
      <c r="A15">
        <v>2</v>
      </c>
      <c r="B15" s="73">
        <f>B9</f>
        <v>14</v>
      </c>
      <c r="C15" s="74">
        <v>0</v>
      </c>
    </row>
    <row r="16" spans="1:15" ht="15.75" thickBot="1" x14ac:dyDescent="0.3">
      <c r="A16">
        <v>3</v>
      </c>
      <c r="B16" s="73">
        <f>B15</f>
        <v>14</v>
      </c>
      <c r="C16" s="74">
        <f>B10</f>
        <v>24</v>
      </c>
      <c r="H16" t="s">
        <v>3</v>
      </c>
      <c r="I16" s="1" t="s">
        <v>6</v>
      </c>
      <c r="J16" s="1" t="s">
        <v>7</v>
      </c>
      <c r="N16" s="1" t="s">
        <v>181</v>
      </c>
      <c r="O16" s="1" t="s">
        <v>179</v>
      </c>
    </row>
    <row r="17" spans="1:20" x14ac:dyDescent="0.25">
      <c r="A17">
        <v>4</v>
      </c>
      <c r="B17" s="73">
        <f>B14</f>
        <v>0</v>
      </c>
      <c r="C17" s="74">
        <f>C16</f>
        <v>24</v>
      </c>
      <c r="H17">
        <v>1</v>
      </c>
      <c r="I17" s="2">
        <v>0</v>
      </c>
      <c r="J17" s="2">
        <v>0</v>
      </c>
      <c r="N17" s="8">
        <f>H13-L26</f>
        <v>1</v>
      </c>
      <c r="O17" s="8">
        <f>I13-M26</f>
        <v>2</v>
      </c>
      <c r="P17" s="36">
        <f t="shared" ref="P17:P25" si="0">I17+$N$17</f>
        <v>1</v>
      </c>
      <c r="Q17" s="49">
        <f t="shared" ref="Q17:Q25" si="1">J17+$O$17</f>
        <v>2</v>
      </c>
    </row>
    <row r="18" spans="1:20" x14ac:dyDescent="0.25">
      <c r="A18">
        <v>5</v>
      </c>
      <c r="B18" s="73">
        <v>0</v>
      </c>
      <c r="C18" s="74">
        <v>0</v>
      </c>
      <c r="H18">
        <v>2</v>
      </c>
      <c r="I18" s="2">
        <v>0</v>
      </c>
      <c r="J18" s="2">
        <f>I10</f>
        <v>4</v>
      </c>
      <c r="K18" s="5">
        <f>((I17*J18)-(I18*J17))*0.5</f>
        <v>0</v>
      </c>
      <c r="L18" s="5">
        <f>(I18+I17)*((I17*J18)-(I18*J17))*(1/6)</f>
        <v>0</v>
      </c>
      <c r="M18" s="5">
        <f>(J18+J17)*((I17*J18)-(I18*J17))*(1/6)</f>
        <v>0</v>
      </c>
      <c r="P18" s="38">
        <f t="shared" si="0"/>
        <v>1</v>
      </c>
      <c r="Q18" s="51">
        <f t="shared" si="1"/>
        <v>6</v>
      </c>
      <c r="R18" s="5">
        <f>((P17*Q18)-(P18*Q17))*0.5</f>
        <v>2</v>
      </c>
      <c r="S18" s="5">
        <f>(P18+P17)*((P17*Q18)-(P18*Q17))*(1/6)</f>
        <v>1.3333333333333333</v>
      </c>
      <c r="T18" s="5">
        <f>(Q18+Q17)*((P17*Q18)-(P18*Q17))*(1/6)</f>
        <v>5.333333333333333</v>
      </c>
    </row>
    <row r="19" spans="1:20" x14ac:dyDescent="0.25">
      <c r="A19">
        <v>6</v>
      </c>
      <c r="B19" s="73">
        <v>0</v>
      </c>
      <c r="C19" s="74">
        <v>0</v>
      </c>
      <c r="H19">
        <v>3</v>
      </c>
      <c r="I19" s="2">
        <f>I9</f>
        <v>4</v>
      </c>
      <c r="J19" s="2">
        <f>J18</f>
        <v>4</v>
      </c>
      <c r="K19" s="5">
        <f t="shared" ref="K19:K25" si="2">((I18*J19)-(I19*J18))*0.5</f>
        <v>-8</v>
      </c>
      <c r="L19" s="5">
        <f t="shared" ref="L19:L25" si="3">(I19+I18)*((I18*J19)-(I19*J18))*(1/6)</f>
        <v>-10.666666666666666</v>
      </c>
      <c r="M19" s="5">
        <f t="shared" ref="M19:M25" si="4">(J19+J18)*((I18*J19)-(I19*J18))*(1/6)</f>
        <v>-21.333333333333332</v>
      </c>
      <c r="P19" s="38">
        <f t="shared" si="0"/>
        <v>5</v>
      </c>
      <c r="Q19" s="51">
        <f t="shared" si="1"/>
        <v>6</v>
      </c>
      <c r="R19" s="5">
        <f t="shared" ref="R19:R25" si="5">((P18*Q19)-(P19*Q18))*0.5</f>
        <v>-12</v>
      </c>
      <c r="S19" s="5">
        <f t="shared" ref="S19:S25" si="6">(P19+P18)*((P18*Q19)-(P19*Q18))*(1/6)</f>
        <v>-24</v>
      </c>
      <c r="T19" s="5">
        <f t="shared" ref="T19:T25" si="7">(Q19+Q18)*((P18*Q19)-(P19*Q18))*(1/6)</f>
        <v>-48</v>
      </c>
    </row>
    <row r="20" spans="1:20" x14ac:dyDescent="0.25">
      <c r="A20">
        <v>7</v>
      </c>
      <c r="B20" s="73">
        <v>0</v>
      </c>
      <c r="C20" s="74">
        <v>0</v>
      </c>
      <c r="H20">
        <v>4</v>
      </c>
      <c r="I20" s="2">
        <f>I19</f>
        <v>4</v>
      </c>
      <c r="J20" s="2">
        <v>0</v>
      </c>
      <c r="K20" s="5">
        <f t="shared" si="2"/>
        <v>-8</v>
      </c>
      <c r="L20" s="5">
        <f t="shared" si="3"/>
        <v>-21.333333333333332</v>
      </c>
      <c r="M20" s="5">
        <f t="shared" si="4"/>
        <v>-10.666666666666666</v>
      </c>
      <c r="P20" s="38">
        <f t="shared" si="0"/>
        <v>5</v>
      </c>
      <c r="Q20" s="51">
        <f t="shared" si="1"/>
        <v>2</v>
      </c>
      <c r="R20" s="5">
        <f t="shared" si="5"/>
        <v>-10</v>
      </c>
      <c r="S20" s="5">
        <f t="shared" si="6"/>
        <v>-33.333333333333329</v>
      </c>
      <c r="T20" s="5">
        <f t="shared" si="7"/>
        <v>-26.666666666666664</v>
      </c>
    </row>
    <row r="21" spans="1:20" x14ac:dyDescent="0.25">
      <c r="A21">
        <v>8</v>
      </c>
      <c r="B21" s="73">
        <v>0</v>
      </c>
      <c r="C21" s="74">
        <v>0</v>
      </c>
      <c r="H21">
        <v>5</v>
      </c>
      <c r="I21" s="2">
        <v>0</v>
      </c>
      <c r="J21" s="2">
        <v>0</v>
      </c>
      <c r="K21" s="5">
        <f t="shared" si="2"/>
        <v>0</v>
      </c>
      <c r="L21" s="5">
        <f t="shared" si="3"/>
        <v>0</v>
      </c>
      <c r="M21" s="5">
        <f t="shared" si="4"/>
        <v>0</v>
      </c>
      <c r="P21" s="38">
        <f t="shared" si="0"/>
        <v>1</v>
      </c>
      <c r="Q21" s="51">
        <f t="shared" si="1"/>
        <v>2</v>
      </c>
      <c r="R21" s="5">
        <f t="shared" si="5"/>
        <v>4</v>
      </c>
      <c r="S21" s="5">
        <f t="shared" si="6"/>
        <v>8</v>
      </c>
      <c r="T21" s="5">
        <f t="shared" si="7"/>
        <v>5.333333333333333</v>
      </c>
    </row>
    <row r="22" spans="1:20" ht="15.75" thickBot="1" x14ac:dyDescent="0.3">
      <c r="A22">
        <v>9</v>
      </c>
      <c r="B22" s="75">
        <v>0</v>
      </c>
      <c r="C22" s="76">
        <v>0</v>
      </c>
      <c r="H22">
        <v>6</v>
      </c>
      <c r="I22" s="2">
        <v>0</v>
      </c>
      <c r="J22" s="2">
        <v>0</v>
      </c>
      <c r="K22" s="5">
        <f t="shared" si="2"/>
        <v>0</v>
      </c>
      <c r="L22" s="5">
        <f t="shared" si="3"/>
        <v>0</v>
      </c>
      <c r="M22" s="5">
        <f t="shared" si="4"/>
        <v>0</v>
      </c>
      <c r="P22" s="38">
        <f t="shared" si="0"/>
        <v>1</v>
      </c>
      <c r="Q22" s="51">
        <f t="shared" si="1"/>
        <v>2</v>
      </c>
      <c r="R22" s="5">
        <f t="shared" si="5"/>
        <v>0</v>
      </c>
      <c r="S22" s="5">
        <f t="shared" si="6"/>
        <v>0</v>
      </c>
      <c r="T22" s="5">
        <f t="shared" si="7"/>
        <v>0</v>
      </c>
    </row>
    <row r="23" spans="1:20" x14ac:dyDescent="0.25">
      <c r="H23">
        <v>7</v>
      </c>
      <c r="I23" s="2">
        <v>0</v>
      </c>
      <c r="J23" s="2">
        <v>0</v>
      </c>
      <c r="K23" s="5">
        <f t="shared" si="2"/>
        <v>0</v>
      </c>
      <c r="L23" s="5">
        <f t="shared" si="3"/>
        <v>0</v>
      </c>
      <c r="M23" s="5">
        <f t="shared" si="4"/>
        <v>0</v>
      </c>
      <c r="P23" s="38">
        <f t="shared" si="0"/>
        <v>1</v>
      </c>
      <c r="Q23" s="51">
        <f t="shared" si="1"/>
        <v>2</v>
      </c>
      <c r="R23" s="5">
        <f t="shared" si="5"/>
        <v>0</v>
      </c>
      <c r="S23" s="5">
        <f t="shared" si="6"/>
        <v>0</v>
      </c>
      <c r="T23" s="5">
        <f t="shared" si="7"/>
        <v>0</v>
      </c>
    </row>
    <row r="24" spans="1:20" x14ac:dyDescent="0.25">
      <c r="H24">
        <v>8</v>
      </c>
      <c r="I24" s="2">
        <v>0</v>
      </c>
      <c r="J24" s="2">
        <v>0</v>
      </c>
      <c r="K24" s="5">
        <f t="shared" si="2"/>
        <v>0</v>
      </c>
      <c r="L24" s="5">
        <f t="shared" si="3"/>
        <v>0</v>
      </c>
      <c r="M24" s="5">
        <f t="shared" si="4"/>
        <v>0</v>
      </c>
      <c r="P24" s="38">
        <f t="shared" si="0"/>
        <v>1</v>
      </c>
      <c r="Q24" s="51">
        <f t="shared" si="1"/>
        <v>2</v>
      </c>
      <c r="R24" s="5">
        <f t="shared" si="5"/>
        <v>0</v>
      </c>
      <c r="S24" s="5">
        <f t="shared" si="6"/>
        <v>0</v>
      </c>
      <c r="T24" s="5">
        <f t="shared" si="7"/>
        <v>0</v>
      </c>
    </row>
    <row r="25" spans="1:20" ht="15.75" thickBot="1" x14ac:dyDescent="0.3">
      <c r="H25">
        <v>9</v>
      </c>
      <c r="I25" s="1">
        <f>I17</f>
        <v>0</v>
      </c>
      <c r="J25" s="1">
        <f>J17</f>
        <v>0</v>
      </c>
      <c r="K25" s="5">
        <f t="shared" si="2"/>
        <v>0</v>
      </c>
      <c r="L25" s="5">
        <f t="shared" si="3"/>
        <v>0</v>
      </c>
      <c r="M25" s="5">
        <f t="shared" si="4"/>
        <v>0</v>
      </c>
      <c r="P25" s="41">
        <f t="shared" si="0"/>
        <v>1</v>
      </c>
      <c r="Q25" s="53">
        <f t="shared" si="1"/>
        <v>2</v>
      </c>
      <c r="R25" s="5">
        <f t="shared" si="5"/>
        <v>0</v>
      </c>
      <c r="S25" s="5">
        <f t="shared" si="6"/>
        <v>0</v>
      </c>
      <c r="T25" s="5">
        <f t="shared" si="7"/>
        <v>0</v>
      </c>
    </row>
    <row r="26" spans="1:20" x14ac:dyDescent="0.25">
      <c r="K26" s="5">
        <f>SUM(K17:K25)</f>
        <v>-16</v>
      </c>
      <c r="L26" s="3">
        <f>SUM(L18:L25)/K26</f>
        <v>2</v>
      </c>
      <c r="M26" s="3">
        <f>SUM(M18:M25)/K26</f>
        <v>2</v>
      </c>
      <c r="R26" s="5">
        <f>SUM(R17:R25)</f>
        <v>-16</v>
      </c>
      <c r="S26" s="3">
        <f>SUM(S18:S25)/R26</f>
        <v>3</v>
      </c>
      <c r="T26" s="3">
        <f>SUM(T18:T25)/R26</f>
        <v>3.9999999999999996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V219"/>
  <sheetViews>
    <sheetView tabSelected="1" topLeftCell="A25" zoomScale="85" zoomScaleNormal="85" workbookViewId="0">
      <selection activeCell="E60" sqref="E60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2.8554687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19" max="19" width="12.855468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201</v>
      </c>
    </row>
    <row r="2" spans="1:40" x14ac:dyDescent="0.25">
      <c r="A2" s="10" t="s">
        <v>78</v>
      </c>
      <c r="B2" s="7">
        <v>10</v>
      </c>
      <c r="C2" t="s">
        <v>36</v>
      </c>
      <c r="D2" t="s">
        <v>103</v>
      </c>
      <c r="G2" s="1" t="s">
        <v>202</v>
      </c>
      <c r="H2" s="10" t="s">
        <v>183</v>
      </c>
      <c r="I2">
        <f>B2/D22</f>
        <v>5.1020408163265307E-2</v>
      </c>
      <c r="J2" t="s">
        <v>11</v>
      </c>
      <c r="N2" t="s">
        <v>185</v>
      </c>
      <c r="V2" s="10" t="s">
        <v>225</v>
      </c>
      <c r="W2" s="2">
        <v>5</v>
      </c>
      <c r="X2" s="10" t="s">
        <v>22</v>
      </c>
    </row>
    <row r="3" spans="1:40" x14ac:dyDescent="0.25">
      <c r="A3" s="10" t="s">
        <v>79</v>
      </c>
      <c r="B3" s="7">
        <v>-3253</v>
      </c>
      <c r="C3" t="s">
        <v>102</v>
      </c>
      <c r="D3" t="str">
        <f>"- Mx puts compression on +y"</f>
        <v>- Mx puts compression on +y</v>
      </c>
      <c r="G3" s="4">
        <f>B3/12</f>
        <v>-271.08333333333331</v>
      </c>
      <c r="H3" s="10" t="s">
        <v>174</v>
      </c>
      <c r="I3" s="3">
        <f>B9-E22</f>
        <v>0</v>
      </c>
      <c r="J3" t="s">
        <v>22</v>
      </c>
      <c r="K3" t="s">
        <v>176</v>
      </c>
      <c r="L3" s="4">
        <f>B2*I3</f>
        <v>0</v>
      </c>
      <c r="M3" t="str">
        <f>"+My"</f>
        <v>+My</v>
      </c>
      <c r="N3" s="4">
        <f>L3+B4</f>
        <v>122</v>
      </c>
      <c r="O3" t="s">
        <v>102</v>
      </c>
      <c r="V3" s="10" t="s">
        <v>224</v>
      </c>
      <c r="W3" s="2">
        <v>5</v>
      </c>
      <c r="X3" s="10" t="s">
        <v>22</v>
      </c>
    </row>
    <row r="4" spans="1:40" x14ac:dyDescent="0.25">
      <c r="A4" s="10" t="s">
        <v>80</v>
      </c>
      <c r="B4" s="7">
        <v>122</v>
      </c>
      <c r="C4" t="s">
        <v>102</v>
      </c>
      <c r="D4" t="str">
        <f>"- My puts compression on -x"</f>
        <v>- My puts compression on -x</v>
      </c>
      <c r="G4" s="4">
        <f>B4/12</f>
        <v>10.166666666666666</v>
      </c>
      <c r="H4" s="10" t="s">
        <v>175</v>
      </c>
      <c r="I4" s="3">
        <f>C9-F22</f>
        <v>0</v>
      </c>
      <c r="J4" t="s">
        <v>22</v>
      </c>
      <c r="K4" t="s">
        <v>177</v>
      </c>
      <c r="L4" s="4">
        <f>B2*I4*-1</f>
        <v>0</v>
      </c>
      <c r="M4" t="str">
        <f>"+Mx"</f>
        <v>+Mx</v>
      </c>
      <c r="N4" s="4">
        <f>B3+L4</f>
        <v>-3253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3.1041063796879369</v>
      </c>
      <c r="C5" t="s">
        <v>19</v>
      </c>
      <c r="M5" s="10" t="s">
        <v>104</v>
      </c>
      <c r="N5" s="20">
        <f>IF(AND(N4=0,N3=0),0,ATAN2(N4,N3))</f>
        <v>3.1041063796879369</v>
      </c>
      <c r="O5" t="s">
        <v>19</v>
      </c>
      <c r="P5" t="s">
        <v>184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  <c r="S8" s="8"/>
    </row>
    <row r="9" spans="1:40" x14ac:dyDescent="0.25">
      <c r="B9" s="2">
        <v>7</v>
      </c>
      <c r="C9" s="2">
        <v>7</v>
      </c>
      <c r="D9" t="s">
        <v>21</v>
      </c>
    </row>
    <row r="11" spans="1:40" x14ac:dyDescent="0.25">
      <c r="A11" t="s">
        <v>0</v>
      </c>
      <c r="B11" t="s">
        <v>200</v>
      </c>
      <c r="E11" s="59" t="str">
        <f>IF(D22&lt;0,"Plate Coordinates entered in the wrong order","")</f>
        <v/>
      </c>
      <c r="N11" t="s">
        <v>173</v>
      </c>
      <c r="AD11" t="s">
        <v>178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179</v>
      </c>
      <c r="AE12" s="18"/>
      <c r="AG12" s="18" t="s">
        <v>180</v>
      </c>
      <c r="AH12" s="18" t="s">
        <v>181</v>
      </c>
      <c r="AK12" s="18" t="s">
        <v>182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G22-(D22*F22*F22)</f>
        <v>3201.3333333333339</v>
      </c>
      <c r="O13" s="19">
        <f>H22-(D22*E22*E22)</f>
        <v>3201.3333333333339</v>
      </c>
      <c r="P13" s="19">
        <f>I22-(D22*E22*F22)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N13/(MAX(C13:C20)-F22)</f>
        <v>457.33333333333343</v>
      </c>
      <c r="V13" s="19">
        <f>N13/(MIN(C13:C20)-F22)</f>
        <v>-457.33333333333343</v>
      </c>
      <c r="W13" s="19">
        <f>O13/(MIN(B13:B20)-E22)</f>
        <v>-457.33333333333343</v>
      </c>
      <c r="X13" s="19">
        <f>O13/(MAX(B13:B20)-E22)</f>
        <v>457.33333333333343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L14">
        <f>IF(AND(B14=B15,C14=C15),0,1)</f>
        <v>1</v>
      </c>
      <c r="Y14" s="1">
        <f>$N$13/(C14-$F$22)</f>
        <v>-457.33333333333343</v>
      </c>
      <c r="Z14">
        <f>$O$13/(B14-$E$22)</f>
        <v>457.33333333333343</v>
      </c>
      <c r="AA14">
        <f>-1*$B$3/Y14</f>
        <v>-7.1129737609329435</v>
      </c>
      <c r="AB14">
        <f>$B$4/Z14</f>
        <v>0.26676384839650141</v>
      </c>
      <c r="AC14">
        <f>$I$2+AG14+AK14</f>
        <v>-6.7951895043731758</v>
      </c>
      <c r="AD14" s="9">
        <f>C14-$F$22</f>
        <v>-7</v>
      </c>
      <c r="AE14">
        <f>(AD14*$N$4*$O$13)/(($N$13*$O$13)-($P$13*$P$13))</f>
        <v>7.1129737609329426</v>
      </c>
      <c r="AF14">
        <f>(AD14*$N$3*$P$13)/(($N$13*$O$13)-($P$13*$P$13))</f>
        <v>0</v>
      </c>
      <c r="AG14">
        <f>(AE14+AF14)*-1</f>
        <v>-7.1129737609329426</v>
      </c>
      <c r="AH14" s="9">
        <f>B14-$E$22</f>
        <v>7</v>
      </c>
      <c r="AI14">
        <f>(-1*AH14*$N$3*$N$13)/(($N$13*$O$13)-($P$13*$P$13))</f>
        <v>-0.26676384839650136</v>
      </c>
      <c r="AJ14">
        <f>(-1*AH14*$N$4*$P$13)/(($N$13*$O$13)-($P$13*$P$13))</f>
        <v>0</v>
      </c>
      <c r="AK14">
        <f>(AI14+AJ14)*-1</f>
        <v>0.26676384839650136</v>
      </c>
      <c r="AM14">
        <f>AA14+AB14+$I$2</f>
        <v>-6.7951895043731767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14</v>
      </c>
      <c r="D15" s="5">
        <f t="shared" ref="D15:D18" si="0">((B14*C15)-(B15*C14))*0.5</f>
        <v>98</v>
      </c>
      <c r="E15" s="5">
        <f t="shared" ref="E15:E18" si="1">(B15+B14)*((B14*C15)-(B15*C14))*(1/6)</f>
        <v>914.66666666666663</v>
      </c>
      <c r="F15" s="5">
        <f t="shared" ref="F15:F18" si="2">(C15+C14)*((B14*C15)-(B15*C14))*(1/6)</f>
        <v>457.33333333333331</v>
      </c>
      <c r="G15" s="5">
        <f t="shared" ref="G15:G18" si="3">(((C14*C14)+(C14*C15)+(C15*C15))*((B14*C15)-(B15*C14)))/12</f>
        <v>3201.3333333333335</v>
      </c>
      <c r="H15" s="5">
        <f t="shared" ref="H15:H18" si="4">(((B14*B14)+(B14*B15)+(B15*B15))*((B14*C15)-(B15*C14)))/12</f>
        <v>9604</v>
      </c>
      <c r="I15" s="5">
        <f t="shared" ref="I15:I18" si="5">(((B14*C15)+(2*B14*C14)+(2*B15*C15)+(B15*C14))*((B14*C15)-(B15*C14)))/24</f>
        <v>4802</v>
      </c>
      <c r="J15" s="5">
        <f t="shared" ref="J15:J18" si="6">G15+H15</f>
        <v>12805.333333333334</v>
      </c>
      <c r="K15">
        <f t="shared" ref="K15:K21" si="7">ATAN2((B15-$E$22),(C15-$F$22))</f>
        <v>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457.33333333333343</v>
      </c>
      <c r="Z15">
        <f t="shared" ref="Z15:Z21" si="10">$O$13/(B15-$E$22)</f>
        <v>457.33333333333343</v>
      </c>
      <c r="AA15">
        <f t="shared" ref="AA15:AA21" si="11">-1*$B$3/Y15</f>
        <v>7.1129737609329435</v>
      </c>
      <c r="AB15">
        <f t="shared" ref="AB15:AB21" si="12">$B$4/Z15</f>
        <v>0.26676384839650141</v>
      </c>
      <c r="AC15">
        <f t="shared" ref="AC15:AC21" si="13">$I$2+AG15+AK15</f>
        <v>7.4307580174927095</v>
      </c>
      <c r="AD15" s="9">
        <f t="shared" ref="AD15:AD21" si="14">C15-$F$22</f>
        <v>7</v>
      </c>
      <c r="AE15">
        <f t="shared" ref="AE15:AE21" si="15">(AD15*$N$4*$O$13)/(($N$13*$O$13)-($P$13*$P$13))</f>
        <v>-7.1129737609329426</v>
      </c>
      <c r="AF15">
        <f t="shared" ref="AF15:AF21" si="16">(AD15*$N$3*$P$13)/(($N$13*$O$13)-($P$13*$P$13))</f>
        <v>0</v>
      </c>
      <c r="AG15">
        <f t="shared" ref="AG15:AG21" si="17">(AE15+AF15)*-1</f>
        <v>7.1129737609329426</v>
      </c>
      <c r="AH15" s="9">
        <f t="shared" ref="AH15:AH21" si="18">B15-$E$22</f>
        <v>7</v>
      </c>
      <c r="AI15">
        <f t="shared" ref="AI15:AI21" si="19">(-1*AH15*$N$3*$N$13)/(($N$13*$O$13)-($P$13*$P$13))</f>
        <v>-0.26676384839650136</v>
      </c>
      <c r="AJ15">
        <f t="shared" ref="AJ15:AJ21" si="20">(-1*AH15*$N$4*$P$13)/(($N$13*$O$13)-($P$13*$P$13))</f>
        <v>0</v>
      </c>
      <c r="AK15">
        <f t="shared" ref="AK15:AK21" si="21">(AI15+AJ15)*-1</f>
        <v>0.26676384839650136</v>
      </c>
      <c r="AM15">
        <f t="shared" ref="AM15:AM21" si="22">AA15+AB15+$I$2</f>
        <v>7.4307580174927104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457.33333333333343</v>
      </c>
      <c r="Z16">
        <f t="shared" si="10"/>
        <v>-457.33333333333343</v>
      </c>
      <c r="AA16">
        <f t="shared" si="11"/>
        <v>7.1129737609329435</v>
      </c>
      <c r="AB16">
        <f t="shared" si="12"/>
        <v>-0.26676384839650141</v>
      </c>
      <c r="AC16">
        <f t="shared" si="13"/>
        <v>6.8972303206997063</v>
      </c>
      <c r="AD16" s="9">
        <f t="shared" si="14"/>
        <v>7</v>
      </c>
      <c r="AE16">
        <f t="shared" si="15"/>
        <v>-7.1129737609329426</v>
      </c>
      <c r="AF16">
        <f t="shared" si="16"/>
        <v>0</v>
      </c>
      <c r="AG16">
        <f t="shared" si="17"/>
        <v>7.1129737609329426</v>
      </c>
      <c r="AH16" s="9">
        <f t="shared" si="18"/>
        <v>-7</v>
      </c>
      <c r="AI16">
        <f t="shared" si="19"/>
        <v>0.26676384839650136</v>
      </c>
      <c r="AJ16">
        <f t="shared" si="20"/>
        <v>0</v>
      </c>
      <c r="AK16">
        <f t="shared" si="21"/>
        <v>-0.26676384839650136</v>
      </c>
      <c r="AM16">
        <f t="shared" si="22"/>
        <v>6.8972303206997072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L17">
        <f t="shared" si="8"/>
        <v>0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9"/>
        <v>-457.33333333333343</v>
      </c>
      <c r="Z17">
        <f t="shared" si="10"/>
        <v>-457.33333333333343</v>
      </c>
      <c r="AA17">
        <f t="shared" si="11"/>
        <v>-7.1129737609329435</v>
      </c>
      <c r="AB17">
        <f t="shared" si="12"/>
        <v>-0.26676384839650141</v>
      </c>
      <c r="AC17">
        <f t="shared" si="13"/>
        <v>-7.328717201166179</v>
      </c>
      <c r="AD17" s="9">
        <f t="shared" si="14"/>
        <v>-7</v>
      </c>
      <c r="AE17">
        <f t="shared" si="15"/>
        <v>7.1129737609329426</v>
      </c>
      <c r="AF17">
        <f t="shared" si="16"/>
        <v>0</v>
      </c>
      <c r="AG17">
        <f t="shared" si="17"/>
        <v>-7.1129737609329426</v>
      </c>
      <c r="AH17" s="9">
        <f t="shared" si="18"/>
        <v>-7</v>
      </c>
      <c r="AI17">
        <f t="shared" si="19"/>
        <v>0.26676384839650136</v>
      </c>
      <c r="AJ17">
        <f t="shared" si="20"/>
        <v>0</v>
      </c>
      <c r="AK17">
        <f t="shared" si="21"/>
        <v>-0.26676384839650136</v>
      </c>
      <c r="AM17">
        <f t="shared" si="22"/>
        <v>-7.3287172011661799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-457.33333333333343</v>
      </c>
      <c r="Z18">
        <f t="shared" si="10"/>
        <v>-457.33333333333343</v>
      </c>
      <c r="AA18">
        <f t="shared" si="11"/>
        <v>-7.1129737609329435</v>
      </c>
      <c r="AB18">
        <f t="shared" si="12"/>
        <v>-0.26676384839650141</v>
      </c>
      <c r="AC18">
        <f t="shared" si="13"/>
        <v>-7.328717201166179</v>
      </c>
      <c r="AD18" s="9">
        <f t="shared" si="14"/>
        <v>-7</v>
      </c>
      <c r="AE18">
        <f t="shared" si="15"/>
        <v>7.1129737609329426</v>
      </c>
      <c r="AF18">
        <f t="shared" si="16"/>
        <v>0</v>
      </c>
      <c r="AG18">
        <f t="shared" si="17"/>
        <v>-7.1129737609329426</v>
      </c>
      <c r="AH18" s="9">
        <f t="shared" si="18"/>
        <v>-7</v>
      </c>
      <c r="AI18">
        <f t="shared" si="19"/>
        <v>0.26676384839650136</v>
      </c>
      <c r="AJ18">
        <f t="shared" si="20"/>
        <v>0</v>
      </c>
      <c r="AK18">
        <f t="shared" si="21"/>
        <v>-0.26676384839650136</v>
      </c>
      <c r="AM18">
        <f t="shared" si="22"/>
        <v>-7.3287172011661799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-2.3561944901923448</v>
      </c>
      <c r="L19">
        <f t="shared" si="8"/>
        <v>0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9"/>
        <v>-457.33333333333343</v>
      </c>
      <c r="Z19">
        <f t="shared" si="10"/>
        <v>-457.33333333333343</v>
      </c>
      <c r="AA19">
        <f t="shared" si="11"/>
        <v>-7.1129737609329435</v>
      </c>
      <c r="AB19">
        <f t="shared" si="12"/>
        <v>-0.26676384839650141</v>
      </c>
      <c r="AC19">
        <f t="shared" si="13"/>
        <v>-7.328717201166179</v>
      </c>
      <c r="AD19" s="9">
        <f t="shared" si="14"/>
        <v>-7</v>
      </c>
      <c r="AE19">
        <f t="shared" si="15"/>
        <v>7.1129737609329426</v>
      </c>
      <c r="AF19">
        <f t="shared" si="16"/>
        <v>0</v>
      </c>
      <c r="AG19">
        <f t="shared" si="17"/>
        <v>-7.1129737609329426</v>
      </c>
      <c r="AH19" s="9">
        <f t="shared" si="18"/>
        <v>-7</v>
      </c>
      <c r="AI19">
        <f t="shared" si="19"/>
        <v>0.26676384839650136</v>
      </c>
      <c r="AJ19">
        <f t="shared" si="20"/>
        <v>0</v>
      </c>
      <c r="AK19">
        <f t="shared" si="21"/>
        <v>-0.26676384839650136</v>
      </c>
      <c r="AM19">
        <f t="shared" si="22"/>
        <v>-7.3287172011661799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-2.3561944901923448</v>
      </c>
      <c r="L20">
        <f t="shared" si="8"/>
        <v>0</v>
      </c>
      <c r="Y20" s="1">
        <f t="shared" si="9"/>
        <v>-457.33333333333343</v>
      </c>
      <c r="Z20">
        <f t="shared" si="10"/>
        <v>-457.33333333333343</v>
      </c>
      <c r="AA20">
        <f t="shared" si="11"/>
        <v>-7.1129737609329435</v>
      </c>
      <c r="AB20">
        <f t="shared" si="12"/>
        <v>-0.26676384839650141</v>
      </c>
      <c r="AC20">
        <f t="shared" si="13"/>
        <v>-7.328717201166179</v>
      </c>
      <c r="AD20" s="9">
        <f t="shared" si="14"/>
        <v>-7</v>
      </c>
      <c r="AE20">
        <f t="shared" si="15"/>
        <v>7.1129737609329426</v>
      </c>
      <c r="AF20">
        <f t="shared" si="16"/>
        <v>0</v>
      </c>
      <c r="AG20">
        <f t="shared" si="17"/>
        <v>-7.1129737609329426</v>
      </c>
      <c r="AH20" s="9">
        <f t="shared" si="18"/>
        <v>-7</v>
      </c>
      <c r="AI20">
        <f t="shared" si="19"/>
        <v>0.26676384839650136</v>
      </c>
      <c r="AJ20">
        <f t="shared" si="20"/>
        <v>0</v>
      </c>
      <c r="AK20">
        <f t="shared" si="21"/>
        <v>-0.26676384839650136</v>
      </c>
      <c r="AM20">
        <f t="shared" si="22"/>
        <v>-7.3287172011661799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-2.3561944901923448</v>
      </c>
      <c r="L21">
        <v>1</v>
      </c>
      <c r="Y21" s="1">
        <f t="shared" si="9"/>
        <v>-457.33333333333343</v>
      </c>
      <c r="Z21">
        <f t="shared" si="10"/>
        <v>-457.33333333333343</v>
      </c>
      <c r="AA21">
        <f t="shared" si="11"/>
        <v>-7.1129737609329435</v>
      </c>
      <c r="AB21">
        <f t="shared" si="12"/>
        <v>-0.26676384839650141</v>
      </c>
      <c r="AC21">
        <f t="shared" si="13"/>
        <v>-7.328717201166179</v>
      </c>
      <c r="AD21" s="9">
        <f t="shared" si="14"/>
        <v>-7</v>
      </c>
      <c r="AE21">
        <f t="shared" si="15"/>
        <v>7.1129737609329426</v>
      </c>
      <c r="AF21">
        <f t="shared" si="16"/>
        <v>0</v>
      </c>
      <c r="AG21">
        <f t="shared" si="17"/>
        <v>-7.1129737609329426</v>
      </c>
      <c r="AH21" s="9">
        <f t="shared" si="18"/>
        <v>-7</v>
      </c>
      <c r="AI21">
        <f t="shared" si="19"/>
        <v>0.26676384839650136</v>
      </c>
      <c r="AJ21">
        <f t="shared" si="20"/>
        <v>0</v>
      </c>
      <c r="AK21">
        <f t="shared" si="21"/>
        <v>-0.26676384839650136</v>
      </c>
      <c r="AM21">
        <f t="shared" si="22"/>
        <v>-7.3287172011661799</v>
      </c>
      <c r="AN21" t="b">
        <f t="shared" si="23"/>
        <v>1</v>
      </c>
    </row>
    <row r="22" spans="1:40" x14ac:dyDescent="0.25">
      <c r="D22" s="5">
        <f>SUM(D13:D21)</f>
        <v>196</v>
      </c>
      <c r="E22" s="3">
        <f>SUM(E14:E21)/D22</f>
        <v>7</v>
      </c>
      <c r="F22" s="3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  <c r="AC22">
        <f>COUNTIF(AC14:AC21,"&gt;0")</f>
        <v>2</v>
      </c>
    </row>
    <row r="23" spans="1:40" x14ac:dyDescent="0.25">
      <c r="A23" t="s">
        <v>133</v>
      </c>
      <c r="B23" t="s">
        <v>199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4</v>
      </c>
      <c r="C25" s="2">
        <v>4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10 kips
Mx: -3253 kip-in
My: 122 kip-in</v>
      </c>
    </row>
    <row r="26" spans="1:40" x14ac:dyDescent="0.25">
      <c r="A26">
        <v>2</v>
      </c>
      <c r="B26" s="2">
        <v>4</v>
      </c>
      <c r="C26" s="2">
        <v>10</v>
      </c>
      <c r="D26" s="5">
        <f>((B25*C26)-(B26*C25))*0.5</f>
        <v>12</v>
      </c>
      <c r="E26" s="5"/>
      <c r="F26" s="5"/>
      <c r="G26" s="5"/>
      <c r="H26" s="5"/>
      <c r="I26" s="5"/>
      <c r="J26" s="5"/>
      <c r="AC26">
        <f>MAX(AC14:AC21)</f>
        <v>7.4307580174927095</v>
      </c>
      <c r="AD26">
        <f>COUNTIFS(AC14:AC21,AC26,L14:L21,1)</f>
        <v>1</v>
      </c>
      <c r="AE26">
        <f>SUMIF(AC14:AC21,AC26,B14:B21)/AD26</f>
        <v>14</v>
      </c>
      <c r="AF26">
        <f>SUMIF(AC14:AC21,AC26,C14:C21)/AD26</f>
        <v>14</v>
      </c>
      <c r="AG26" t="s">
        <v>197</v>
      </c>
    </row>
    <row r="27" spans="1:40" x14ac:dyDescent="0.25">
      <c r="A27">
        <v>3</v>
      </c>
      <c r="B27" s="2">
        <v>10</v>
      </c>
      <c r="C27" s="2">
        <v>10</v>
      </c>
      <c r="D27" s="5">
        <f t="shared" ref="D27:D33" si="45">((B26*C27)-(B27*C26))*0.5</f>
        <v>-30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-7.328717201166179</v>
      </c>
      <c r="AD27">
        <f>COUNTIFS(AC14:AC21,AC27,L14:L21,1)</f>
        <v>1</v>
      </c>
      <c r="AE27">
        <f>SUMIF(AC14:AC21,AC27,B14:B21)/AD27</f>
        <v>0</v>
      </c>
      <c r="AF27">
        <f>SUMIF(AC14:AC21,AC27,C14:C21)/AD27</f>
        <v>0</v>
      </c>
      <c r="AG27" t="s">
        <v>196</v>
      </c>
    </row>
    <row r="28" spans="1:40" x14ac:dyDescent="0.25">
      <c r="A28">
        <v>4</v>
      </c>
      <c r="B28" s="2">
        <v>10</v>
      </c>
      <c r="C28" s="2">
        <v>4</v>
      </c>
      <c r="D28" s="5">
        <f t="shared" si="45"/>
        <v>-30</v>
      </c>
      <c r="E28" s="5"/>
      <c r="F28" s="5"/>
      <c r="G28" s="5"/>
      <c r="H28" s="5"/>
      <c r="I28" s="5"/>
      <c r="J28" s="5"/>
      <c r="AJ28" t="s">
        <v>189</v>
      </c>
    </row>
    <row r="29" spans="1:40" x14ac:dyDescent="0.25">
      <c r="A29">
        <v>5</v>
      </c>
      <c r="B29" s="2">
        <v>4</v>
      </c>
      <c r="C29" s="2">
        <v>4</v>
      </c>
      <c r="D29" s="5">
        <f t="shared" si="45"/>
        <v>12</v>
      </c>
      <c r="E29" s="5"/>
      <c r="F29" s="5"/>
      <c r="G29" s="5"/>
      <c r="H29" s="5"/>
      <c r="I29" s="5"/>
      <c r="J29" s="5"/>
      <c r="AD29" t="s">
        <v>193</v>
      </c>
      <c r="AE29">
        <f>SQRT(POWER(AE27-AE26,2)+POWER(AF27-AF26,2))</f>
        <v>19.798989873223331</v>
      </c>
      <c r="AG29">
        <f>(AE27-AE26)</f>
        <v>-14</v>
      </c>
      <c r="AH29">
        <f>AF27-AF26</f>
        <v>-14</v>
      </c>
      <c r="AJ29">
        <f>AG29/AE29</f>
        <v>-0.70710678118654757</v>
      </c>
      <c r="AK29">
        <f>AH29/AE29</f>
        <v>-0.70710678118654757</v>
      </c>
    </row>
    <row r="30" spans="1:40" x14ac:dyDescent="0.25">
      <c r="A30">
        <v>6</v>
      </c>
      <c r="B30" s="2">
        <v>4</v>
      </c>
      <c r="C30" s="2">
        <v>4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5.525 ksi
Design Status: OK
SOLUTION IF STRAIN IGNORED</v>
      </c>
      <c r="AD30" t="s">
        <v>194</v>
      </c>
      <c r="AE30">
        <f>(AC27-AC26)/AE29</f>
        <v>-0.74546607241917862</v>
      </c>
    </row>
    <row r="31" spans="1:40" x14ac:dyDescent="0.25">
      <c r="A31">
        <v>7</v>
      </c>
      <c r="B31" s="2">
        <v>4</v>
      </c>
      <c r="C31" s="2">
        <v>4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-2.3561944901923448</v>
      </c>
      <c r="AK31" t="s">
        <v>190</v>
      </c>
    </row>
    <row r="32" spans="1:40" x14ac:dyDescent="0.25">
      <c r="A32">
        <v>8</v>
      </c>
      <c r="B32" s="2">
        <v>4</v>
      </c>
      <c r="C32" s="2">
        <v>4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186</v>
      </c>
      <c r="AE32">
        <f>IF(AND(AG29=0,AH29=0),0,(-1*AC26/AE30))</f>
        <v>9.9679358892598451</v>
      </c>
      <c r="AF32" t="s">
        <v>192</v>
      </c>
      <c r="AJ32">
        <f>AJ31+(PI()/2)</f>
        <v>-0.78539816339744828</v>
      </c>
      <c r="AK32" t="s">
        <v>191</v>
      </c>
    </row>
    <row r="33" spans="1:48" x14ac:dyDescent="0.25">
      <c r="A33">
        <v>9</v>
      </c>
      <c r="B33" s="1">
        <f>B25</f>
        <v>4</v>
      </c>
      <c r="C33" s="1">
        <f>C25</f>
        <v>4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217</v>
      </c>
      <c r="AJ33">
        <f>AJ31-(PI()/2)</f>
        <v>-3.9269908169872414</v>
      </c>
    </row>
    <row r="34" spans="1:48" x14ac:dyDescent="0.25">
      <c r="D34" s="5">
        <f>SUM(D25:D33)</f>
        <v>-36</v>
      </c>
      <c r="E34" s="5"/>
      <c r="F34" s="5"/>
      <c r="G34" s="5"/>
      <c r="H34" s="5"/>
      <c r="I34" s="5"/>
      <c r="J34" s="5"/>
      <c r="V34" s="1" t="s">
        <v>216</v>
      </c>
      <c r="W34" s="3">
        <f>SQRT(D22/W36)</f>
        <v>14</v>
      </c>
      <c r="X34" t="s">
        <v>219</v>
      </c>
      <c r="AD34" t="s">
        <v>195</v>
      </c>
      <c r="AE34">
        <f>AE32/AE29</f>
        <v>0.50345679012345679</v>
      </c>
    </row>
    <row r="35" spans="1:48" x14ac:dyDescent="0.25">
      <c r="A35" t="s">
        <v>4</v>
      </c>
      <c r="Q35" t="s">
        <v>25</v>
      </c>
      <c r="T35" t="s">
        <v>14</v>
      </c>
      <c r="V35" s="1" t="s">
        <v>198</v>
      </c>
      <c r="W35" s="67">
        <v>7.5</v>
      </c>
      <c r="X35" s="1" t="s">
        <v>22</v>
      </c>
      <c r="AE35" t="s">
        <v>187</v>
      </c>
      <c r="AF35" t="s">
        <v>188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211</v>
      </c>
      <c r="W36" s="65">
        <f>W3/W2</f>
        <v>1</v>
      </c>
      <c r="X36" s="63" t="s">
        <v>218</v>
      </c>
      <c r="AE36">
        <f>AE26+(AE34*(AE27-AE26))</f>
        <v>6.951604938271605</v>
      </c>
      <c r="AF36">
        <f>AF26+(AE34*(AF27-AF26))</f>
        <v>6.951604938271605</v>
      </c>
      <c r="AI36">
        <f>MAX(B13:C21)*-1</f>
        <v>-14</v>
      </c>
      <c r="AJ36">
        <f>AE36+(AI36*COS(AJ32))</f>
        <v>-2.9478899983400604</v>
      </c>
      <c r="AK36">
        <f>AF36+(AI36*SIN(AJ32))</f>
        <v>16.851099874883268</v>
      </c>
    </row>
    <row r="37" spans="1:48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4">
        <f>MAX(MAX(B13:B20),MAX(C13:C20))</f>
        <v>14</v>
      </c>
      <c r="U37" s="1">
        <f>T37</f>
        <v>14</v>
      </c>
      <c r="V37" s="1" t="s">
        <v>212</v>
      </c>
      <c r="W37" s="66">
        <f>W35*(W36*W35)</f>
        <v>56.25</v>
      </c>
      <c r="X37" s="1" t="s">
        <v>22</v>
      </c>
      <c r="AA37" t="str">
        <f>IF(W44=0,"Reduced Bearing Area","")</f>
        <v/>
      </c>
      <c r="AI37">
        <f>-1*AI36</f>
        <v>14</v>
      </c>
      <c r="AJ37">
        <f>AE36+(AI37*COS(AJ32))</f>
        <v>16.851099874883271</v>
      </c>
      <c r="AK37">
        <f>AF36+(AI37*SIN(AJ32))</f>
        <v>-2.9478899983400586</v>
      </c>
    </row>
    <row r="38" spans="1:48" x14ac:dyDescent="0.25">
      <c r="A38">
        <v>2</v>
      </c>
      <c r="B38" s="7">
        <f>14-1.5</f>
        <v>12.5</v>
      </c>
      <c r="C38" s="7">
        <v>1.5</v>
      </c>
      <c r="D38" s="13" t="s">
        <v>2</v>
      </c>
      <c r="Q38" s="12">
        <f t="shared" ref="Q38:Q48" si="46">IF($D38="y",B38,NA())</f>
        <v>12.5</v>
      </c>
      <c r="R38" s="12">
        <f t="shared" ref="R38:R48" si="47">IF($D38="y",C38,NA())</f>
        <v>1.5</v>
      </c>
      <c r="V38" s="1" t="s">
        <v>213</v>
      </c>
      <c r="W38" s="3">
        <f>W35*POWER(W36*W35,2)*(1/6)</f>
        <v>70.3125</v>
      </c>
      <c r="X38" s="1" t="s">
        <v>215</v>
      </c>
      <c r="Y38" s="1" t="s">
        <v>1</v>
      </c>
      <c r="Z38" s="1" t="s">
        <v>2</v>
      </c>
      <c r="AA38" s="1" t="s">
        <v>222</v>
      </c>
      <c r="AB38" s="1" t="s">
        <v>223</v>
      </c>
      <c r="AM38" s="9" cm="1">
        <f t="array" ref="AM38">MAX(ABS(AJ36:AJ37),ABS(AE36),ABS(AE26:AE27),ABS(B13:B21),ABS(C13:C21),ABS(AK36:AK37),ABS(AF36),ABS(AF26:AF27))</f>
        <v>16.851099874883271</v>
      </c>
      <c r="AN38" s="9">
        <f>AM38</f>
        <v>16.851099874883271</v>
      </c>
    </row>
    <row r="39" spans="1:48" x14ac:dyDescent="0.25">
      <c r="A39">
        <v>3</v>
      </c>
      <c r="B39" s="7">
        <v>1.5</v>
      </c>
      <c r="C39" s="7">
        <v>12.5</v>
      </c>
      <c r="D39" s="13" t="s">
        <v>2</v>
      </c>
      <c r="Q39" s="12">
        <f t="shared" si="46"/>
        <v>1.5</v>
      </c>
      <c r="R39" s="12">
        <f t="shared" si="47"/>
        <v>12.5</v>
      </c>
      <c r="V39" s="1" t="s">
        <v>214</v>
      </c>
      <c r="W39" s="3">
        <f>(W36*W35)*POWER(W35,2)*(1/6)</f>
        <v>70.3125</v>
      </c>
      <c r="X39" s="1" t="s">
        <v>215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-16.851099874883271</v>
      </c>
      <c r="AN39">
        <f>AM39</f>
        <v>-16.851099874883271</v>
      </c>
    </row>
    <row r="40" spans="1:48" x14ac:dyDescent="0.25">
      <c r="A40">
        <v>4</v>
      </c>
      <c r="B40" s="7">
        <v>12.5</v>
      </c>
      <c r="C40" s="7">
        <v>12.5</v>
      </c>
      <c r="D40" s="13" t="s">
        <v>2</v>
      </c>
      <c r="Q40" s="12">
        <f t="shared" si="46"/>
        <v>12.5</v>
      </c>
      <c r="R40" s="12">
        <f t="shared" si="47"/>
        <v>12.5</v>
      </c>
      <c r="W40" s="3">
        <f>(B2/W37)+(B3/W38)+(B4/W39)</f>
        <v>-44.352000000000004</v>
      </c>
      <c r="X40" s="1" t="s">
        <v>11</v>
      </c>
      <c r="Y40" s="5">
        <f>W35</f>
        <v>7.5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8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6"/>
        <v>#N/A</v>
      </c>
      <c r="R41" s="12" t="e">
        <f t="shared" si="47"/>
        <v>#N/A</v>
      </c>
      <c r="W41" s="3">
        <f>(B2/W37)-(B3/W38)-(B4/W39)</f>
        <v>44.707555555555558</v>
      </c>
      <c r="X41" s="1" t="s">
        <v>11</v>
      </c>
      <c r="Y41" s="5">
        <f>W35</f>
        <v>7.5</v>
      </c>
      <c r="Z41" s="5">
        <f>W35*W36</f>
        <v>7.5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8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6"/>
        <v>#N/A</v>
      </c>
      <c r="R42" s="12" t="e">
        <f t="shared" si="47"/>
        <v>#N/A</v>
      </c>
      <c r="W42" s="3">
        <f>(B2/W37)+(B3/W38)-(B4/W39)</f>
        <v>-47.822222222222223</v>
      </c>
      <c r="X42" s="1" t="s">
        <v>11</v>
      </c>
      <c r="Y42" s="5">
        <v>0</v>
      </c>
      <c r="Z42" s="5">
        <f>Z41</f>
        <v>7.5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8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6"/>
        <v>#N/A</v>
      </c>
      <c r="R43" s="12" t="e">
        <f t="shared" si="47"/>
        <v>#N/A</v>
      </c>
      <c r="W43" s="3">
        <f>(B2/W37)-(B3/W38)+(B4/W39)</f>
        <v>48.177777777777777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  <c r="AP43">
        <v>0</v>
      </c>
      <c r="AQ43">
        <v>4</v>
      </c>
    </row>
    <row r="44" spans="1:48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6"/>
        <v>#N/A</v>
      </c>
      <c r="R44" s="12" t="e">
        <f t="shared" si="47"/>
        <v>#N/A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  <c r="AP44">
        <v>8</v>
      </c>
      <c r="AQ44">
        <v>0</v>
      </c>
    </row>
    <row r="45" spans="1:48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  <c r="Y45" t="s">
        <v>220</v>
      </c>
      <c r="Z45" s="1">
        <f>Y40/2</f>
        <v>3.75</v>
      </c>
      <c r="AC45" s="5" t="e">
        <f>AC44=W37</f>
        <v>#N/A</v>
      </c>
    </row>
    <row r="46" spans="1:48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  <c r="Y46" t="s">
        <v>221</v>
      </c>
      <c r="Z46" s="1">
        <f>Z41/2</f>
        <v>3.75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  <c r="AU48">
        <f>IF(AND(AR46=0,AS46=0),0,ATAN2(AU46,AV46))</f>
        <v>-0.46364760900080609</v>
      </c>
      <c r="AV48" t="s">
        <v>190</v>
      </c>
    </row>
    <row r="49" spans="1:48" x14ac:dyDescent="0.25">
      <c r="AU49">
        <f>AU48+(PI()/2)</f>
        <v>1.1071487177940904</v>
      </c>
      <c r="AV49" t="s">
        <v>191</v>
      </c>
    </row>
    <row r="50" spans="1:48" x14ac:dyDescent="0.25">
      <c r="A50" t="s">
        <v>172</v>
      </c>
      <c r="B50" s="13" t="s">
        <v>206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5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162</v>
      </c>
      <c r="Y52" s="54" t="s">
        <v>161</v>
      </c>
    </row>
    <row r="53" spans="1:48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162</v>
      </c>
      <c r="E54" s="47">
        <v>1</v>
      </c>
      <c r="F54" t="s">
        <v>22</v>
      </c>
      <c r="H54" t="s">
        <v>232</v>
      </c>
      <c r="I54" s="13" t="s">
        <v>233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0.60574540107571861</v>
      </c>
      <c r="C55" t="s">
        <v>67</v>
      </c>
      <c r="D55" s="54" t="s">
        <v>161</v>
      </c>
      <c r="E55" s="1">
        <f ca="1">OFFSET(X52,MATCH(E54,X53:X73,0),1)</f>
        <v>8</v>
      </c>
      <c r="F55" s="7">
        <v>0</v>
      </c>
      <c r="G55" t="s">
        <v>171</v>
      </c>
      <c r="H55" s="48" t="s">
        <v>156</v>
      </c>
      <c r="I55" s="55">
        <f>E164</f>
        <v>-6.3948846218409017E-14</v>
      </c>
      <c r="J55" s="49" t="str">
        <f>F164</f>
        <v>kips</v>
      </c>
      <c r="K55" t="s">
        <v>164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7.1178208426024669</v>
      </c>
      <c r="D56" s="54" t="s">
        <v>151</v>
      </c>
      <c r="E56" s="46">
        <f ca="1">IF(F55=0,0.7854*POWER(E54-(0.9743/E55),2),0.7854*POWER(E54-(0.9743/F55),2))</f>
        <v>0.60574540107571861</v>
      </c>
      <c r="F56" t="s">
        <v>67</v>
      </c>
      <c r="H56" s="50" t="s">
        <v>157</v>
      </c>
      <c r="I56" s="56">
        <f t="shared" ref="I56:J57" si="53">E165</f>
        <v>0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152</v>
      </c>
      <c r="E57" s="13" t="s">
        <v>169</v>
      </c>
      <c r="H57" s="52" t="s">
        <v>158</v>
      </c>
      <c r="I57" s="57">
        <f t="shared" si="53"/>
        <v>-4.8316906031686813E-13</v>
      </c>
      <c r="J57" s="53" t="str">
        <f t="shared" si="53"/>
        <v>kip-in</v>
      </c>
      <c r="L57" s="1">
        <f>SQRT(POWER(I57,2)+POWER(I56,2)+POWER(I55,2))</f>
        <v>4.8738259691965924E-13</v>
      </c>
      <c r="M57" s="44" t="str">
        <f ca="1">IF(M59=TRUE,IF(AND(ABS(L57)&lt;=L59,B66=B61),"SOLUTION IF STRAIN IGNORED","NOT A SOLUTION"),"SOLUTION FOUND")</f>
        <v>SOLUTION IF STRAIN IGNORED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163</v>
      </c>
      <c r="E58" s="3">
        <f>IF(E57="STD",E54+(1/16),E54+(5/16))</f>
        <v>1.0625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160</v>
      </c>
      <c r="E59" s="46">
        <f>PI()*(1/4)*E58*E58</f>
        <v>0.8866408953979007</v>
      </c>
      <c r="F59" t="s">
        <v>67</v>
      </c>
      <c r="H59" s="10" t="s">
        <v>165</v>
      </c>
      <c r="I59" s="2">
        <v>200</v>
      </c>
      <c r="K59" t="s">
        <v>167</v>
      </c>
      <c r="L59" s="58">
        <v>9.9999999999999994E-12</v>
      </c>
      <c r="M59" t="b">
        <f ca="1">OR(ABS(L57)&gt;L59,B66&lt;0,ABS(I67)&gt;(L59*10000))</f>
        <v>1</v>
      </c>
      <c r="X59">
        <v>1</v>
      </c>
      <c r="Y59">
        <v>8</v>
      </c>
    </row>
    <row r="60" spans="1:48" x14ac:dyDescent="0.25">
      <c r="D60" s="54" t="s">
        <v>231</v>
      </c>
      <c r="E60" s="13" t="s">
        <v>2</v>
      </c>
      <c r="H60" s="10" t="s">
        <v>166</v>
      </c>
      <c r="I60" s="1">
        <v>7</v>
      </c>
      <c r="L60" s="69">
        <v>0</v>
      </c>
      <c r="M60" s="70" t="str">
        <f>IF(L60=1,"Used Higher Precision for Solution","")</f>
        <v/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168</v>
      </c>
      <c r="X63">
        <v>1.5</v>
      </c>
      <c r="Y63">
        <v>6</v>
      </c>
    </row>
    <row r="64" spans="1:48" x14ac:dyDescent="0.25">
      <c r="A64" s="11" t="s">
        <v>39</v>
      </c>
      <c r="B64" s="24">
        <v>-7.1967966295273349E-3</v>
      </c>
      <c r="C64" t="s">
        <v>19</v>
      </c>
      <c r="D64" t="s">
        <v>34</v>
      </c>
      <c r="H64" s="17">
        <f>DEGREES(B64)</f>
        <v>-0.4123460728858922</v>
      </c>
      <c r="I64" t="s">
        <v>41</v>
      </c>
      <c r="J64" s="3">
        <f>AJ32</f>
        <v>-0.78539816339744828</v>
      </c>
      <c r="N64" s="8">
        <f>J64</f>
        <v>-0.78539816339744828</v>
      </c>
      <c r="P64" s="8">
        <f>Q64</f>
        <v>-0.78539816339744828</v>
      </c>
      <c r="Q64" s="8">
        <f>J64</f>
        <v>-0.78539816339744828</v>
      </c>
      <c r="X64">
        <v>1.75</v>
      </c>
      <c r="Y64">
        <v>5</v>
      </c>
    </row>
    <row r="65" spans="1:36" x14ac:dyDescent="0.25">
      <c r="A65" s="1" t="s">
        <v>40</v>
      </c>
      <c r="B65" s="24">
        <v>11.86744431935711</v>
      </c>
      <c r="C65" t="s">
        <v>22</v>
      </c>
      <c r="D65" t="s">
        <v>29</v>
      </c>
      <c r="J65" s="1">
        <f>AE32</f>
        <v>9.9679358892598451</v>
      </c>
      <c r="N65">
        <f>0.5*J65</f>
        <v>4.9839679446299225</v>
      </c>
      <c r="P65">
        <f>0.5*Q65</f>
        <v>4.9839679446299225</v>
      </c>
      <c r="Q65">
        <f>AE32</f>
        <v>9.9679358892598451</v>
      </c>
      <c r="X65">
        <v>2</v>
      </c>
      <c r="Y65">
        <v>4.5</v>
      </c>
    </row>
    <row r="66" spans="1:36" x14ac:dyDescent="0.25">
      <c r="A66" s="11" t="s">
        <v>42</v>
      </c>
      <c r="B66" s="24">
        <v>5.5250000000000004</v>
      </c>
      <c r="C66" t="s">
        <v>11</v>
      </c>
      <c r="D66">
        <f>B66/B53</f>
        <v>1.3560675915647805E-3</v>
      </c>
      <c r="I66" s="20"/>
      <c r="J66" s="4">
        <f>MAX(AC14:AC21)*2</f>
        <v>14.861516034985419</v>
      </c>
      <c r="N66">
        <f>2*J66</f>
        <v>29.723032069970838</v>
      </c>
      <c r="P66">
        <f>0.5*Q66</f>
        <v>3.7153790087463547</v>
      </c>
      <c r="Q66">
        <f>MAX(AC14:AC21)</f>
        <v>7.4307580174927095</v>
      </c>
      <c r="X66">
        <v>2.25</v>
      </c>
      <c r="Y66">
        <v>4.5</v>
      </c>
    </row>
    <row r="67" spans="1:36" x14ac:dyDescent="0.25">
      <c r="A67" s="1" t="s">
        <v>37</v>
      </c>
      <c r="B67" s="24">
        <v>188.23922999999255</v>
      </c>
      <c r="C67" t="s">
        <v>36</v>
      </c>
      <c r="D67" t="s">
        <v>122</v>
      </c>
      <c r="G67" s="20">
        <f ca="1">MAX(($B$56*$B$66*$B$55*$E$122)/$B$65,0)</f>
        <v>1.4496542088068893</v>
      </c>
      <c r="H67" t="s">
        <v>36</v>
      </c>
      <c r="I67">
        <f ca="1">IF(B67=0,0,1-G67/B67)</f>
        <v>0.99229887304146458</v>
      </c>
      <c r="Q67">
        <v>0</v>
      </c>
      <c r="X67">
        <v>2.5</v>
      </c>
      <c r="Y67">
        <v>4</v>
      </c>
    </row>
    <row r="68" spans="1:36" x14ac:dyDescent="0.25">
      <c r="N68" t="s">
        <v>203</v>
      </c>
      <c r="P68" t="s">
        <v>204</v>
      </c>
      <c r="X68">
        <v>2.75</v>
      </c>
      <c r="Y68">
        <v>4</v>
      </c>
      <c r="AE68" t="s">
        <v>226</v>
      </c>
      <c r="AF68" t="s">
        <v>227</v>
      </c>
      <c r="AG68" t="s">
        <v>228</v>
      </c>
      <c r="AH68" t="s">
        <v>227</v>
      </c>
      <c r="AI68" t="s">
        <v>229</v>
      </c>
      <c r="AJ68" t="s">
        <v>227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-7</v>
      </c>
      <c r="C73" s="4">
        <f t="shared" ref="C73:C81" si="56">C13-$C$9</f>
        <v>-7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-3</v>
      </c>
      <c r="J73" s="4">
        <f>C25-$C$9</f>
        <v>-3</v>
      </c>
      <c r="Q73" cm="1">
        <f t="array" ref="Q73">(-1*MAX(ABS(B84:C91)))-1</f>
        <v>-8.0501958637291597</v>
      </c>
      <c r="R73">
        <f>Q73</f>
        <v>-8.0501958637291597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7</v>
      </c>
      <c r="C74" s="4">
        <f t="shared" si="56"/>
        <v>-7</v>
      </c>
      <c r="H74" s="1">
        <f t="shared" si="57"/>
        <v>2</v>
      </c>
      <c r="I74" s="4">
        <f t="shared" ref="I74:I81" si="58">B26-$B$9</f>
        <v>-3</v>
      </c>
      <c r="J74" s="4">
        <f t="shared" ref="J74:J81" si="59">C26-$C$9</f>
        <v>3</v>
      </c>
      <c r="Q74">
        <f>-1*Q73</f>
        <v>8.0501958637291597</v>
      </c>
      <c r="R74">
        <f>Q74</f>
        <v>8.0501958637291597</v>
      </c>
    </row>
    <row r="75" spans="1:36" x14ac:dyDescent="0.25">
      <c r="A75" s="1">
        <f t="shared" si="54"/>
        <v>3</v>
      </c>
      <c r="B75" s="4">
        <f t="shared" si="55"/>
        <v>7</v>
      </c>
      <c r="C75" s="4">
        <f t="shared" si="56"/>
        <v>7</v>
      </c>
      <c r="H75" s="1">
        <f t="shared" si="57"/>
        <v>3</v>
      </c>
      <c r="I75" s="4">
        <f t="shared" si="58"/>
        <v>3</v>
      </c>
      <c r="J75" s="4">
        <f t="shared" si="59"/>
        <v>3</v>
      </c>
    </row>
    <row r="76" spans="1:36" x14ac:dyDescent="0.25">
      <c r="A76" s="1">
        <f t="shared" si="54"/>
        <v>4</v>
      </c>
      <c r="B76" s="4">
        <f t="shared" si="55"/>
        <v>-7</v>
      </c>
      <c r="C76" s="4">
        <f t="shared" si="56"/>
        <v>7</v>
      </c>
      <c r="H76" s="1">
        <f t="shared" si="57"/>
        <v>4</v>
      </c>
      <c r="I76" s="4">
        <f t="shared" si="58"/>
        <v>3</v>
      </c>
      <c r="J76" s="4">
        <f t="shared" si="59"/>
        <v>-3</v>
      </c>
    </row>
    <row r="77" spans="1:36" x14ac:dyDescent="0.25">
      <c r="A77" s="1">
        <f t="shared" si="54"/>
        <v>5</v>
      </c>
      <c r="B77" s="4">
        <f t="shared" si="55"/>
        <v>-7</v>
      </c>
      <c r="C77" s="4">
        <f t="shared" si="56"/>
        <v>-7</v>
      </c>
      <c r="H77" s="1">
        <f t="shared" si="57"/>
        <v>5</v>
      </c>
      <c r="I77" s="4">
        <f t="shared" si="58"/>
        <v>-3</v>
      </c>
      <c r="J77" s="4">
        <f t="shared" si="59"/>
        <v>-3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-7</v>
      </c>
      <c r="C78" s="4">
        <f t="shared" si="56"/>
        <v>-7</v>
      </c>
      <c r="H78" s="1">
        <f t="shared" si="57"/>
        <v>6</v>
      </c>
      <c r="I78" s="4">
        <f t="shared" si="58"/>
        <v>-3</v>
      </c>
      <c r="J78" s="4">
        <f t="shared" si="59"/>
        <v>-3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-7</v>
      </c>
      <c r="C79" s="4">
        <f t="shared" si="56"/>
        <v>-7</v>
      </c>
      <c r="H79" s="1">
        <f t="shared" si="57"/>
        <v>7</v>
      </c>
      <c r="I79" s="4">
        <f t="shared" si="58"/>
        <v>-3</v>
      </c>
      <c r="J79" s="4">
        <f t="shared" si="59"/>
        <v>-3</v>
      </c>
      <c r="Q79">
        <f>(I126*COS(-1*$B$64))+(J126*SIN(-1*$B$64))</f>
        <v>-8.0846558473609953</v>
      </c>
      <c r="R79">
        <f>(-1*I126*SIN(-1*$B$64))+(J126*COS(-1*$B$64))</f>
        <v>-4.7591885818260655</v>
      </c>
    </row>
    <row r="80" spans="1:36" x14ac:dyDescent="0.25">
      <c r="A80" s="1">
        <f t="shared" si="54"/>
        <v>8</v>
      </c>
      <c r="B80" s="4">
        <f t="shared" si="55"/>
        <v>-7</v>
      </c>
      <c r="C80" s="4">
        <f t="shared" si="56"/>
        <v>-7</v>
      </c>
      <c r="H80" s="1">
        <f t="shared" si="57"/>
        <v>8</v>
      </c>
      <c r="I80" s="4">
        <f t="shared" si="58"/>
        <v>-3</v>
      </c>
      <c r="J80" s="4">
        <f t="shared" si="59"/>
        <v>-3</v>
      </c>
      <c r="Q80">
        <f>(I127*COS(-1*$B$64))+(J127*SIN(-1*$B$64))</f>
        <v>8.0153189310045008</v>
      </c>
      <c r="R80">
        <f>(-1*I127*SIN(-1*$B$64))+(J127*COS(-1*$B$64))</f>
        <v>-4.8750588265099717</v>
      </c>
    </row>
    <row r="81" spans="1:23" x14ac:dyDescent="0.25">
      <c r="A81" s="1">
        <f t="shared" si="54"/>
        <v>9</v>
      </c>
      <c r="B81" s="4">
        <f t="shared" si="55"/>
        <v>-7</v>
      </c>
      <c r="C81" s="4">
        <f t="shared" si="56"/>
        <v>-7</v>
      </c>
      <c r="H81" s="1">
        <f t="shared" si="57"/>
        <v>9</v>
      </c>
      <c r="I81" s="4">
        <f t="shared" si="58"/>
        <v>-3</v>
      </c>
      <c r="J81" s="4">
        <f t="shared" si="59"/>
        <v>-3</v>
      </c>
      <c r="W81" t="str">
        <f>"Neutral Axis"&amp;CHAR(10)&amp;W82</f>
        <v>Neutral Axis
y= -7.197E-03 x + 2.233E+00</v>
      </c>
    </row>
    <row r="82" spans="1:23" x14ac:dyDescent="0.25">
      <c r="A82" t="s">
        <v>30</v>
      </c>
      <c r="B82" s="9"/>
      <c r="H82" t="s">
        <v>139</v>
      </c>
      <c r="Q82" s="4">
        <f>Q79+$B$9</f>
        <v>-1.0846558473609953</v>
      </c>
      <c r="R82" s="4">
        <f>R79+$C$9</f>
        <v>2.2408114181739345</v>
      </c>
      <c r="T82" t="s">
        <v>77</v>
      </c>
      <c r="U82" s="25">
        <f>(R83-R82)/(Q83-Q82)</f>
        <v>-7.196920882112684E-3</v>
      </c>
      <c r="W82" t="str">
        <f>IF(Q83-Q82=0,"x= "&amp;TEXT(Q82,"0.000E+00"),IF(R83-R82=0,"y= "&amp;TEXT(R82,"0.000E+00"),"y= "&amp;TEXT(U82,"0.000E+00")&amp;" x + "&amp;TEXT(U83,"0.000E+00")))</f>
        <v>y= -7.197E-03 x + 2.233E+00</v>
      </c>
    </row>
    <row r="83" spans="1:23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15.015318931004501</v>
      </c>
      <c r="R83" s="4">
        <f>R80+$C$9</f>
        <v>2.1249411734900283</v>
      </c>
      <c r="T83" t="s">
        <v>198</v>
      </c>
      <c r="U83" s="25">
        <f>R83-(U82*Q83)</f>
        <v>2.2330052358561563</v>
      </c>
    </row>
    <row r="84" spans="1:23" x14ac:dyDescent="0.25">
      <c r="A84" s="1">
        <f t="shared" si="60"/>
        <v>1</v>
      </c>
      <c r="B84" s="4">
        <f t="shared" ref="B84:B92" si="61">(B73*COS($B$64))+(C73*SIN($B$64))</f>
        <v>-6.9494415806636027</v>
      </c>
      <c r="C84" s="1">
        <f t="shared" ref="C84:C92" si="62">(-1*B73*SIN($B$64))+(C73*COS($B$64))</f>
        <v>-7.0501958637291597</v>
      </c>
      <c r="H84" s="1">
        <f t="shared" ref="H84:H92" si="63">H73</f>
        <v>1</v>
      </c>
      <c r="I84" s="4">
        <f>(I73*COS($B$64))+(J73*SIN($B$64))</f>
        <v>-2.9783321059986867</v>
      </c>
      <c r="J84" s="1">
        <f>(-1*I73*SIN($B$64))+(J73*COS($B$64))</f>
        <v>-3.0215125130267828</v>
      </c>
    </row>
    <row r="85" spans="1:23" x14ac:dyDescent="0.25">
      <c r="A85" s="1">
        <f t="shared" si="60"/>
        <v>2</v>
      </c>
      <c r="B85" s="4">
        <f t="shared" si="61"/>
        <v>7.0501958637291597</v>
      </c>
      <c r="C85" s="1">
        <f t="shared" si="62"/>
        <v>-6.9494415806636027</v>
      </c>
      <c r="H85" s="1">
        <f t="shared" si="63"/>
        <v>2</v>
      </c>
      <c r="I85" s="4">
        <f t="shared" ref="I85:I92" si="64">(I74*COS($B$64))+(J74*SIN($B$64))</f>
        <v>-3.0215125130267828</v>
      </c>
      <c r="J85" s="1">
        <f t="shared" ref="J85:J92" si="65">(-1*I74*SIN($B$64))+(J74*COS($B$64))</f>
        <v>2.9783321059986867</v>
      </c>
      <c r="Q85" t="str">
        <f>"Brg Center"&amp;CHAR(10)&amp;"("&amp;ROUND(Q87,3)&amp;","&amp;ROUND(R87,3)&amp;")"&amp;CHAR(10)&amp;T140</f>
        <v>Brg Center
(0.02,3.061)
455.0996 kips</v>
      </c>
    </row>
    <row r="86" spans="1:23" x14ac:dyDescent="0.25">
      <c r="A86" s="1">
        <f t="shared" si="60"/>
        <v>3</v>
      </c>
      <c r="B86" s="4">
        <f t="shared" si="61"/>
        <v>6.9494415806636027</v>
      </c>
      <c r="C86" s="1">
        <f t="shared" si="62"/>
        <v>7.0501958637291597</v>
      </c>
      <c r="H86" s="1">
        <f t="shared" si="63"/>
        <v>3</v>
      </c>
      <c r="I86" s="4">
        <f t="shared" si="64"/>
        <v>2.9783321059986867</v>
      </c>
      <c r="J86" s="1">
        <f t="shared" si="65"/>
        <v>3.0215125130267828</v>
      </c>
      <c r="Q86" t="s">
        <v>27</v>
      </c>
      <c r="R86" t="s">
        <v>28</v>
      </c>
    </row>
    <row r="87" spans="1:23" x14ac:dyDescent="0.25">
      <c r="A87" s="1">
        <f t="shared" si="60"/>
        <v>4</v>
      </c>
      <c r="B87" s="4">
        <f t="shared" si="61"/>
        <v>-7.0501958637291597</v>
      </c>
      <c r="C87" s="1">
        <f t="shared" si="62"/>
        <v>6.9494415806636027</v>
      </c>
      <c r="H87" s="1">
        <f t="shared" si="63"/>
        <v>4</v>
      </c>
      <c r="I87" s="4">
        <f t="shared" si="64"/>
        <v>3.0215125130267828</v>
      </c>
      <c r="J87" s="1">
        <f t="shared" si="65"/>
        <v>-2.9783321059986867</v>
      </c>
      <c r="Q87">
        <f>(P142*COS(-1*$B$64))+(P143*SIN(-1*$B$64))</f>
        <v>1.9894268132524547E-2</v>
      </c>
      <c r="R87">
        <f>(-1*P142*SIN(-1*$B$64))+(P143*COS(-1*$B$64))</f>
        <v>3.0608278707358694</v>
      </c>
    </row>
    <row r="88" spans="1:23" x14ac:dyDescent="0.25">
      <c r="A88" s="1">
        <f t="shared" si="60"/>
        <v>5</v>
      </c>
      <c r="B88" s="4">
        <f t="shared" si="61"/>
        <v>-6.9494415806636027</v>
      </c>
      <c r="C88" s="1">
        <f t="shared" si="62"/>
        <v>-7.0501958637291597</v>
      </c>
      <c r="H88" s="1">
        <f t="shared" si="63"/>
        <v>5</v>
      </c>
      <c r="I88" s="4">
        <f t="shared" si="64"/>
        <v>-2.9783321059986867</v>
      </c>
      <c r="J88" s="1">
        <f t="shared" si="65"/>
        <v>-3.0215125130267828</v>
      </c>
    </row>
    <row r="89" spans="1:23" x14ac:dyDescent="0.25">
      <c r="A89" s="1">
        <f t="shared" si="60"/>
        <v>6</v>
      </c>
      <c r="B89" s="4">
        <f t="shared" si="61"/>
        <v>-6.9494415806636027</v>
      </c>
      <c r="C89" s="1">
        <f t="shared" si="62"/>
        <v>-7.0501958637291597</v>
      </c>
      <c r="H89" s="1">
        <f t="shared" si="63"/>
        <v>6</v>
      </c>
      <c r="I89" s="4">
        <f t="shared" si="64"/>
        <v>-2.9783321059986867</v>
      </c>
      <c r="J89" s="1">
        <f t="shared" si="65"/>
        <v>-3.0215125130267828</v>
      </c>
    </row>
    <row r="90" spans="1:23" x14ac:dyDescent="0.25">
      <c r="A90" s="1">
        <f t="shared" si="60"/>
        <v>7</v>
      </c>
      <c r="B90" s="4">
        <f t="shared" si="61"/>
        <v>-6.9494415806636027</v>
      </c>
      <c r="C90" s="1">
        <f t="shared" si="62"/>
        <v>-7.0501958637291597</v>
      </c>
      <c r="H90" s="1">
        <f t="shared" si="63"/>
        <v>7</v>
      </c>
      <c r="I90" s="4">
        <f t="shared" si="64"/>
        <v>-2.9783321059986867</v>
      </c>
      <c r="J90" s="1">
        <f t="shared" si="65"/>
        <v>-3.0215125130267828</v>
      </c>
      <c r="Q90" s="4">
        <f>Q87+$B$9</f>
        <v>7.0198942681325249</v>
      </c>
      <c r="R90" s="4">
        <f>R87+$C$9</f>
        <v>10.060827870735869</v>
      </c>
    </row>
    <row r="91" spans="1:23" x14ac:dyDescent="0.25">
      <c r="A91" s="1">
        <f t="shared" si="60"/>
        <v>8</v>
      </c>
      <c r="B91" s="4">
        <f t="shared" si="61"/>
        <v>-6.9494415806636027</v>
      </c>
      <c r="C91" s="1">
        <f t="shared" si="62"/>
        <v>-7.0501958637291597</v>
      </c>
      <c r="H91" s="1">
        <f t="shared" si="63"/>
        <v>8</v>
      </c>
      <c r="I91" s="4">
        <f t="shared" si="64"/>
        <v>-2.9783321059986867</v>
      </c>
      <c r="J91" s="1">
        <f t="shared" si="65"/>
        <v>-3.0215125130267828</v>
      </c>
    </row>
    <row r="92" spans="1:23" x14ac:dyDescent="0.25">
      <c r="A92" s="1">
        <f t="shared" si="60"/>
        <v>9</v>
      </c>
      <c r="B92" s="4">
        <f t="shared" si="61"/>
        <v>-6.9494415806636027</v>
      </c>
      <c r="C92" s="1">
        <f t="shared" si="62"/>
        <v>-7.0501958637291597</v>
      </c>
      <c r="H92" s="1">
        <f t="shared" si="63"/>
        <v>9</v>
      </c>
      <c r="I92" s="4">
        <f t="shared" si="64"/>
        <v>-2.9783321059986867</v>
      </c>
      <c r="J92" s="1">
        <f t="shared" si="65"/>
        <v>-3.0215125130267828</v>
      </c>
      <c r="Q92" t="str">
        <f>"Hole (-) Brg Center"&amp;CHAR(10)&amp;"("&amp;ROUND(Q94,3)&amp;","&amp;ROUND(R94,3)&amp;")"&amp;CHAR(10)&amp;T154</f>
        <v>Hole (-) Brg Center
(0.004,0.623)
-80.7377 kips</v>
      </c>
    </row>
    <row r="93" spans="1:23" x14ac:dyDescent="0.25">
      <c r="A93" t="s">
        <v>33</v>
      </c>
      <c r="B93" s="9"/>
      <c r="Q93" t="s">
        <v>27</v>
      </c>
      <c r="R93" t="s">
        <v>28</v>
      </c>
    </row>
    <row r="94" spans="1:23" x14ac:dyDescent="0.25">
      <c r="B94" s="1" t="s">
        <v>27</v>
      </c>
      <c r="C94" s="1" t="s">
        <v>28</v>
      </c>
      <c r="Q94">
        <f>(P156*COS(-1*$B$64))+(P157*SIN(-1*$B$64))</f>
        <v>4.4818538451809531E-3</v>
      </c>
      <c r="R94">
        <f>(-1*P156*SIN(-1*$B$64))+(P157*COS(-1*$B$64))</f>
        <v>0.62274602133256163</v>
      </c>
    </row>
    <row r="95" spans="1:23" x14ac:dyDescent="0.25">
      <c r="A95">
        <f t="shared" ref="A95:A106" si="66">A37</f>
        <v>1</v>
      </c>
      <c r="B95" s="4">
        <f t="shared" ref="B95:B106" si="67">B37-$B$9</f>
        <v>-5.5</v>
      </c>
      <c r="C95" s="4">
        <f t="shared" ref="C95:C106" si="68">C37-$C$9</f>
        <v>-5.5</v>
      </c>
      <c r="D95" t="str">
        <f t="shared" ref="D95:D106" si="69">D37</f>
        <v>y</v>
      </c>
    </row>
    <row r="96" spans="1:23" x14ac:dyDescent="0.25">
      <c r="A96">
        <f t="shared" si="66"/>
        <v>2</v>
      </c>
      <c r="B96" s="4">
        <f t="shared" si="67"/>
        <v>5.5</v>
      </c>
      <c r="C96" s="4">
        <f t="shared" si="68"/>
        <v>-5.5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-5.5</v>
      </c>
      <c r="C97" s="4">
        <f t="shared" si="68"/>
        <v>5.5</v>
      </c>
      <c r="D97" t="str">
        <f t="shared" si="69"/>
        <v>y</v>
      </c>
      <c r="Q97" s="4">
        <f>Q94+$B$9</f>
        <v>7.0044818538451805</v>
      </c>
      <c r="R97" s="4">
        <f>R94+$C$9</f>
        <v>7.6227460213325617</v>
      </c>
    </row>
    <row r="98" spans="1:28" x14ac:dyDescent="0.25">
      <c r="A98">
        <f t="shared" si="66"/>
        <v>4</v>
      </c>
      <c r="B98" s="4">
        <f t="shared" si="67"/>
        <v>5.5</v>
      </c>
      <c r="C98" s="4">
        <f t="shared" si="68"/>
        <v>5.5</v>
      </c>
      <c r="D98" t="str">
        <f t="shared" si="69"/>
        <v>y</v>
      </c>
    </row>
    <row r="99" spans="1:28" x14ac:dyDescent="0.25">
      <c r="A99">
        <f t="shared" si="66"/>
        <v>5</v>
      </c>
      <c r="B99" s="4">
        <f t="shared" si="67"/>
        <v>-7</v>
      </c>
      <c r="C99" s="4">
        <f t="shared" si="68"/>
        <v>-7</v>
      </c>
      <c r="D99" t="str">
        <f t="shared" si="69"/>
        <v>n</v>
      </c>
    </row>
    <row r="100" spans="1:28" x14ac:dyDescent="0.25">
      <c r="A100">
        <f t="shared" si="66"/>
        <v>6</v>
      </c>
      <c r="B100" s="4">
        <f t="shared" si="67"/>
        <v>-7</v>
      </c>
      <c r="C100" s="4">
        <f t="shared" si="68"/>
        <v>-7</v>
      </c>
      <c r="D100" t="str">
        <f t="shared" si="69"/>
        <v>n</v>
      </c>
    </row>
    <row r="101" spans="1:28" x14ac:dyDescent="0.25">
      <c r="A101">
        <f t="shared" si="66"/>
        <v>7</v>
      </c>
      <c r="B101" s="4">
        <f t="shared" si="67"/>
        <v>-7</v>
      </c>
      <c r="C101" s="4">
        <f t="shared" si="68"/>
        <v>-7</v>
      </c>
      <c r="D101" t="str">
        <f t="shared" si="69"/>
        <v>n</v>
      </c>
    </row>
    <row r="102" spans="1:28" x14ac:dyDescent="0.25">
      <c r="A102">
        <f t="shared" si="66"/>
        <v>8</v>
      </c>
      <c r="B102" s="4">
        <f t="shared" si="67"/>
        <v>-7</v>
      </c>
      <c r="C102" s="4">
        <f t="shared" si="68"/>
        <v>-7</v>
      </c>
      <c r="D102" t="str">
        <f t="shared" si="69"/>
        <v>n</v>
      </c>
    </row>
    <row r="103" spans="1:28" x14ac:dyDescent="0.25">
      <c r="A103">
        <f t="shared" si="66"/>
        <v>9</v>
      </c>
      <c r="B103" s="4">
        <f t="shared" si="67"/>
        <v>-7</v>
      </c>
      <c r="C103" s="4">
        <f t="shared" si="68"/>
        <v>-7</v>
      </c>
      <c r="D103" t="str">
        <f t="shared" si="69"/>
        <v>n</v>
      </c>
    </row>
    <row r="104" spans="1:28" x14ac:dyDescent="0.25">
      <c r="A104">
        <f t="shared" si="66"/>
        <v>10</v>
      </c>
      <c r="B104" s="4">
        <f t="shared" si="67"/>
        <v>-7</v>
      </c>
      <c r="C104" s="4">
        <f t="shared" si="68"/>
        <v>-7</v>
      </c>
      <c r="D104" t="str">
        <f t="shared" si="69"/>
        <v>n</v>
      </c>
    </row>
    <row r="105" spans="1:28" x14ac:dyDescent="0.25">
      <c r="A105">
        <f t="shared" si="66"/>
        <v>11</v>
      </c>
      <c r="B105" s="4">
        <f t="shared" si="67"/>
        <v>-7</v>
      </c>
      <c r="C105" s="4">
        <f t="shared" si="68"/>
        <v>-7</v>
      </c>
      <c r="D105" t="str">
        <f t="shared" si="69"/>
        <v>n</v>
      </c>
    </row>
    <row r="106" spans="1:28" x14ac:dyDescent="0.25">
      <c r="A106">
        <f t="shared" si="66"/>
        <v>12</v>
      </c>
      <c r="B106" s="4">
        <f t="shared" si="67"/>
        <v>-7</v>
      </c>
      <c r="C106" s="4">
        <f t="shared" si="68"/>
        <v>-7</v>
      </c>
      <c r="D106" t="str">
        <f t="shared" si="69"/>
        <v>n</v>
      </c>
    </row>
    <row r="107" spans="1:28" x14ac:dyDescent="0.25">
      <c r="Q107" t="s">
        <v>149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  <c r="Q109" s="1" t="s">
        <v>27</v>
      </c>
      <c r="R109" s="1" t="s">
        <v>28</v>
      </c>
      <c r="Y109" t="s">
        <v>159</v>
      </c>
      <c r="AB109" t="s">
        <v>170</v>
      </c>
    </row>
    <row r="110" spans="1:28" x14ac:dyDescent="0.25">
      <c r="A110">
        <f>A95</f>
        <v>1</v>
      </c>
      <c r="B110" s="1">
        <f>(B95*COS($B$64))+(C95*SIN($B$64))</f>
        <v>-5.4602755276642592</v>
      </c>
      <c r="C110" s="1">
        <f>(-1*B95*SIN($B$64))+(C95*COS($B$64))</f>
        <v>-5.5394396072157681</v>
      </c>
      <c r="D110" t="str">
        <f t="shared" ref="D110" si="70">D95</f>
        <v>y</v>
      </c>
      <c r="E110" s="4">
        <f t="shared" ref="E110:E121" si="71">IF($D110="y",$B$125-C110,0)</f>
        <v>0.72219115158781744</v>
      </c>
      <c r="F110" s="1">
        <f>IF($D110="y",B110,NA())</f>
        <v>-5.4602755276642592</v>
      </c>
      <c r="G110" s="1">
        <f>IF($D110="y",C110,NA())</f>
        <v>-5.5394396072157681</v>
      </c>
      <c r="H110">
        <f>IF(OR($E$122=0,$B$67&lt;0),0,-1*MAX(($B$67/$E$122)*(E110),0))</f>
        <v>-188.23922999999255</v>
      </c>
      <c r="I110">
        <f>H110*C110</f>
        <v>1042.7398462937574</v>
      </c>
      <c r="J110">
        <f>H110*B110*-1</f>
        <v>-1027.8380609153232</v>
      </c>
      <c r="K110">
        <f ca="1">H110/$B$55</f>
        <v>-310.75635021860035</v>
      </c>
      <c r="L110">
        <f ca="1">K110/$B$54</f>
        <v>-1.0715736214434494E-2</v>
      </c>
      <c r="M110">
        <f t="shared" ref="M110:M121" si="72">IFERROR(($D$66/$B$65)*(G110-$B$125),0)</f>
        <v>-8.2523245041535642E-5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-5.4602755276642592</v>
      </c>
      <c r="R110">
        <f>IF($H110&lt;0,G110,NA())</f>
        <v>-5.5394396072157681</v>
      </c>
      <c r="T110">
        <f>(Q110*COS(-1*$B$64))+(R110*SIN(-1*$B$64))</f>
        <v>-5.4999999999999991</v>
      </c>
      <c r="U110">
        <f>(-1*Q110*SIN(-1*$B$64))+(R110*COS(-1*$B$64))</f>
        <v>-5.4999999999999982</v>
      </c>
      <c r="W110" s="4">
        <f>T110+$B$9</f>
        <v>1.5000000000000009</v>
      </c>
      <c r="X110" s="4">
        <f>U110+$C$9</f>
        <v>1.5000000000000018</v>
      </c>
      <c r="Y110">
        <f t="shared" ref="Y110:Y121" si="74">IF(AND($E$60="n",M110&gt;0,D110="y"),M110*$B$53*$E$59,0)</f>
        <v>0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188.2392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5.5394396072157681</v>
      </c>
      <c r="C111" s="1">
        <f t="shared" ref="C111:C121" si="78">(-1*B96*SIN($B$64))+(C96*COS($B$64))</f>
        <v>-5.4602755276642592</v>
      </c>
      <c r="D111" t="str">
        <f t="shared" si="76"/>
        <v>y</v>
      </c>
      <c r="E111" s="4">
        <f t="shared" si="71"/>
        <v>0.64302707203630849</v>
      </c>
      <c r="F111" s="1">
        <f t="shared" ref="F111:F121" si="79">IF($D111="y",B111,NA())</f>
        <v>5.5394396072157681</v>
      </c>
      <c r="G111" s="1">
        <f t="shared" ref="G111:G121" si="80">IF($D111="y",C111,NA())</f>
        <v>-5.4602755276642592</v>
      </c>
      <c r="H111">
        <f t="shared" ref="H111:H121" si="81">IF(OR($E$122=0,$B$67&lt;0),0,-1*MAX(($B$67/$E$122)*(E111),0))</f>
        <v>-167.60510100842157</v>
      </c>
      <c r="I111">
        <f t="shared" ref="I111:I121" si="82">H111*C111</f>
        <v>915.17003134798051</v>
      </c>
      <c r="J111">
        <f t="shared" ref="J111:J121" si="83">H111*B111*-1</f>
        <v>928.43833489744998</v>
      </c>
      <c r="K111">
        <f ca="1">H111/$B$55</f>
        <v>-276.69232108205608</v>
      </c>
      <c r="L111">
        <f t="shared" ref="L111:L121" ca="1" si="84">K111/$B$54</f>
        <v>-9.5411145200708994E-3</v>
      </c>
      <c r="M111">
        <f t="shared" si="72"/>
        <v>-7.3477334244991617E-5</v>
      </c>
      <c r="N111">
        <f t="shared" si="73"/>
        <v>0</v>
      </c>
      <c r="O111">
        <f t="shared" ref="O111:O121" si="85">N111*C111</f>
        <v>0</v>
      </c>
      <c r="P111">
        <f t="shared" ref="P111:P121" si="86">N111*B111*-1</f>
        <v>0</v>
      </c>
      <c r="Q111">
        <f t="shared" ref="Q111:Q121" si="87">IF($H111&lt;0,F111,NA())</f>
        <v>5.5394396072157681</v>
      </c>
      <c r="R111">
        <f t="shared" ref="R111:R121" si="88">IF($H111&lt;0,G111,NA())</f>
        <v>-5.4602755276642592</v>
      </c>
      <c r="T111">
        <f t="shared" ref="T111:T121" si="89">(Q111*COS(-1*$B$64))+(R111*SIN(-1*$B$64))</f>
        <v>5.4999999999999982</v>
      </c>
      <c r="U111">
        <f t="shared" ref="U111:U121" si="90">(-1*Q111*SIN(-1*$B$64))+(R111*COS(-1*$B$64))</f>
        <v>-5.4999999999999991</v>
      </c>
      <c r="W111" s="4">
        <f t="shared" ref="W111:W121" si="91">T111+$B$9</f>
        <v>12.499999999999998</v>
      </c>
      <c r="X111" s="4">
        <f t="shared" ref="X111:X121" si="92">U111+$C$9</f>
        <v>1.5000000000000009</v>
      </c>
      <c r="Y111">
        <f t="shared" si="74"/>
        <v>0</v>
      </c>
      <c r="AB111" t="str">
        <f t="shared" si="75"/>
        <v xml:space="preserve">
167.6051 kips</v>
      </c>
    </row>
    <row r="112" spans="1:28" x14ac:dyDescent="0.25">
      <c r="A112">
        <f t="shared" ref="A112:D112" si="93">A97</f>
        <v>3</v>
      </c>
      <c r="B112" s="1">
        <f t="shared" si="77"/>
        <v>-5.5394396072157681</v>
      </c>
      <c r="C112" s="1">
        <f t="shared" si="78"/>
        <v>5.4602755276642592</v>
      </c>
      <c r="D112" t="str">
        <f t="shared" si="93"/>
        <v>y</v>
      </c>
      <c r="E112" s="4">
        <f t="shared" si="71"/>
        <v>-10.277523983292209</v>
      </c>
      <c r="F112" s="1">
        <f t="shared" si="79"/>
        <v>-5.5394396072157681</v>
      </c>
      <c r="G112" s="1">
        <f t="shared" si="80"/>
        <v>5.4602755276642592</v>
      </c>
      <c r="H112">
        <f t="shared" si="81"/>
        <v>0</v>
      </c>
      <c r="I112">
        <f t="shared" si="82"/>
        <v>0</v>
      </c>
      <c r="J112">
        <f t="shared" si="83"/>
        <v>0</v>
      </c>
      <c r="K112">
        <f t="shared" ref="K112:K121" ca="1" si="94">H112/$B$55</f>
        <v>0</v>
      </c>
      <c r="L112">
        <f t="shared" ca="1" si="84"/>
        <v>0</v>
      </c>
      <c r="M112">
        <f t="shared" si="72"/>
        <v>1.1743907803754784E-3</v>
      </c>
      <c r="N112">
        <f t="shared" si="73"/>
        <v>4.2423972963717853</v>
      </c>
      <c r="O112">
        <f t="shared" si="85"/>
        <v>23.164658136007876</v>
      </c>
      <c r="P112">
        <f t="shared" si="86"/>
        <v>23.500503613066957</v>
      </c>
      <c r="Q112" t="e">
        <f t="shared" si="87"/>
        <v>#N/A</v>
      </c>
      <c r="R112" t="e">
        <f t="shared" si="88"/>
        <v>#N/A</v>
      </c>
      <c r="T112" t="e">
        <f t="shared" si="89"/>
        <v>#N/A</v>
      </c>
      <c r="U112" t="e">
        <f t="shared" si="90"/>
        <v>#N/A</v>
      </c>
      <c r="W112" s="4" t="e">
        <f t="shared" si="91"/>
        <v>#N/A</v>
      </c>
      <c r="X112" s="4" t="e">
        <f t="shared" si="92"/>
        <v>#N/A</v>
      </c>
      <c r="Y112">
        <f t="shared" si="74"/>
        <v>0</v>
      </c>
      <c r="AB112" t="str">
        <f t="shared" si="75"/>
        <v/>
      </c>
    </row>
    <row r="113" spans="1:28" x14ac:dyDescent="0.25">
      <c r="A113">
        <f t="shared" ref="A113:D113" si="95">A98</f>
        <v>4</v>
      </c>
      <c r="B113" s="1">
        <f t="shared" si="77"/>
        <v>5.4602755276642592</v>
      </c>
      <c r="C113" s="1">
        <f t="shared" si="78"/>
        <v>5.5394396072157681</v>
      </c>
      <c r="D113" t="str">
        <f t="shared" si="95"/>
        <v>y</v>
      </c>
      <c r="E113" s="4">
        <f t="shared" si="71"/>
        <v>-10.35668806284372</v>
      </c>
      <c r="F113" s="1">
        <f t="shared" si="79"/>
        <v>5.4602755276642592</v>
      </c>
      <c r="G113" s="1">
        <f t="shared" si="80"/>
        <v>5.5394396072157681</v>
      </c>
      <c r="H113">
        <f t="shared" si="81"/>
        <v>0</v>
      </c>
      <c r="I113">
        <f t="shared" si="82"/>
        <v>0</v>
      </c>
      <c r="J113">
        <f t="shared" si="83"/>
        <v>0</v>
      </c>
      <c r="K113">
        <f t="shared" ca="1" si="94"/>
        <v>0</v>
      </c>
      <c r="L113">
        <f t="shared" ca="1" si="84"/>
        <v>0</v>
      </c>
      <c r="M113">
        <f t="shared" si="72"/>
        <v>1.1834366911720226E-3</v>
      </c>
      <c r="N113">
        <f t="shared" si="73"/>
        <v>4.275074960525628</v>
      </c>
      <c r="O113">
        <f t="shared" si="85"/>
        <v>23.681519560152051</v>
      </c>
      <c r="P113">
        <f t="shared" si="86"/>
        <v>-23.343087185888336</v>
      </c>
      <c r="Q113" t="e">
        <f t="shared" si="87"/>
        <v>#N/A</v>
      </c>
      <c r="R113" t="e">
        <f t="shared" si="88"/>
        <v>#N/A</v>
      </c>
      <c r="T113" t="e">
        <f t="shared" si="89"/>
        <v>#N/A</v>
      </c>
      <c r="U113" t="e">
        <f t="shared" si="90"/>
        <v>#N/A</v>
      </c>
      <c r="W113" s="4" t="e">
        <f t="shared" si="91"/>
        <v>#N/A</v>
      </c>
      <c r="X113" s="4" t="e">
        <f t="shared" si="92"/>
        <v>#N/A</v>
      </c>
      <c r="Y113">
        <f t="shared" si="74"/>
        <v>0</v>
      </c>
      <c r="AB113" t="str">
        <f t="shared" si="75"/>
        <v/>
      </c>
    </row>
    <row r="114" spans="1:28" x14ac:dyDescent="0.25">
      <c r="A114">
        <f t="shared" ref="A114:D114" si="96">A99</f>
        <v>5</v>
      </c>
      <c r="B114" s="1">
        <f t="shared" si="77"/>
        <v>-6.9494415806636027</v>
      </c>
      <c r="C114" s="1">
        <f t="shared" si="78"/>
        <v>-7.0501958637291597</v>
      </c>
      <c r="D114" t="str">
        <f t="shared" si="96"/>
        <v>n</v>
      </c>
      <c r="E114" s="4">
        <f t="shared" si="71"/>
        <v>0</v>
      </c>
      <c r="F114" s="1" t="e">
        <f t="shared" si="79"/>
        <v>#N/A</v>
      </c>
      <c r="G114" s="1" t="e">
        <f t="shared" si="80"/>
        <v>#N/A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4"/>
        <v>0</v>
      </c>
      <c r="L114">
        <f t="shared" ca="1" si="84"/>
        <v>0</v>
      </c>
      <c r="M114">
        <f t="shared" si="72"/>
        <v>0</v>
      </c>
      <c r="N114">
        <f t="shared" si="73"/>
        <v>0</v>
      </c>
      <c r="O114">
        <f t="shared" si="85"/>
        <v>0</v>
      </c>
      <c r="P114">
        <f t="shared" si="86"/>
        <v>0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4"/>
        <v>0</v>
      </c>
      <c r="AB114" t="str">
        <f t="shared" si="75"/>
        <v/>
      </c>
    </row>
    <row r="115" spans="1:28" x14ac:dyDescent="0.25">
      <c r="A115">
        <f t="shared" ref="A115:D115" si="97">A100</f>
        <v>6</v>
      </c>
      <c r="B115" s="1">
        <f t="shared" si="77"/>
        <v>-6.9494415806636027</v>
      </c>
      <c r="C115" s="1">
        <f t="shared" si="78"/>
        <v>-7.0501958637291597</v>
      </c>
      <c r="D115" t="str">
        <f t="shared" si="97"/>
        <v>n</v>
      </c>
      <c r="E115" s="4">
        <f t="shared" si="71"/>
        <v>0</v>
      </c>
      <c r="F115" s="1" t="e">
        <f t="shared" si="79"/>
        <v>#N/A</v>
      </c>
      <c r="G115" s="1" t="e">
        <f t="shared" si="80"/>
        <v>#N/A</v>
      </c>
      <c r="H115">
        <f t="shared" si="81"/>
        <v>0</v>
      </c>
      <c r="I115">
        <f t="shared" si="82"/>
        <v>0</v>
      </c>
      <c r="J115">
        <f t="shared" si="83"/>
        <v>0</v>
      </c>
      <c r="K115">
        <f t="shared" ca="1" si="94"/>
        <v>0</v>
      </c>
      <c r="L115">
        <f t="shared" ca="1" si="84"/>
        <v>0</v>
      </c>
      <c r="M115">
        <f t="shared" si="72"/>
        <v>0</v>
      </c>
      <c r="N115">
        <f t="shared" si="73"/>
        <v>0</v>
      </c>
      <c r="O115">
        <f t="shared" si="85"/>
        <v>0</v>
      </c>
      <c r="P115">
        <f t="shared" si="86"/>
        <v>0</v>
      </c>
      <c r="Q115" t="e">
        <f t="shared" si="87"/>
        <v>#N/A</v>
      </c>
      <c r="R115" t="e">
        <f t="shared" si="88"/>
        <v>#N/A</v>
      </c>
      <c r="T115" t="e">
        <f t="shared" si="89"/>
        <v>#N/A</v>
      </c>
      <c r="U115" t="e">
        <f t="shared" si="90"/>
        <v>#N/A</v>
      </c>
      <c r="W115" s="4" t="e">
        <f t="shared" si="91"/>
        <v>#N/A</v>
      </c>
      <c r="X115" s="4" t="e">
        <f t="shared" si="92"/>
        <v>#N/A</v>
      </c>
      <c r="Y115">
        <f t="shared" si="74"/>
        <v>0</v>
      </c>
      <c r="AB115" t="str">
        <f t="shared" si="75"/>
        <v/>
      </c>
    </row>
    <row r="116" spans="1:28" x14ac:dyDescent="0.25">
      <c r="A116">
        <f t="shared" ref="A116:D116" si="98">A101</f>
        <v>7</v>
      </c>
      <c r="B116" s="1">
        <f t="shared" si="77"/>
        <v>-6.9494415806636027</v>
      </c>
      <c r="C116" s="1">
        <f t="shared" si="78"/>
        <v>-7.0501958637291597</v>
      </c>
      <c r="D116" t="str">
        <f t="shared" si="98"/>
        <v>n</v>
      </c>
      <c r="E116" s="4">
        <f t="shared" si="71"/>
        <v>0</v>
      </c>
      <c r="F116" s="1" t="e">
        <f t="shared" si="79"/>
        <v>#N/A</v>
      </c>
      <c r="G116" s="1" t="e">
        <f t="shared" si="80"/>
        <v>#N/A</v>
      </c>
      <c r="H116">
        <f t="shared" si="81"/>
        <v>0</v>
      </c>
      <c r="I116">
        <f t="shared" si="82"/>
        <v>0</v>
      </c>
      <c r="J116">
        <f t="shared" si="83"/>
        <v>0</v>
      </c>
      <c r="K116">
        <f t="shared" ca="1" si="94"/>
        <v>0</v>
      </c>
      <c r="L116">
        <f t="shared" ca="1" si="84"/>
        <v>0</v>
      </c>
      <c r="M116">
        <f t="shared" si="72"/>
        <v>0</v>
      </c>
      <c r="N116">
        <f t="shared" si="73"/>
        <v>0</v>
      </c>
      <c r="O116">
        <f t="shared" si="85"/>
        <v>0</v>
      </c>
      <c r="P116">
        <f t="shared" si="86"/>
        <v>0</v>
      </c>
      <c r="Q116" t="e">
        <f t="shared" si="87"/>
        <v>#N/A</v>
      </c>
      <c r="R116" t="e">
        <f t="shared" si="88"/>
        <v>#N/A</v>
      </c>
      <c r="T116" t="e">
        <f t="shared" si="89"/>
        <v>#N/A</v>
      </c>
      <c r="U116" t="e">
        <f t="shared" si="90"/>
        <v>#N/A</v>
      </c>
      <c r="W116" s="4" t="e">
        <f t="shared" si="91"/>
        <v>#N/A</v>
      </c>
      <c r="X116" s="4" t="e">
        <f t="shared" si="92"/>
        <v>#N/A</v>
      </c>
      <c r="Y116">
        <f t="shared" si="74"/>
        <v>0</v>
      </c>
      <c r="AB116" t="str">
        <f t="shared" si="75"/>
        <v/>
      </c>
    </row>
    <row r="117" spans="1:28" x14ac:dyDescent="0.25">
      <c r="A117">
        <f t="shared" ref="A117:D117" si="99">A102</f>
        <v>8</v>
      </c>
      <c r="B117" s="1">
        <f t="shared" si="77"/>
        <v>-6.9494415806636027</v>
      </c>
      <c r="C117" s="1">
        <f t="shared" si="78"/>
        <v>-7.0501958637291597</v>
      </c>
      <c r="D117" t="str">
        <f t="shared" si="99"/>
        <v>n</v>
      </c>
      <c r="E117" s="4">
        <f t="shared" si="71"/>
        <v>0</v>
      </c>
      <c r="F117" s="1" t="e">
        <f t="shared" si="79"/>
        <v>#N/A</v>
      </c>
      <c r="G117" s="1" t="e">
        <f t="shared" si="80"/>
        <v>#N/A</v>
      </c>
      <c r="H117">
        <f t="shared" si="81"/>
        <v>0</v>
      </c>
      <c r="I117">
        <f t="shared" si="82"/>
        <v>0</v>
      </c>
      <c r="J117">
        <f t="shared" si="83"/>
        <v>0</v>
      </c>
      <c r="K117">
        <f t="shared" ca="1" si="94"/>
        <v>0</v>
      </c>
      <c r="L117">
        <f t="shared" ca="1" si="84"/>
        <v>0</v>
      </c>
      <c r="M117">
        <f t="shared" si="72"/>
        <v>0</v>
      </c>
      <c r="N117">
        <f t="shared" si="73"/>
        <v>0</v>
      </c>
      <c r="O117">
        <f t="shared" si="85"/>
        <v>0</v>
      </c>
      <c r="P117">
        <f t="shared" si="86"/>
        <v>0</v>
      </c>
      <c r="Q117" t="e">
        <f t="shared" si="87"/>
        <v>#N/A</v>
      </c>
      <c r="R117" t="e">
        <f t="shared" si="88"/>
        <v>#N/A</v>
      </c>
      <c r="T117" t="e">
        <f t="shared" si="89"/>
        <v>#N/A</v>
      </c>
      <c r="U117" t="e">
        <f t="shared" si="90"/>
        <v>#N/A</v>
      </c>
      <c r="W117" s="4" t="e">
        <f t="shared" si="91"/>
        <v>#N/A</v>
      </c>
      <c r="X117" s="4" t="e">
        <f t="shared" si="92"/>
        <v>#N/A</v>
      </c>
      <c r="Y117">
        <f t="shared" si="74"/>
        <v>0</v>
      </c>
      <c r="AB117" t="str">
        <f t="shared" si="75"/>
        <v/>
      </c>
    </row>
    <row r="118" spans="1:28" x14ac:dyDescent="0.25">
      <c r="A118">
        <f t="shared" ref="A118:D118" si="100">A103</f>
        <v>9</v>
      </c>
      <c r="B118" s="1">
        <f t="shared" si="77"/>
        <v>-6.9494415806636027</v>
      </c>
      <c r="C118" s="1">
        <f t="shared" si="78"/>
        <v>-7.0501958637291597</v>
      </c>
      <c r="D118" t="str">
        <f t="shared" si="100"/>
        <v>n</v>
      </c>
      <c r="E118" s="4">
        <f t="shared" si="71"/>
        <v>0</v>
      </c>
      <c r="F118" s="1" t="e">
        <f t="shared" si="79"/>
        <v>#N/A</v>
      </c>
      <c r="G118" s="1" t="e">
        <f t="shared" si="80"/>
        <v>#N/A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0</v>
      </c>
      <c r="N118">
        <f t="shared" si="73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-6.9494415806636027</v>
      </c>
      <c r="C119" s="1">
        <f t="shared" si="78"/>
        <v>-7.0501958637291597</v>
      </c>
      <c r="D119" t="str">
        <f t="shared" si="101"/>
        <v>n</v>
      </c>
      <c r="E119" s="4">
        <f t="shared" si="71"/>
        <v>0</v>
      </c>
      <c r="F119" s="1" t="e">
        <f t="shared" si="79"/>
        <v>#N/A</v>
      </c>
      <c r="G119" s="1" t="e">
        <f t="shared" si="80"/>
        <v>#N/A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0</v>
      </c>
      <c r="N119">
        <f t="shared" si="73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-6.9494415806636027</v>
      </c>
      <c r="C120" s="1">
        <f t="shared" si="78"/>
        <v>-7.0501958637291597</v>
      </c>
      <c r="D120" t="str">
        <f t="shared" si="102"/>
        <v>n</v>
      </c>
      <c r="E120" s="4">
        <f t="shared" si="71"/>
        <v>0</v>
      </c>
      <c r="F120" s="1" t="e">
        <f t="shared" si="79"/>
        <v>#N/A</v>
      </c>
      <c r="G120" s="1" t="e">
        <f t="shared" si="80"/>
        <v>#N/A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0</v>
      </c>
      <c r="N120">
        <f t="shared" si="73"/>
        <v>0</v>
      </c>
      <c r="O120">
        <f t="shared" si="85"/>
        <v>0</v>
      </c>
      <c r="P120">
        <f t="shared" si="86"/>
        <v>0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-6.9494415806636027</v>
      </c>
      <c r="C121" s="1">
        <f t="shared" si="78"/>
        <v>-7.0501958637291597</v>
      </c>
      <c r="D121" t="str">
        <f t="shared" si="103"/>
        <v>n</v>
      </c>
      <c r="E121" s="4">
        <f t="shared" si="71"/>
        <v>0</v>
      </c>
      <c r="F121" s="1" t="e">
        <f t="shared" si="79"/>
        <v>#N/A</v>
      </c>
      <c r="G121" s="1" t="e">
        <f t="shared" si="80"/>
        <v>#N/A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0</v>
      </c>
      <c r="N121" s="23">
        <f t="shared" si="73"/>
        <v>0</v>
      </c>
      <c r="O121" s="23">
        <f t="shared" si="85"/>
        <v>0</v>
      </c>
      <c r="P121" s="23">
        <f t="shared" si="86"/>
        <v>0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0.72219115158781744</v>
      </c>
      <c r="H122">
        <f>SUM(H110:H121)</f>
        <v>-355.84433100841409</v>
      </c>
      <c r="I122">
        <f t="shared" ref="I122:J122" si="104">SUM(I110:I121)</f>
        <v>1957.9098776417379</v>
      </c>
      <c r="J122">
        <f t="shared" si="104"/>
        <v>-99.399726017873263</v>
      </c>
      <c r="L122">
        <f ca="1">MIN(L110:L121)</f>
        <v>-1.0715736214434494E-2</v>
      </c>
      <c r="M122">
        <f>MIN(M110:M121)</f>
        <v>-8.2523245041535642E-5</v>
      </c>
      <c r="N122">
        <f>SUM(N110:N121)</f>
        <v>8.5174722568974133</v>
      </c>
      <c r="O122">
        <f>SUM(O110:O121)</f>
        <v>46.846177696159927</v>
      </c>
      <c r="P122">
        <f>SUM(P110:P121)</f>
        <v>0.15741642717862092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-4.8172484556279507</v>
      </c>
      <c r="F125" s="1" t="s">
        <v>27</v>
      </c>
      <c r="G125" s="1" t="s">
        <v>28</v>
      </c>
    </row>
    <row r="126" spans="1:28" x14ac:dyDescent="0.25">
      <c r="F126" s="4">
        <f>MIN(B84:B92)-1</f>
        <v>-8.0501958637291597</v>
      </c>
      <c r="G126" s="4">
        <f>B125</f>
        <v>-4.8172484556279507</v>
      </c>
      <c r="I126">
        <f>IF(OR($G$126&gt;MAX($C$84:$C$92)+5,$G$126&lt;MIN($C$84:$C$92)-5),NA(),F126)</f>
        <v>-8.0501958637291597</v>
      </c>
      <c r="J126">
        <f>IF(OR($G$126&gt;MAX($C$84:$C$92)+5,$G$126&lt;MIN($C$84:$C$92)-5),NA(),G126)</f>
        <v>-4.8172484556279507</v>
      </c>
    </row>
    <row r="127" spans="1:28" x14ac:dyDescent="0.25">
      <c r="F127" s="4">
        <f>MAX(B84:B92)+1</f>
        <v>8.0501958637291597</v>
      </c>
      <c r="G127" s="4">
        <f>G126</f>
        <v>-4.8172484556279507</v>
      </c>
      <c r="I127">
        <f>IF(OR($G$126&gt;MAX($C$84:$C$92)+5,$G$126&lt;MIN($C$84:$C$92)-5),NA(),F127)</f>
        <v>8.0501958637291597</v>
      </c>
      <c r="J127">
        <f>IF(OR($G$126&gt;MAX($C$84:$C$92)+5,$G$126&lt;MIN($C$84:$C$92)-5),NA(),G127)</f>
        <v>-4.8172484556279507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-6.9494415806636027</v>
      </c>
      <c r="C132" s="4">
        <f>C84</f>
        <v>-7.0501958637291597</v>
      </c>
      <c r="D132" s="4">
        <f t="shared" ref="D132:E139" si="105">B85</f>
        <v>7.0501958637291597</v>
      </c>
      <c r="E132" s="4">
        <f t="shared" si="105"/>
        <v>-6.9494415806636027</v>
      </c>
      <c r="F132" s="4">
        <f t="shared" ref="F132:F139" si="106">($B$66/$B$65)*(C132-$B$125)</f>
        <v>-1.0395696072183054</v>
      </c>
      <c r="G132" s="4">
        <f t="shared" ref="G132:G139" si="107">($B$66/$B$65)*(E132-$B$125)</f>
        <v>-0.99266250582755222</v>
      </c>
      <c r="H132" s="4">
        <f>IF(B132=D132,"V",(C132-E132)/(B132-D132))</f>
        <v>7.1969208821126901E-3</v>
      </c>
      <c r="I132" s="4">
        <f>IF(H132="V",0,(-1*B132*H132)+C132)</f>
        <v>-7.0001812824982599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8">D132</f>
        <v>7.0501958637291597</v>
      </c>
      <c r="C133" s="4">
        <f t="shared" si="108"/>
        <v>-6.9494415806636027</v>
      </c>
      <c r="D133" s="4">
        <f t="shared" si="105"/>
        <v>6.9494415806636027</v>
      </c>
      <c r="E133" s="4">
        <f t="shared" si="105"/>
        <v>7.0501958637291597</v>
      </c>
      <c r="F133" s="4">
        <f t="shared" si="106"/>
        <v>-0.99266250582755222</v>
      </c>
      <c r="G133" s="4">
        <f t="shared" si="107"/>
        <v>5.5250000000000004</v>
      </c>
      <c r="H133" s="4">
        <f t="shared" ref="H133:H139" si="109">IF(B133=D133,"V",(C133-E133)/(B133-D133))</f>
        <v>-138.94831086519397</v>
      </c>
      <c r="I133" s="4">
        <f t="shared" ref="I133:I139" si="110">IF(H133="V",0,(-1*B133*H133)+C133)</f>
        <v>972.66336495328039</v>
      </c>
      <c r="J133" s="4">
        <f t="shared" ref="J133:J139" si="111">IF($F133&gt;=0,B133,IF(AND($F133&lt;0,$G133&gt;=0),IF(H133="V",B133,($B$125-I133)/H133),0))</f>
        <v>7.0348506385028928</v>
      </c>
      <c r="K133" s="4">
        <f t="shared" ref="K133:K139" si="112">IF($F133&gt;=0,C133,IF(AND($F133&lt;0,$G133&gt;=0),$B$125,0))</f>
        <v>-4.8172484556279507</v>
      </c>
      <c r="L133" s="4">
        <f t="shared" ref="L133:L139" si="113">IF($G133&gt;=0,D133,IF(AND($G133&lt;0,$F133&gt;=0),IF(H133="V",D133,($B$125-I133)/H133),0))</f>
        <v>6.9494415806636027</v>
      </c>
      <c r="M133" s="4">
        <f t="shared" ref="M133:M139" si="114">IF($G133&gt;=0,E133,IF(AND($G133&lt;0,$F133&gt;=0),$B$125,0))</f>
        <v>7.0501958637291597</v>
      </c>
      <c r="N133" s="4">
        <f t="shared" ref="N133:N139" si="115">IF(F133&lt;0,IF($I$54="Linear",0,$B$66),IF($I$54="Linear",F133,$B$66))</f>
        <v>0</v>
      </c>
      <c r="O133" s="4">
        <f t="shared" ref="O133:O138" si="116">IF(G133&lt;0,IF($I$54="Linear",0,$B$66),IF($I$54="Linear",G133,$B$66))</f>
        <v>5.5250000000000004</v>
      </c>
      <c r="P133" s="4">
        <f t="shared" ref="P133:P139" si="117">(1/6)*(M133-K133)*((N133*((2*J133)+L133))+(O133*(J133+(2*L133))))</f>
        <v>228.76255157802419</v>
      </c>
      <c r="Q133" s="4">
        <f t="shared" ref="Q133:Q139" si="118">((1/12)*(M133-K133)*(N133*J133*((3*K133)+M133)+N133*L133*(K133+M133)+O133*J133*(K133+M133)+O133*L133*(K133+(3*M133))))</f>
        <v>706.03244404068766</v>
      </c>
      <c r="R133" s="4">
        <f t="shared" ref="R133:R139" si="119">((-1/24)*(M133-K133)*(J133*J133*((3*N133)+O133)+2*J133*L133*(N133+O133)+L133*L133*(N133+(3*O133))))</f>
        <v>-798.14903602653112</v>
      </c>
      <c r="U133">
        <f t="shared" ref="U133:U153" si="120">IF(AND(J133=0,K133=0,L133=0,M133=0),NA(),J133)</f>
        <v>7.0348506385028928</v>
      </c>
      <c r="V133">
        <f t="shared" ref="V133:V153" si="121">IF(AND(J133=0,K133=0,L133=0,M133=0),NA(),K133)</f>
        <v>-4.8172484556279507</v>
      </c>
      <c r="W133" s="9" t="str">
        <f t="shared" ref="W133:W144" si="122">IF(AND(J133=0,K133=0,L133=0,M133=0),"",ROUND(N133,4)&amp;" ksi")</f>
        <v>0 ksi</v>
      </c>
      <c r="X133">
        <f t="shared" ref="X133:X139" si="123">(U133*COS(-1*$B$64))+(V133*SIN(-1*$B$64))</f>
        <v>6.9999999999999982</v>
      </c>
      <c r="Y133">
        <f t="shared" ref="Y133:Y139" si="124">(-1*U133*SIN(-1*$B$64))+(V133*COS(-1*$B$64))</f>
        <v>-4.8677516564934216</v>
      </c>
      <c r="AA133" s="4">
        <f t="shared" ref="AA133:AA139" si="125">X133+$B$9</f>
        <v>13.999999999999998</v>
      </c>
      <c r="AB133" s="4">
        <f t="shared" ref="AB133:AB139" si="126">Y133+$C$9</f>
        <v>2.1322483435065784</v>
      </c>
      <c r="AD133">
        <f t="shared" ref="AD133:AD139" si="127">IF(AND(J133=0,K133=0,L133=0,M133=0),NA(),L133)</f>
        <v>6.9494415806636027</v>
      </c>
      <c r="AE133">
        <f t="shared" ref="AE133:AE139" si="128">IF(AND(J133=0,K133=0,L133=0,M133=0),NA(),M133)</f>
        <v>7.0501958637291597</v>
      </c>
      <c r="AF133" s="9" t="str">
        <f t="shared" ref="AF133:AF139" si="129">IF(AND(J133=0,K133=0,L133=0,M133=0),"",ROUND(O133,4)&amp;" ksi")</f>
        <v>5.525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6.9494415806636027</v>
      </c>
      <c r="C134" s="4">
        <f t="shared" si="108"/>
        <v>7.0501958637291597</v>
      </c>
      <c r="D134" s="4">
        <f t="shared" si="105"/>
        <v>-7.0501958637291597</v>
      </c>
      <c r="E134" s="4">
        <f t="shared" si="105"/>
        <v>6.9494415806636027</v>
      </c>
      <c r="F134" s="4">
        <f t="shared" si="106"/>
        <v>5.5250000000000004</v>
      </c>
      <c r="G134" s="4">
        <f t="shared" si="107"/>
        <v>5.4780928986092468</v>
      </c>
      <c r="H134" s="4">
        <f t="shared" si="109"/>
        <v>7.1969208821126901E-3</v>
      </c>
      <c r="I134" s="4">
        <f t="shared" si="110"/>
        <v>7.0001812824982599</v>
      </c>
      <c r="J134" s="4">
        <f t="shared" si="111"/>
        <v>6.9494415806636027</v>
      </c>
      <c r="K134" s="4">
        <f t="shared" si="112"/>
        <v>7.0501958637291597</v>
      </c>
      <c r="L134" s="4">
        <f t="shared" si="113"/>
        <v>-7.0501958637291597</v>
      </c>
      <c r="M134" s="4">
        <f t="shared" si="114"/>
        <v>6.9494415806636027</v>
      </c>
      <c r="N134" s="4">
        <f t="shared" si="115"/>
        <v>5.5250000000000004</v>
      </c>
      <c r="O134" s="4">
        <f t="shared" si="116"/>
        <v>5.4780928986092468</v>
      </c>
      <c r="P134" s="4">
        <f t="shared" si="117"/>
        <v>2.2410639134362569E-2</v>
      </c>
      <c r="Q134" s="4">
        <f t="shared" si="118"/>
        <v>9.1717468668875091E-2</v>
      </c>
      <c r="R134" s="4">
        <f t="shared" si="119"/>
        <v>4.5270101614055376</v>
      </c>
      <c r="U134">
        <f t="shared" si="120"/>
        <v>6.9494415806636027</v>
      </c>
      <c r="V134">
        <f t="shared" si="121"/>
        <v>7.0501958637291597</v>
      </c>
      <c r="W134" s="9" t="str">
        <f t="shared" si="122"/>
        <v>5.525 ksi</v>
      </c>
      <c r="X134">
        <f t="shared" si="123"/>
        <v>6.9999999999999991</v>
      </c>
      <c r="Y134">
        <f t="shared" si="124"/>
        <v>6.9999999999999991</v>
      </c>
      <c r="AA134" s="4">
        <f t="shared" si="125"/>
        <v>14</v>
      </c>
      <c r="AB134" s="4">
        <f t="shared" si="126"/>
        <v>14</v>
      </c>
      <c r="AD134">
        <f t="shared" si="127"/>
        <v>-7.0501958637291597</v>
      </c>
      <c r="AE134">
        <f t="shared" si="128"/>
        <v>6.9494415806636027</v>
      </c>
      <c r="AF134" s="9" t="str">
        <f t="shared" si="129"/>
        <v>5.4781 ksi</v>
      </c>
      <c r="AG134" t="e">
        <f t="shared" si="130"/>
        <v>#N/A</v>
      </c>
      <c r="AH134" t="e">
        <f t="shared" si="131"/>
        <v>#N/A</v>
      </c>
      <c r="AI134" t="str">
        <f t="shared" si="132"/>
        <v/>
      </c>
      <c r="AJ134" t="e">
        <f t="shared" si="133"/>
        <v>#N/A</v>
      </c>
      <c r="AK134" t="e">
        <f t="shared" si="134"/>
        <v>#N/A</v>
      </c>
      <c r="AM134" s="4" t="e">
        <f t="shared" si="135"/>
        <v>#N/A</v>
      </c>
      <c r="AN134" s="4" t="e">
        <f t="shared" si="136"/>
        <v>#N/A</v>
      </c>
    </row>
    <row r="135" spans="1:40" x14ac:dyDescent="0.25">
      <c r="A135" t="s">
        <v>72</v>
      </c>
      <c r="B135" s="4">
        <f t="shared" si="108"/>
        <v>-7.0501958637291597</v>
      </c>
      <c r="C135" s="4">
        <f t="shared" si="108"/>
        <v>6.9494415806636027</v>
      </c>
      <c r="D135" s="4">
        <f t="shared" si="105"/>
        <v>-6.9494415806636027</v>
      </c>
      <c r="E135" s="4">
        <f t="shared" si="105"/>
        <v>-7.0501958637291597</v>
      </c>
      <c r="F135" s="4">
        <f t="shared" si="106"/>
        <v>5.4780928986092468</v>
      </c>
      <c r="G135" s="4">
        <f t="shared" si="107"/>
        <v>-1.0395696072183054</v>
      </c>
      <c r="H135" s="4">
        <f t="shared" si="109"/>
        <v>-138.94831086519397</v>
      </c>
      <c r="I135" s="4">
        <f t="shared" si="110"/>
        <v>-972.66336495328039</v>
      </c>
      <c r="J135" s="4">
        <f t="shared" si="111"/>
        <v>-7.0501958637291597</v>
      </c>
      <c r="K135" s="4">
        <f t="shared" si="112"/>
        <v>6.9494415806636027</v>
      </c>
      <c r="L135" s="4">
        <f t="shared" si="113"/>
        <v>-6.965511926493626</v>
      </c>
      <c r="M135" s="4">
        <f t="shared" si="114"/>
        <v>-4.8172484556279507</v>
      </c>
      <c r="N135" s="4">
        <f t="shared" si="115"/>
        <v>5.4780928986092468</v>
      </c>
      <c r="O135" s="4">
        <f t="shared" si="116"/>
        <v>0</v>
      </c>
      <c r="P135" s="4">
        <f t="shared" si="117"/>
        <v>226.3145881182235</v>
      </c>
      <c r="Q135" s="4">
        <f t="shared" si="118"/>
        <v>686.88631063211176</v>
      </c>
      <c r="R135" s="4">
        <f t="shared" si="119"/>
        <v>794.5933050670584</v>
      </c>
      <c r="U135">
        <f t="shared" si="120"/>
        <v>-7.0501958637291597</v>
      </c>
      <c r="V135">
        <f t="shared" si="121"/>
        <v>6.9494415806636027</v>
      </c>
      <c r="W135" s="9" t="str">
        <f t="shared" si="122"/>
        <v>5.4781 ksi</v>
      </c>
      <c r="X135">
        <f t="shared" si="123"/>
        <v>-6.9999999999999991</v>
      </c>
      <c r="Y135">
        <f t="shared" si="124"/>
        <v>6.9999999999999991</v>
      </c>
      <c r="AA135" s="4">
        <f t="shared" si="125"/>
        <v>0</v>
      </c>
      <c r="AB135" s="4">
        <f t="shared" si="126"/>
        <v>14</v>
      </c>
      <c r="AD135">
        <f t="shared" si="127"/>
        <v>-6.965511926493626</v>
      </c>
      <c r="AE135">
        <f t="shared" si="128"/>
        <v>-4.8172484556279507</v>
      </c>
      <c r="AF135" s="9" t="str">
        <f t="shared" si="129"/>
        <v>0 ksi</v>
      </c>
      <c r="AG135">
        <f t="shared" si="130"/>
        <v>-6.965511926493626</v>
      </c>
      <c r="AH135">
        <f t="shared" si="131"/>
        <v>-4.8172484556279507</v>
      </c>
      <c r="AI135" t="str">
        <f t="shared" si="132"/>
        <v>0 ksi</v>
      </c>
      <c r="AJ135">
        <f t="shared" si="133"/>
        <v>-7</v>
      </c>
      <c r="AK135">
        <f t="shared" si="134"/>
        <v>-4.7669947641438437</v>
      </c>
      <c r="AM135" s="4">
        <f t="shared" si="135"/>
        <v>0</v>
      </c>
      <c r="AN135" s="4">
        <f t="shared" si="136"/>
        <v>2.2330052358561563</v>
      </c>
    </row>
    <row r="136" spans="1:40" x14ac:dyDescent="0.25">
      <c r="A136" t="s">
        <v>73</v>
      </c>
      <c r="B136" s="4">
        <f t="shared" si="108"/>
        <v>-6.9494415806636027</v>
      </c>
      <c r="C136" s="4">
        <f t="shared" si="108"/>
        <v>-7.0501958637291597</v>
      </c>
      <c r="D136" s="4">
        <f t="shared" si="105"/>
        <v>-6.9494415806636027</v>
      </c>
      <c r="E136" s="4">
        <f t="shared" si="105"/>
        <v>-7.0501958637291597</v>
      </c>
      <c r="F136" s="4">
        <f t="shared" si="106"/>
        <v>-1.0395696072183054</v>
      </c>
      <c r="G136" s="4">
        <f t="shared" si="107"/>
        <v>-1.0395696072183054</v>
      </c>
      <c r="H136" s="4" t="str">
        <f t="shared" si="109"/>
        <v>V</v>
      </c>
      <c r="I136" s="4">
        <f t="shared" si="110"/>
        <v>0</v>
      </c>
      <c r="J136" s="4">
        <f t="shared" si="111"/>
        <v>0</v>
      </c>
      <c r="K136" s="4">
        <f t="shared" si="112"/>
        <v>0</v>
      </c>
      <c r="L136" s="4">
        <f t="shared" si="113"/>
        <v>0</v>
      </c>
      <c r="M136" s="4">
        <f t="shared" si="114"/>
        <v>0</v>
      </c>
      <c r="N136" s="4">
        <f t="shared" si="115"/>
        <v>0</v>
      </c>
      <c r="O136" s="4">
        <f t="shared" si="116"/>
        <v>0</v>
      </c>
      <c r="P136" s="4">
        <f t="shared" si="117"/>
        <v>0</v>
      </c>
      <c r="Q136" s="4">
        <f t="shared" si="118"/>
        <v>0</v>
      </c>
      <c r="R136" s="4">
        <f t="shared" si="119"/>
        <v>0</v>
      </c>
      <c r="U136" t="e">
        <f t="shared" si="120"/>
        <v>#N/A</v>
      </c>
      <c r="V136" t="e">
        <f t="shared" si="121"/>
        <v>#N/A</v>
      </c>
      <c r="W136" s="9" t="str">
        <f t="shared" si="122"/>
        <v/>
      </c>
      <c r="X136" t="e">
        <f t="shared" si="123"/>
        <v>#N/A</v>
      </c>
      <c r="Y136" t="e">
        <f t="shared" si="124"/>
        <v>#N/A</v>
      </c>
      <c r="AA136" s="4" t="e">
        <f t="shared" si="125"/>
        <v>#N/A</v>
      </c>
      <c r="AB136" s="4" t="e">
        <f t="shared" si="126"/>
        <v>#N/A</v>
      </c>
      <c r="AD136" t="e">
        <f t="shared" si="127"/>
        <v>#N/A</v>
      </c>
      <c r="AE136" t="e">
        <f t="shared" si="128"/>
        <v>#N/A</v>
      </c>
      <c r="AF136" s="9" t="str">
        <f t="shared" si="129"/>
        <v/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-6.9494415806636027</v>
      </c>
      <c r="C137" s="4">
        <f t="shared" si="108"/>
        <v>-7.0501958637291597</v>
      </c>
      <c r="D137" s="4">
        <f t="shared" si="105"/>
        <v>-6.9494415806636027</v>
      </c>
      <c r="E137" s="4">
        <f t="shared" si="105"/>
        <v>-7.0501958637291597</v>
      </c>
      <c r="F137" s="4">
        <f t="shared" si="106"/>
        <v>-1.0395696072183054</v>
      </c>
      <c r="G137" s="4">
        <f t="shared" si="107"/>
        <v>-1.0395696072183054</v>
      </c>
      <c r="H137" s="4" t="str">
        <f t="shared" si="109"/>
        <v>V</v>
      </c>
      <c r="I137" s="4">
        <f t="shared" si="110"/>
        <v>0</v>
      </c>
      <c r="J137" s="4">
        <f t="shared" si="111"/>
        <v>0</v>
      </c>
      <c r="K137" s="4">
        <f t="shared" si="112"/>
        <v>0</v>
      </c>
      <c r="L137" s="4">
        <f t="shared" si="113"/>
        <v>0</v>
      </c>
      <c r="M137" s="4">
        <f t="shared" si="114"/>
        <v>0</v>
      </c>
      <c r="N137" s="4">
        <f t="shared" si="115"/>
        <v>0</v>
      </c>
      <c r="O137" s="4">
        <f t="shared" si="116"/>
        <v>0</v>
      </c>
      <c r="P137" s="4">
        <f t="shared" si="117"/>
        <v>0</v>
      </c>
      <c r="Q137" s="4">
        <f t="shared" si="118"/>
        <v>0</v>
      </c>
      <c r="R137" s="4">
        <f t="shared" si="119"/>
        <v>0</v>
      </c>
      <c r="U137" t="e">
        <f t="shared" si="120"/>
        <v>#N/A</v>
      </c>
      <c r="V137" t="e">
        <f t="shared" si="121"/>
        <v>#N/A</v>
      </c>
      <c r="W137" s="9" t="str">
        <f t="shared" si="122"/>
        <v/>
      </c>
      <c r="X137" t="e">
        <f t="shared" si="123"/>
        <v>#N/A</v>
      </c>
      <c r="Y137" t="e">
        <f t="shared" si="124"/>
        <v>#N/A</v>
      </c>
      <c r="AA137" s="4" t="e">
        <f t="shared" si="125"/>
        <v>#N/A</v>
      </c>
      <c r="AB137" s="4" t="e">
        <f t="shared" si="126"/>
        <v>#N/A</v>
      </c>
      <c r="AD137" t="e">
        <f t="shared" si="127"/>
        <v>#N/A</v>
      </c>
      <c r="AE137" t="e">
        <f t="shared" si="128"/>
        <v>#N/A</v>
      </c>
      <c r="AF137" s="9" t="str">
        <f t="shared" si="129"/>
        <v/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-6.9494415806636027</v>
      </c>
      <c r="C138" s="4">
        <f t="shared" si="108"/>
        <v>-7.0501958637291597</v>
      </c>
      <c r="D138" s="4">
        <f t="shared" si="105"/>
        <v>-6.9494415806636027</v>
      </c>
      <c r="E138" s="4">
        <f t="shared" si="105"/>
        <v>-7.0501958637291597</v>
      </c>
      <c r="F138" s="4">
        <f t="shared" si="106"/>
        <v>-1.0395696072183054</v>
      </c>
      <c r="G138" s="4">
        <f t="shared" si="107"/>
        <v>-1.0395696072183054</v>
      </c>
      <c r="H138" s="4" t="str">
        <f t="shared" si="109"/>
        <v>V</v>
      </c>
      <c r="I138" s="4">
        <f t="shared" si="110"/>
        <v>0</v>
      </c>
      <c r="J138" s="4">
        <f t="shared" si="111"/>
        <v>0</v>
      </c>
      <c r="K138" s="4">
        <f t="shared" si="112"/>
        <v>0</v>
      </c>
      <c r="L138" s="4">
        <f t="shared" si="113"/>
        <v>0</v>
      </c>
      <c r="M138" s="4">
        <f t="shared" si="114"/>
        <v>0</v>
      </c>
      <c r="N138" s="4">
        <f t="shared" si="115"/>
        <v>0</v>
      </c>
      <c r="O138" s="4">
        <f t="shared" si="116"/>
        <v>0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 t="e">
        <f t="shared" si="120"/>
        <v>#N/A</v>
      </c>
      <c r="V138" t="e">
        <f t="shared" si="121"/>
        <v>#N/A</v>
      </c>
      <c r="W138" s="9" t="str">
        <f t="shared" si="122"/>
        <v/>
      </c>
      <c r="X138" t="e">
        <f t="shared" si="123"/>
        <v>#N/A</v>
      </c>
      <c r="Y138" t="e">
        <f t="shared" si="124"/>
        <v>#N/A</v>
      </c>
      <c r="AA138" s="4" t="e">
        <f t="shared" si="125"/>
        <v>#N/A</v>
      </c>
      <c r="AB138" s="4" t="e">
        <f t="shared" si="126"/>
        <v>#N/A</v>
      </c>
      <c r="AD138" t="e">
        <f t="shared" si="127"/>
        <v>#N/A</v>
      </c>
      <c r="AE138" t="e">
        <f t="shared" si="128"/>
        <v>#N/A</v>
      </c>
      <c r="AF138" s="9" t="str">
        <f t="shared" si="129"/>
        <v/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-6.9494415806636027</v>
      </c>
      <c r="C139" s="4">
        <f>E138</f>
        <v>-7.0501958637291597</v>
      </c>
      <c r="D139" s="4">
        <f t="shared" si="105"/>
        <v>-6.9494415806636027</v>
      </c>
      <c r="E139" s="4">
        <f t="shared" si="105"/>
        <v>-7.0501958637291597</v>
      </c>
      <c r="F139" s="4">
        <f t="shared" si="106"/>
        <v>-1.0395696072183054</v>
      </c>
      <c r="G139" s="4">
        <f t="shared" si="107"/>
        <v>-1.0395696072183054</v>
      </c>
      <c r="H139" s="4" t="str">
        <f t="shared" si="109"/>
        <v>V</v>
      </c>
      <c r="I139" s="4">
        <f t="shared" si="110"/>
        <v>0</v>
      </c>
      <c r="J139" s="4">
        <f t="shared" si="111"/>
        <v>0</v>
      </c>
      <c r="K139" s="4">
        <f t="shared" si="112"/>
        <v>0</v>
      </c>
      <c r="L139" s="4">
        <f t="shared" si="113"/>
        <v>0</v>
      </c>
      <c r="M139" s="4">
        <f t="shared" si="114"/>
        <v>0</v>
      </c>
      <c r="N139" s="4">
        <f t="shared" si="115"/>
        <v>0</v>
      </c>
      <c r="O139" s="4">
        <f>IF(G139&lt;0,IF($I$54="Linear",0,$B$66),IF($I$54="Linear",G139,$B$66))</f>
        <v>0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 t="e">
        <f t="shared" si="120"/>
        <v>#N/A</v>
      </c>
      <c r="V139" t="e">
        <f t="shared" si="121"/>
        <v>#N/A</v>
      </c>
      <c r="W139" s="9" t="str">
        <f t="shared" si="122"/>
        <v/>
      </c>
      <c r="X139" t="e">
        <f t="shared" si="123"/>
        <v>#N/A</v>
      </c>
      <c r="Y139" t="e">
        <f t="shared" si="124"/>
        <v>#N/A</v>
      </c>
      <c r="AA139" s="4" t="e">
        <f t="shared" si="125"/>
        <v>#N/A</v>
      </c>
      <c r="AB139" s="4" t="e">
        <f t="shared" si="126"/>
        <v>#N/A</v>
      </c>
      <c r="AD139" t="e">
        <f t="shared" si="127"/>
        <v>#N/A</v>
      </c>
      <c r="AE139" t="e">
        <f t="shared" si="128"/>
        <v>#N/A</v>
      </c>
      <c r="AF139" s="9" t="str">
        <f t="shared" si="129"/>
        <v/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455.09955033538205</v>
      </c>
      <c r="Q140" s="4">
        <f>SUM(Q132:Q139)</f>
        <v>1393.0104721414682</v>
      </c>
      <c r="R140" s="4">
        <f>SUM(R132:R139)</f>
        <v>0.97127920193281625</v>
      </c>
      <c r="T140" t="str">
        <f>ROUND(P140,4)&amp;" kips"</f>
        <v>455.0996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-2.1342126161562665E-3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3.060891778765547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-2.9783321059986867</v>
      </c>
      <c r="C146" s="9">
        <f>J84</f>
        <v>-3.0215125130267828</v>
      </c>
      <c r="D146" s="9">
        <f t="shared" ref="D146:E153" si="137">I85</f>
        <v>-3.0215125130267828</v>
      </c>
      <c r="E146">
        <f t="shared" si="137"/>
        <v>2.9783321059986867</v>
      </c>
      <c r="F146" s="4">
        <f>($B$66/$B$65)*(C146-$B$125)</f>
        <v>0.83602170912978191</v>
      </c>
      <c r="G146" s="4">
        <f>($B$66/$B$65)*(E146-$B$125)</f>
        <v>3.6293056401987331</v>
      </c>
      <c r="H146" s="4">
        <f>IF(B146=D146,"V",(C146-E146)/(B146-D146))</f>
        <v>-138.94831086519315</v>
      </c>
      <c r="I146" s="4">
        <f>IF(H146="V",0,(-1*B146*H146)+C146)</f>
        <v>-416.85572783711768</v>
      </c>
      <c r="J146" s="4">
        <f>IF($F146&gt;=0,B146,IF(AND($F146&lt;0,$G146&gt;=0),IF(H146="V",B146,($B$125-I146)/H146),0))</f>
        <v>-2.9783321059986867</v>
      </c>
      <c r="K146" s="4">
        <f>IF($F146&gt;=0,C146,IF(AND($F146&lt;0,$G146&gt;=0),$B$125,0))</f>
        <v>-3.0215125130267828</v>
      </c>
      <c r="L146" s="4">
        <f>IF($G146&gt;=0,D146,IF(AND($G146&lt;0,$F146&gt;=0),IF(H146="V",D146,($B$125-I146)/H146),0))</f>
        <v>-3.0215125130267828</v>
      </c>
      <c r="M146" s="4">
        <f>IF($G146&gt;=0,E146,IF(AND($G146&lt;0,$F146&gt;=0),$B$125,0))</f>
        <v>2.9783321059986867</v>
      </c>
      <c r="N146" s="4">
        <f>IF(F146&lt;0,IF($I$54="Linear",0,$B$66),IF($I$54="Linear",F146,$B$66))</f>
        <v>0.83602170912978191</v>
      </c>
      <c r="O146" s="4">
        <f>IF(G146&lt;0,IF($I$54="Linear",0,$B$66),IF($I$54="Linear",G146,$B$66))</f>
        <v>3.6293056401987331</v>
      </c>
      <c r="P146" s="4">
        <f>(1/6)*(M146-K146)*((N146*((2*J146)+L146))+(O146*(J146+(2*L146))))</f>
        <v>-40.246170696932595</v>
      </c>
      <c r="Q146" s="4">
        <f>((1/12)*(M146-K146)*(N146*J146*((3*K146)+M146)+N146*L146*(K146+M146)+O146*J146*(K146+M146)+O146*L146*(K146+(3*M146))))</f>
        <v>-24.557886308900567</v>
      </c>
      <c r="R146" s="4">
        <f>((-1/24)*(M146-K146)*(J146*J146*((3*N146)+O146)+2*J146*L146*(N146+O146)+L146*L146*(N146+(3*O146))))</f>
        <v>-60.459190040590862</v>
      </c>
      <c r="U146">
        <f t="shared" si="120"/>
        <v>-2.9783321059986867</v>
      </c>
      <c r="V146">
        <f t="shared" si="121"/>
        <v>-3.0215125130267828</v>
      </c>
      <c r="W146" s="9" t="str">
        <f>IF($D$34=0,"",IF(AND(J146=0,K146=0,L146=0,M146=0),"",CHAR(10)&amp;CHAR(10)&amp;-1*ROUND(N146,4)&amp;" ksi"))</f>
        <v xml:space="preserve">
-0.836 ksi</v>
      </c>
      <c r="X146">
        <f t="shared" ref="X146:X153" si="138">(U146*COS(-1*$B$64))+(V146*SIN(-1*$B$64))</f>
        <v>-2.9999999999999991</v>
      </c>
      <c r="Y146">
        <f t="shared" ref="Y146:Y153" si="139">(-1*U146*SIN(-1*$B$64))+(V146*COS(-1*$B$64))</f>
        <v>-2.9999999999999996</v>
      </c>
      <c r="AA146" s="4">
        <f t="shared" ref="AA146:AA153" si="140">X146+$B$9</f>
        <v>4.0000000000000009</v>
      </c>
      <c r="AB146" s="4">
        <f t="shared" ref="AB146:AB153" si="141">Y146+$C$9</f>
        <v>4</v>
      </c>
      <c r="AD146">
        <f t="shared" ref="AD146:AD153" si="142">IF(AND(J146=0,K146=0,L146=0,M146=0),NA(),L146)</f>
        <v>-3.0215125130267828</v>
      </c>
      <c r="AE146">
        <f t="shared" ref="AE146:AE153" si="143">IF(AND(J146=0,K146=0,L146=0,M146=0),NA(),M146)</f>
        <v>2.9783321059986867</v>
      </c>
      <c r="AF146" s="9" t="str">
        <f>IF(AND(J146=0,K146=0,L146=0,M146=0),"",CHAR(10)&amp;CHAR(10)&amp;-1*ROUND(O146,4)&amp;" ksi")</f>
        <v xml:space="preserve">
-3.6293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-3.0215125130267828</v>
      </c>
      <c r="C147">
        <f t="shared" si="148"/>
        <v>2.9783321059986867</v>
      </c>
      <c r="D147" s="9">
        <f t="shared" si="137"/>
        <v>2.9783321059986867</v>
      </c>
      <c r="E147">
        <f t="shared" si="137"/>
        <v>3.0215125130267828</v>
      </c>
      <c r="F147" s="4">
        <f t="shared" ref="F147:F153" si="149">($B$66/$B$65)*(C147-$B$125)</f>
        <v>3.6293056401987331</v>
      </c>
      <c r="G147" s="4">
        <f t="shared" ref="G147:G153" si="150">($B$66/$B$65)*(E147-$B$125)</f>
        <v>3.6494086836519131</v>
      </c>
      <c r="H147" s="4">
        <f t="shared" ref="H147:H153" si="151">IF(B147=D147,"V",(C147-E147)/(B147-D147))</f>
        <v>7.1969208821127326E-3</v>
      </c>
      <c r="I147" s="4">
        <f t="shared" ref="I147:I153" si="152">IF(H147="V",0,(-1*B147*H147)+C147)</f>
        <v>3.000077692499254</v>
      </c>
      <c r="J147" s="4">
        <f t="shared" ref="J147:J153" si="153">IF($F147&gt;=0,B147,IF(AND($F147&lt;0,$G147&gt;=0),IF(H147="V",B147,($B$125-I147)/H147),0))</f>
        <v>-3.0215125130267828</v>
      </c>
      <c r="K147" s="4">
        <f t="shared" ref="K147:K153" si="154">IF($F147&gt;=0,C147,IF(AND($F147&lt;0,$G147&gt;=0),$B$125,0))</f>
        <v>2.9783321059986867</v>
      </c>
      <c r="L147" s="4">
        <f t="shared" ref="L147:L153" si="155">IF($G147&gt;=0,D147,IF(AND($G147&lt;0,$F147&gt;=0),IF(H147="V",D147,($B$125-I147)/H147),0))</f>
        <v>2.9783321059986867</v>
      </c>
      <c r="M147" s="4">
        <f t="shared" ref="M147:M153" si="156">IF($G147&gt;=0,E147,IF(AND($G147&lt;0,$F147&gt;=0),$B$125,0))</f>
        <v>3.0215125130267828</v>
      </c>
      <c r="N147" s="4">
        <f t="shared" ref="N147:N153" si="157">IF(F147&lt;0,IF($I$54="Linear",0,$B$66),IF($I$54="Linear",F147,$B$66))</f>
        <v>3.6293056401987331</v>
      </c>
      <c r="O147" s="4">
        <f t="shared" ref="O147:O153" si="158">IF(G147&lt;0,IF($I$54="Linear",0,$B$66),IF($I$54="Linear",G147,$B$66))</f>
        <v>3.6494086836519131</v>
      </c>
      <c r="P147" s="4">
        <f t="shared" ref="P147:P153" si="159">(1/6)*(M147-K147)*((N147*((2*J147)+L147))+(O147*(J147+(2*L147))))</f>
        <v>-2.9588596825087252E-3</v>
      </c>
      <c r="Q147" s="4">
        <f t="shared" ref="Q147:Q153" si="160">((1/12)*(M147-K147)*(N147*J147*((3*K147)+M147)+N147*L147*(K147+M147)+O147*J147*(K147+M147)+O147*L147*(K147+(3*M147))))</f>
        <v>-5.483627234037264E-3</v>
      </c>
      <c r="R147" s="4">
        <f t="shared" ref="R147:R153" si="161">((-1/24)*(M147-K147)*(J147*J147*((3*N147)+O147)+2*J147*L147*(N147+O147)+L147*L147*(N147+(3*O147))))</f>
        <v>-0.23573843246810849</v>
      </c>
      <c r="U147">
        <f t="shared" si="120"/>
        <v>-3.0215125130267828</v>
      </c>
      <c r="V147">
        <f t="shared" si="121"/>
        <v>2.9783321059986867</v>
      </c>
      <c r="W147" s="9" t="str">
        <f t="shared" ref="W147:W153" si="162">IF($D$34=0,"",IF(AND(J147=0,K147=0,L147=0,M147=0),"",CHAR(10)&amp;CHAR(10)&amp;-1*ROUND(N147,4)&amp;" ksi"))</f>
        <v xml:space="preserve">
-3.6293 ksi</v>
      </c>
      <c r="X147">
        <f t="shared" si="138"/>
        <v>-2.9999999999999996</v>
      </c>
      <c r="Y147">
        <f t="shared" si="139"/>
        <v>2.9999999999999991</v>
      </c>
      <c r="AA147" s="4">
        <f t="shared" si="140"/>
        <v>4</v>
      </c>
      <c r="AB147" s="4">
        <f t="shared" si="141"/>
        <v>10</v>
      </c>
      <c r="AD147">
        <f t="shared" si="142"/>
        <v>2.9783321059986867</v>
      </c>
      <c r="AE147">
        <f t="shared" si="143"/>
        <v>3.0215125130267828</v>
      </c>
      <c r="AF147" s="9" t="str">
        <f t="shared" ref="AF147:AF153" si="163">IF(AND(J147=0,K147=0,L147=0,M147=0),"",CHAR(10)&amp;CHAR(10)&amp;-1*ROUND(O147,4)&amp;" ksi")</f>
        <v xml:space="preserve">
-3.6494 ksi</v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2.9783321059986867</v>
      </c>
      <c r="C148">
        <f t="shared" si="148"/>
        <v>3.0215125130267828</v>
      </c>
      <c r="D148" s="9">
        <f t="shared" si="137"/>
        <v>3.0215125130267828</v>
      </c>
      <c r="E148">
        <f t="shared" si="137"/>
        <v>-2.9783321059986867</v>
      </c>
      <c r="F148" s="4">
        <f t="shared" si="149"/>
        <v>3.6494086836519131</v>
      </c>
      <c r="G148" s="4">
        <f t="shared" si="150"/>
        <v>0.85612475258296206</v>
      </c>
      <c r="H148" s="4">
        <f t="shared" si="151"/>
        <v>-138.94831086519315</v>
      </c>
      <c r="I148" s="4">
        <f t="shared" si="152"/>
        <v>416.85572783711768</v>
      </c>
      <c r="J148" s="4">
        <f t="shared" si="153"/>
        <v>2.9783321059986867</v>
      </c>
      <c r="K148" s="4">
        <f t="shared" si="154"/>
        <v>3.0215125130267828</v>
      </c>
      <c r="L148" s="4">
        <f t="shared" si="155"/>
        <v>3.0215125130267828</v>
      </c>
      <c r="M148" s="4">
        <f t="shared" si="156"/>
        <v>-2.9783321059986867</v>
      </c>
      <c r="N148" s="4">
        <f t="shared" si="157"/>
        <v>3.6494086836519131</v>
      </c>
      <c r="O148" s="4">
        <f t="shared" si="158"/>
        <v>0.85612475258296206</v>
      </c>
      <c r="P148" s="4">
        <f t="shared" si="159"/>
        <v>-40.487394724010613</v>
      </c>
      <c r="Q148" s="4">
        <f t="shared" si="160"/>
        <v>-25.719922380802476</v>
      </c>
      <c r="R148" s="4">
        <f t="shared" si="161"/>
        <v>60.640112746223764</v>
      </c>
      <c r="U148">
        <f t="shared" si="120"/>
        <v>2.9783321059986867</v>
      </c>
      <c r="V148">
        <f t="shared" si="121"/>
        <v>3.0215125130267828</v>
      </c>
      <c r="W148" s="9" t="str">
        <f t="shared" si="162"/>
        <v xml:space="preserve">
-3.6494 ksi</v>
      </c>
      <c r="X148">
        <f t="shared" si="138"/>
        <v>2.9999999999999991</v>
      </c>
      <c r="Y148">
        <f t="shared" si="139"/>
        <v>2.9999999999999996</v>
      </c>
      <c r="AA148" s="4">
        <f t="shared" si="140"/>
        <v>10</v>
      </c>
      <c r="AB148" s="4">
        <f t="shared" si="141"/>
        <v>10</v>
      </c>
      <c r="AD148">
        <f t="shared" si="142"/>
        <v>3.0215125130267828</v>
      </c>
      <c r="AE148">
        <f t="shared" si="143"/>
        <v>-2.9783321059986867</v>
      </c>
      <c r="AF148" s="9" t="str">
        <f t="shared" si="163"/>
        <v xml:space="preserve">
-0.8561 ksi</v>
      </c>
      <c r="AG148" t="e">
        <f t="shared" si="164"/>
        <v>#N/A</v>
      </c>
      <c r="AH148" t="e">
        <f t="shared" si="165"/>
        <v>#N/A</v>
      </c>
      <c r="AI148" t="str">
        <f t="shared" si="166"/>
        <v/>
      </c>
      <c r="AJ148" t="e">
        <f t="shared" si="144"/>
        <v>#N/A</v>
      </c>
      <c r="AK148" t="e">
        <f t="shared" si="145"/>
        <v>#N/A</v>
      </c>
      <c r="AM148" s="4" t="e">
        <f t="shared" si="146"/>
        <v>#N/A</v>
      </c>
      <c r="AN148" s="4" t="e">
        <f t="shared" si="147"/>
        <v>#N/A</v>
      </c>
    </row>
    <row r="149" spans="1:40" x14ac:dyDescent="0.25">
      <c r="A149" t="s">
        <v>72</v>
      </c>
      <c r="B149" s="9">
        <f t="shared" si="148"/>
        <v>3.0215125130267828</v>
      </c>
      <c r="C149">
        <f t="shared" si="148"/>
        <v>-2.9783321059986867</v>
      </c>
      <c r="D149" s="9">
        <f t="shared" si="137"/>
        <v>-2.9783321059986867</v>
      </c>
      <c r="E149">
        <f t="shared" si="137"/>
        <v>-3.0215125130267828</v>
      </c>
      <c r="F149" s="4">
        <f t="shared" si="149"/>
        <v>0.85612475258296206</v>
      </c>
      <c r="G149" s="4">
        <f t="shared" si="150"/>
        <v>0.83602170912978191</v>
      </c>
      <c r="H149" s="4">
        <f t="shared" si="151"/>
        <v>7.1969208821127326E-3</v>
      </c>
      <c r="I149" s="4">
        <f t="shared" si="152"/>
        <v>-3.000077692499254</v>
      </c>
      <c r="J149" s="4">
        <f t="shared" si="153"/>
        <v>3.0215125130267828</v>
      </c>
      <c r="K149" s="4">
        <f t="shared" si="154"/>
        <v>-2.9783321059986867</v>
      </c>
      <c r="L149" s="4">
        <f t="shared" si="155"/>
        <v>-2.9783321059986867</v>
      </c>
      <c r="M149" s="4">
        <f t="shared" si="156"/>
        <v>-3.0215125130267828</v>
      </c>
      <c r="N149" s="4">
        <f t="shared" si="157"/>
        <v>0.85612475258296206</v>
      </c>
      <c r="O149" s="4">
        <f t="shared" si="158"/>
        <v>0.83602170912978191</v>
      </c>
      <c r="P149" s="4">
        <f t="shared" si="159"/>
        <v>-1.2227894447636287E-3</v>
      </c>
      <c r="Q149" s="4">
        <f t="shared" si="160"/>
        <v>2.8794544376018727E-3</v>
      </c>
      <c r="R149" s="4">
        <f t="shared" si="161"/>
        <v>5.4815726835212041E-2</v>
      </c>
      <c r="U149">
        <f t="shared" si="120"/>
        <v>3.0215125130267828</v>
      </c>
      <c r="V149">
        <f t="shared" si="121"/>
        <v>-2.9783321059986867</v>
      </c>
      <c r="W149" s="9" t="str">
        <f t="shared" si="162"/>
        <v xml:space="preserve">
-0.8561 ksi</v>
      </c>
      <c r="X149">
        <f t="shared" si="138"/>
        <v>2.9999999999999996</v>
      </c>
      <c r="Y149">
        <f t="shared" si="139"/>
        <v>-2.9999999999999991</v>
      </c>
      <c r="AA149" s="4">
        <f t="shared" si="140"/>
        <v>10</v>
      </c>
      <c r="AB149" s="4">
        <f t="shared" si="141"/>
        <v>4.0000000000000009</v>
      </c>
      <c r="AD149">
        <f t="shared" si="142"/>
        <v>-2.9783321059986867</v>
      </c>
      <c r="AE149">
        <f t="shared" si="143"/>
        <v>-3.0215125130267828</v>
      </c>
      <c r="AF149" s="9" t="str">
        <f t="shared" si="163"/>
        <v xml:space="preserve">
-0.836 ksi</v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-2.9783321059986867</v>
      </c>
      <c r="C150">
        <f t="shared" si="148"/>
        <v>-3.0215125130267828</v>
      </c>
      <c r="D150" s="9">
        <f t="shared" si="137"/>
        <v>-2.9783321059986867</v>
      </c>
      <c r="E150">
        <f t="shared" si="137"/>
        <v>-3.0215125130267828</v>
      </c>
      <c r="F150" s="4">
        <f t="shared" si="149"/>
        <v>0.83602170912978191</v>
      </c>
      <c r="G150" s="4">
        <f t="shared" si="150"/>
        <v>0.83602170912978191</v>
      </c>
      <c r="H150" s="4" t="str">
        <f t="shared" si="151"/>
        <v>V</v>
      </c>
      <c r="I150" s="4">
        <f t="shared" si="152"/>
        <v>0</v>
      </c>
      <c r="J150" s="4">
        <f t="shared" si="153"/>
        <v>-2.9783321059986867</v>
      </c>
      <c r="K150" s="4">
        <f t="shared" si="154"/>
        <v>-3.0215125130267828</v>
      </c>
      <c r="L150" s="4">
        <f t="shared" si="155"/>
        <v>-2.9783321059986867</v>
      </c>
      <c r="M150" s="4">
        <f t="shared" si="156"/>
        <v>-3.0215125130267828</v>
      </c>
      <c r="N150" s="4">
        <f t="shared" si="157"/>
        <v>0.83602170912978191</v>
      </c>
      <c r="O150" s="4">
        <f t="shared" si="158"/>
        <v>0.83602170912978191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>
        <f t="shared" si="120"/>
        <v>-2.9783321059986867</v>
      </c>
      <c r="V150">
        <f t="shared" si="121"/>
        <v>-3.0215125130267828</v>
      </c>
      <c r="W150" s="9" t="str">
        <f t="shared" si="162"/>
        <v xml:space="preserve">
-0.836 ksi</v>
      </c>
      <c r="X150">
        <f t="shared" si="138"/>
        <v>-2.9999999999999991</v>
      </c>
      <c r="Y150">
        <f t="shared" si="139"/>
        <v>-2.9999999999999996</v>
      </c>
      <c r="AA150" s="4">
        <f t="shared" si="140"/>
        <v>4.0000000000000009</v>
      </c>
      <c r="AB150" s="4">
        <f t="shared" si="141"/>
        <v>4</v>
      </c>
      <c r="AD150">
        <f t="shared" si="142"/>
        <v>-2.9783321059986867</v>
      </c>
      <c r="AE150">
        <f t="shared" si="143"/>
        <v>-3.0215125130267828</v>
      </c>
      <c r="AF150" s="9" t="str">
        <f t="shared" si="163"/>
        <v xml:space="preserve">
-0.836 ksi</v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-2.9783321059986867</v>
      </c>
      <c r="C151">
        <f t="shared" si="148"/>
        <v>-3.0215125130267828</v>
      </c>
      <c r="D151" s="9">
        <f t="shared" si="137"/>
        <v>-2.9783321059986867</v>
      </c>
      <c r="E151">
        <f t="shared" si="137"/>
        <v>-3.0215125130267828</v>
      </c>
      <c r="F151" s="4">
        <f t="shared" si="149"/>
        <v>0.83602170912978191</v>
      </c>
      <c r="G151" s="4">
        <f t="shared" si="150"/>
        <v>0.83602170912978191</v>
      </c>
      <c r="H151" s="4" t="str">
        <f t="shared" si="151"/>
        <v>V</v>
      </c>
      <c r="I151" s="4">
        <f t="shared" si="152"/>
        <v>0</v>
      </c>
      <c r="J151" s="4">
        <f t="shared" si="153"/>
        <v>-2.9783321059986867</v>
      </c>
      <c r="K151" s="4">
        <f t="shared" si="154"/>
        <v>-3.0215125130267828</v>
      </c>
      <c r="L151" s="4">
        <f t="shared" si="155"/>
        <v>-2.9783321059986867</v>
      </c>
      <c r="M151" s="4">
        <f t="shared" si="156"/>
        <v>-3.0215125130267828</v>
      </c>
      <c r="N151" s="4">
        <f t="shared" si="157"/>
        <v>0.83602170912978191</v>
      </c>
      <c r="O151" s="4">
        <f t="shared" si="158"/>
        <v>0.83602170912978191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>
        <f t="shared" si="120"/>
        <v>-2.9783321059986867</v>
      </c>
      <c r="V151">
        <f t="shared" si="121"/>
        <v>-3.0215125130267828</v>
      </c>
      <c r="W151" s="9" t="str">
        <f t="shared" si="162"/>
        <v xml:space="preserve">
-0.836 ksi</v>
      </c>
      <c r="X151">
        <f t="shared" si="138"/>
        <v>-2.9999999999999991</v>
      </c>
      <c r="Y151">
        <f t="shared" si="139"/>
        <v>-2.9999999999999996</v>
      </c>
      <c r="AA151" s="4">
        <f t="shared" si="140"/>
        <v>4.0000000000000009</v>
      </c>
      <c r="AB151" s="4">
        <f t="shared" si="141"/>
        <v>4</v>
      </c>
      <c r="AD151">
        <f t="shared" si="142"/>
        <v>-2.9783321059986867</v>
      </c>
      <c r="AE151">
        <f t="shared" si="143"/>
        <v>-3.0215125130267828</v>
      </c>
      <c r="AF151" s="9" t="str">
        <f t="shared" si="163"/>
        <v xml:space="preserve">
-0.836 ksi</v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-2.9783321059986867</v>
      </c>
      <c r="C152">
        <f t="shared" si="148"/>
        <v>-3.0215125130267828</v>
      </c>
      <c r="D152" s="9">
        <f t="shared" si="137"/>
        <v>-2.9783321059986867</v>
      </c>
      <c r="E152">
        <f t="shared" si="137"/>
        <v>-3.0215125130267828</v>
      </c>
      <c r="F152" s="4">
        <f t="shared" si="149"/>
        <v>0.83602170912978191</v>
      </c>
      <c r="G152" s="4">
        <f t="shared" si="150"/>
        <v>0.83602170912978191</v>
      </c>
      <c r="H152" s="4" t="str">
        <f t="shared" si="151"/>
        <v>V</v>
      </c>
      <c r="I152" s="4">
        <f t="shared" si="152"/>
        <v>0</v>
      </c>
      <c r="J152" s="4">
        <f t="shared" si="153"/>
        <v>-2.9783321059986867</v>
      </c>
      <c r="K152" s="4">
        <f t="shared" si="154"/>
        <v>-3.0215125130267828</v>
      </c>
      <c r="L152" s="4">
        <f t="shared" si="155"/>
        <v>-2.9783321059986867</v>
      </c>
      <c r="M152" s="4">
        <f t="shared" si="156"/>
        <v>-3.0215125130267828</v>
      </c>
      <c r="N152" s="4">
        <f t="shared" si="157"/>
        <v>0.83602170912978191</v>
      </c>
      <c r="O152" s="4">
        <f t="shared" si="158"/>
        <v>0.83602170912978191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>
        <f t="shared" si="120"/>
        <v>-2.9783321059986867</v>
      </c>
      <c r="V152">
        <f t="shared" si="121"/>
        <v>-3.0215125130267828</v>
      </c>
      <c r="W152" s="9" t="str">
        <f t="shared" si="162"/>
        <v xml:space="preserve">
-0.836 ksi</v>
      </c>
      <c r="X152">
        <f t="shared" si="138"/>
        <v>-2.9999999999999991</v>
      </c>
      <c r="Y152">
        <f t="shared" si="139"/>
        <v>-2.9999999999999996</v>
      </c>
      <c r="AA152" s="4">
        <f t="shared" si="140"/>
        <v>4.0000000000000009</v>
      </c>
      <c r="AB152" s="4">
        <f t="shared" si="141"/>
        <v>4</v>
      </c>
      <c r="AD152">
        <f t="shared" si="142"/>
        <v>-2.9783321059986867</v>
      </c>
      <c r="AE152">
        <f t="shared" si="143"/>
        <v>-3.0215125130267828</v>
      </c>
      <c r="AF152" s="9" t="str">
        <f t="shared" si="163"/>
        <v xml:space="preserve">
-0.836 ksi</v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-2.9783321059986867</v>
      </c>
      <c r="C153">
        <f t="shared" si="148"/>
        <v>-3.0215125130267828</v>
      </c>
      <c r="D153" s="9">
        <f t="shared" si="137"/>
        <v>-2.9783321059986867</v>
      </c>
      <c r="E153">
        <f t="shared" si="137"/>
        <v>-3.0215125130267828</v>
      </c>
      <c r="F153" s="4">
        <f t="shared" si="149"/>
        <v>0.83602170912978191</v>
      </c>
      <c r="G153" s="4">
        <f t="shared" si="150"/>
        <v>0.83602170912978191</v>
      </c>
      <c r="H153" s="4" t="str">
        <f t="shared" si="151"/>
        <v>V</v>
      </c>
      <c r="I153" s="4">
        <f t="shared" si="152"/>
        <v>0</v>
      </c>
      <c r="J153" s="4">
        <f t="shared" si="153"/>
        <v>-2.9783321059986867</v>
      </c>
      <c r="K153" s="4">
        <f t="shared" si="154"/>
        <v>-3.0215125130267828</v>
      </c>
      <c r="L153" s="4">
        <f t="shared" si="155"/>
        <v>-2.9783321059986867</v>
      </c>
      <c r="M153" s="4">
        <f t="shared" si="156"/>
        <v>-3.0215125130267828</v>
      </c>
      <c r="N153" s="4">
        <f t="shared" si="157"/>
        <v>0.83602170912978191</v>
      </c>
      <c r="O153" s="4">
        <f t="shared" si="158"/>
        <v>0.83602170912978191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>
        <f t="shared" si="120"/>
        <v>-2.9783321059986867</v>
      </c>
      <c r="V153">
        <f t="shared" si="121"/>
        <v>-3.0215125130267828</v>
      </c>
      <c r="W153" s="9" t="str">
        <f t="shared" si="162"/>
        <v xml:space="preserve">
-0.836 ksi</v>
      </c>
      <c r="X153">
        <f t="shared" si="138"/>
        <v>-2.9999999999999991</v>
      </c>
      <c r="Y153">
        <f t="shared" si="139"/>
        <v>-2.9999999999999996</v>
      </c>
      <c r="AA153" s="4">
        <f t="shared" si="140"/>
        <v>4.0000000000000009</v>
      </c>
      <c r="AB153" s="4">
        <f t="shared" si="141"/>
        <v>4</v>
      </c>
      <c r="AD153">
        <f t="shared" si="142"/>
        <v>-2.9783321059986867</v>
      </c>
      <c r="AE153">
        <f t="shared" si="143"/>
        <v>-3.0215125130267828</v>
      </c>
      <c r="AF153" s="9" t="str">
        <f t="shared" si="163"/>
        <v xml:space="preserve">
-0.836 ksi</v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-80.737747070070483</v>
      </c>
      <c r="Q154" s="4">
        <f t="shared" ref="Q154:R154" si="167">SUM(Q146:Q153)</f>
        <v>-50.280412862499475</v>
      </c>
      <c r="R154" s="4">
        <f t="shared" si="167"/>
        <v>3.5180192092809648E-15</v>
      </c>
      <c r="T154" t="str">
        <f>IF(D34=0,"",ROUND(P154,4)&amp;" kips")</f>
        <v>-80.7377 kips</v>
      </c>
    </row>
    <row r="156" spans="1:40" x14ac:dyDescent="0.25">
      <c r="O156" t="s">
        <v>96</v>
      </c>
      <c r="P156" s="1">
        <f>IF($D$34=0,NA(),-1*R154/P154)</f>
        <v>4.3573413142526191E-17</v>
      </c>
    </row>
    <row r="157" spans="1:40" x14ac:dyDescent="0.25">
      <c r="O157" t="s">
        <v>97</v>
      </c>
      <c r="P157" s="1">
        <f>IF($D$34=0,NA(),Q154/P154)</f>
        <v>0.62276214889749437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10.000000000000064</v>
      </c>
      <c r="C159" t="s">
        <v>36</v>
      </c>
    </row>
    <row r="160" spans="1:40" x14ac:dyDescent="0.25">
      <c r="A160" s="1" t="s">
        <v>106</v>
      </c>
      <c r="B160" s="4">
        <f>Q140+I122+Q154-O122</f>
        <v>3253.7937592245466</v>
      </c>
      <c r="C160" t="s">
        <v>102</v>
      </c>
    </row>
    <row r="161" spans="1:9" x14ac:dyDescent="0.25">
      <c r="A161" s="1" t="s">
        <v>107</v>
      </c>
      <c r="B161" s="4">
        <f>R140+J122+R154-P122</f>
        <v>-98.585863243119064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10.000000000000064</v>
      </c>
      <c r="C164" t="s">
        <v>36</v>
      </c>
      <c r="E164" s="8">
        <f>B2-B164</f>
        <v>-6.3948846218409017E-14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3252.9999999999991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-122.00000000000048</v>
      </c>
      <c r="C166" t="s">
        <v>102</v>
      </c>
      <c r="E166" s="8">
        <f>B4+B166</f>
        <v>-4.8316906031686813E-13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-717.4274661030571</v>
      </c>
      <c r="C169" s="3">
        <f ca="1">A169+B169</f>
        <v>-711.90246610305712</v>
      </c>
    </row>
    <row r="173" spans="1:9" x14ac:dyDescent="0.25">
      <c r="A173" s="44" t="s">
        <v>150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-1.0674574455167157E-10</v>
      </c>
      <c r="C175" s="27">
        <f>B65*SQRT(I175)</f>
        <v>1.7602264521381644E-7</v>
      </c>
      <c r="D175" s="27">
        <f>B66*SQRT(I175)</f>
        <v>8.1948993282407074E-8</v>
      </c>
      <c r="E175" s="27">
        <f>IF(B67=0,SQRT(I175),B67*SQRT(I175))</f>
        <v>2.7920389854759944E-6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-7.1967967362730791E-3</v>
      </c>
      <c r="C176" s="3">
        <f>B65+C175</f>
        <v>11.867444495379756</v>
      </c>
      <c r="D176" s="3">
        <f>D175+B66</f>
        <v>5.5250000819489937</v>
      </c>
      <c r="E176" s="3">
        <f>B67+E175</f>
        <v>188.23923279203154</v>
      </c>
      <c r="F176" s="16" t="s">
        <v>125</v>
      </c>
    </row>
    <row r="177" spans="1:31" x14ac:dyDescent="0.25">
      <c r="B177" s="27">
        <f>B176-B64</f>
        <v>-1.0674574418834126E-10</v>
      </c>
      <c r="C177" s="27">
        <f>C176-B65</f>
        <v>1.7602264534843926E-7</v>
      </c>
      <c r="D177" s="27">
        <f>D176-B66</f>
        <v>8.1948993368996526E-8</v>
      </c>
      <c r="E177" s="27">
        <f>E176-B67</f>
        <v>2.7920389982227789E-6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0</v>
      </c>
      <c r="F178" s="16" t="s">
        <v>124</v>
      </c>
      <c r="G178" t="s">
        <v>205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-66.216168527026809</v>
      </c>
      <c r="B180" s="25">
        <f>(d_sigma_p!E165-d_sigma_m!E165)/(2*'Rigid Bearing Plate Analysis'!D177)</f>
        <v>234.54410996406014</v>
      </c>
      <c r="C180" s="25">
        <f>(d_sigma_p!E166-d_sigma_m!E166)/(2*'Rigid Bearing Plate Analysis'!D177)</f>
        <v>-1.5406867880910535</v>
      </c>
      <c r="D180" s="25">
        <f ca="1">(d_sigma_p!C169-d_sigma_m!C169)/(2*D177)</f>
        <v>1.0000000433527434</v>
      </c>
    </row>
    <row r="181" spans="1:31" x14ac:dyDescent="0.25">
      <c r="A181" s="25">
        <f>(d_alpha_p!E164-d_alpha_m!E164)/(2*B177)</f>
        <v>2099.6455197367236</v>
      </c>
      <c r="B181" s="25">
        <f>(d_alpha_p!E165-d_alpha_m!E165)/(2*B177)</f>
        <v>14381.65054649137</v>
      </c>
      <c r="C181" s="25">
        <f>(d_alpha_p!E166-d_alpha_m!E166)/(2*B177)</f>
        <v>14996.288526226132</v>
      </c>
      <c r="D181" s="25">
        <f ca="1">(d_alpha_p!C169-d_alpha_m!C169)/(2*B177)</f>
        <v>-12327.859342395446</v>
      </c>
    </row>
    <row r="182" spans="1:31" x14ac:dyDescent="0.25">
      <c r="A182" s="25">
        <f>(d_Y_p!E164-d_Y_m!E164)/(2*C177)</f>
        <v>-57.181942613092446</v>
      </c>
      <c r="B182" s="25">
        <f>(d_Y_p!E165-d_Y_m!E165)/(2*C177)</f>
        <v>-186.82424197164775</v>
      </c>
      <c r="C182" s="25">
        <f>(d_Y_p!E166-d_Y_m!E166)/(2*C177)</f>
        <v>-157.19247724890641</v>
      </c>
      <c r="D182" s="25">
        <f ca="1">(d_Y_p!C169-d_Y_m!C169)/(2*C177)</f>
        <v>-1053.857252648399</v>
      </c>
    </row>
    <row r="183" spans="1:31" x14ac:dyDescent="0.25">
      <c r="A183" s="25">
        <f>(d_T_p!E164-d_T_m!E164)/(2*E177)</f>
        <v>1.8903834768994738</v>
      </c>
      <c r="B183" s="25">
        <f>(d_T_p!E165-d_T_m!E165)/(2*E177)</f>
        <v>10.397109112767552</v>
      </c>
      <c r="C183" s="25">
        <f>(d_T_p!E166-d_T_m!E166)/(2*E177)</f>
        <v>-0.60289091522621829</v>
      </c>
      <c r="D183" s="25">
        <f ca="1">(d_T_p!C169-d_T_m!C169)/(2*E177)</f>
        <v>-3.8112537383009322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-9.0350107942104522E-3</v>
      </c>
      <c r="B185" s="25">
        <f ca="1"/>
        <v>-5.1448185651886363E-7</v>
      </c>
      <c r="C185" s="25">
        <f ca="1"/>
        <v>-6.9693915010689744E-4</v>
      </c>
      <c r="D185" s="25">
        <f ca="1"/>
        <v>0.19200553860170641</v>
      </c>
      <c r="F185" s="8">
        <f>-1*E164</f>
        <v>6.3948846218409017E-14</v>
      </c>
      <c r="H185">
        <f t="array" aca="1" ref="H185:H188" ca="1">MMULT(A185:D188,F185:F188)</f>
        <v>136.68921643600052</v>
      </c>
      <c r="J185" s="8">
        <f ca="1">$B$66+H185</f>
        <v>142.21421643600053</v>
      </c>
      <c r="K185" s="11" t="s">
        <v>115</v>
      </c>
      <c r="L185" s="8">
        <f ca="1">J186</f>
        <v>38.210300476373661</v>
      </c>
      <c r="M185" s="11" t="s">
        <v>116</v>
      </c>
      <c r="N185" t="s">
        <v>143</v>
      </c>
    </row>
    <row r="186" spans="1:31" x14ac:dyDescent="0.25">
      <c r="A186" s="25">
        <f ca="1"/>
        <v>1.7106179270713088E-3</v>
      </c>
      <c r="B186" s="25">
        <f ca="1"/>
        <v>2.8142374432139539E-7</v>
      </c>
      <c r="C186" s="25">
        <f ca="1"/>
        <v>-1.9581457429023922E-4</v>
      </c>
      <c r="D186" s="25">
        <f ca="1"/>
        <v>5.3683614108271271E-2</v>
      </c>
      <c r="F186" s="8">
        <f>-1*E165</f>
        <v>0</v>
      </c>
      <c r="H186">
        <f ca="1"/>
        <v>38.21749727300319</v>
      </c>
      <c r="J186" s="8">
        <f ca="1">$B$64+H186</f>
        <v>38.210300476373661</v>
      </c>
      <c r="K186" s="11" t="s">
        <v>116</v>
      </c>
      <c r="L186" s="8">
        <f ca="1">J187</f>
        <v>-48.22033322890664</v>
      </c>
      <c r="M186" s="1" t="s">
        <v>117</v>
      </c>
    </row>
    <row r="187" spans="1:31" x14ac:dyDescent="0.25">
      <c r="A187" s="25">
        <f ca="1"/>
        <v>-1.9756787982819552E-4</v>
      </c>
      <c r="B187" s="25">
        <f ca="1"/>
        <v>5.9207363618179197E-5</v>
      </c>
      <c r="C187" s="25">
        <f ca="1"/>
        <v>-3.8753884372695217E-4</v>
      </c>
      <c r="D187" s="25">
        <f ca="1"/>
        <v>-8.4404508214704327E-2</v>
      </c>
      <c r="F187" s="8">
        <f>-1*E166</f>
        <v>4.8316906031686813E-13</v>
      </c>
      <c r="H187">
        <f ca="1"/>
        <v>-60.087777548263752</v>
      </c>
      <c r="J187" s="8">
        <f ca="1">$B$65+H187</f>
        <v>-48.22033322890664</v>
      </c>
      <c r="K187" s="1" t="s">
        <v>117</v>
      </c>
      <c r="L187" s="8">
        <f ca="1">J185</f>
        <v>142.21421643600053</v>
      </c>
      <c r="M187" s="11" t="s">
        <v>115</v>
      </c>
    </row>
    <row r="188" spans="1:31" x14ac:dyDescent="0.25">
      <c r="A188" s="25">
        <f ca="1"/>
        <v>2.1645318196250767E-4</v>
      </c>
      <c r="B188" s="25">
        <f ca="1"/>
        <v>-8.8532956819171032E-6</v>
      </c>
      <c r="C188" s="25">
        <f ca="1"/>
        <v>-8.185611125809516E-4</v>
      </c>
      <c r="D188" s="25">
        <f ca="1"/>
        <v>-7.3452988486785971E-3</v>
      </c>
      <c r="F188">
        <f ca="1">-1*C169</f>
        <v>711.90246610305712</v>
      </c>
      <c r="H188">
        <f ca="1"/>
        <v>-5.2291363646382392</v>
      </c>
      <c r="J188" s="8">
        <f ca="1">$B$67+H188</f>
        <v>183.01009363535431</v>
      </c>
      <c r="K188" s="1" t="s">
        <v>118</v>
      </c>
      <c r="L188" s="8">
        <f ca="1">J188</f>
        <v>183.01009363535431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-66.216168527026809</v>
      </c>
      <c r="B190" s="25">
        <f>A181</f>
        <v>2099.6455197367236</v>
      </c>
      <c r="C190" s="25">
        <f>A182</f>
        <v>-57.181942613092446</v>
      </c>
      <c r="D190" s="25">
        <f>A183</f>
        <v>1.8903834768994738</v>
      </c>
      <c r="F190" t="s">
        <v>119</v>
      </c>
      <c r="W190" s="25">
        <f>A190</f>
        <v>-66.216168527026809</v>
      </c>
      <c r="X190" s="25">
        <f t="shared" ref="X190:Z190" si="169">B190</f>
        <v>2099.6455197367236</v>
      </c>
      <c r="Y190" s="25">
        <f t="shared" si="169"/>
        <v>-57.181942613092446</v>
      </c>
      <c r="Z190" s="25">
        <f t="shared" si="169"/>
        <v>1.8903834768994738</v>
      </c>
      <c r="AB190" s="25">
        <f>(d_sigma_p!E164-(2*'Rigid Bearing Plate Analysis'!E164)+d_sigma_m!E164)/POWER('Rigid Bearing Plate Analysis'!D177,2)</f>
        <v>2.1160842414693888</v>
      </c>
      <c r="AC190" s="25">
        <f>(d_alpha_p!E164-(2*'Rigid Bearing Plate Analysis'!E164)+d_alpha_m!E164)/POWER('Rigid Bearing Plate Analysis'!B177,2)</f>
        <v>-20889780.288202606</v>
      </c>
      <c r="AD190" s="25">
        <f>(d_Y_p!E164-(2*'Rigid Bearing Plate Analysis'!E164)+d_Y_m!E164)/POWER('Rigid Bearing Plate Analysis'!C177,2)</f>
        <v>-76.537520929809645</v>
      </c>
      <c r="AE190" s="25">
        <f>(d_T_p!E164-(2*'Rigid Bearing Plate Analysis'!E164)+d_T_m!E164)/POWER('Rigid Bearing Plate Analysis'!E177,2)</f>
        <v>1.4583683357989905E-2</v>
      </c>
    </row>
    <row r="191" spans="1:31" x14ac:dyDescent="0.25">
      <c r="A191" s="25">
        <f>B180</f>
        <v>234.54410996406014</v>
      </c>
      <c r="B191" s="25">
        <f>B181</f>
        <v>14381.65054649137</v>
      </c>
      <c r="C191" s="25">
        <f>B182</f>
        <v>-186.82424197164775</v>
      </c>
      <c r="D191" s="25">
        <f>B183</f>
        <v>10.397109112767552</v>
      </c>
      <c r="F191" t="s">
        <v>120</v>
      </c>
      <c r="W191" s="25">
        <f t="shared" ref="W191:W193" si="170">A191</f>
        <v>234.54410996406014</v>
      </c>
      <c r="X191" s="25">
        <f t="shared" ref="X191:X193" si="171">B191</f>
        <v>14381.65054649137</v>
      </c>
      <c r="Y191" s="25">
        <f t="shared" ref="Y191:Y193" si="172">C191</f>
        <v>-186.82424197164775</v>
      </c>
      <c r="Z191" s="25">
        <f t="shared" ref="Z191:Z193" si="173">D191</f>
        <v>10.397109112767552</v>
      </c>
      <c r="AB191" s="25">
        <f>(d_sigma_p!E165-(2*'Rigid Bearing Plate Analysis'!E165)+d_sigma_m!E165)/POWER('Rigid Bearing Plate Analysis'!D177,2)</f>
        <v>-67.714695727020441</v>
      </c>
      <c r="AC191" s="25">
        <f>(d_alpha_p!E165-(2*'Rigid Bearing Plate Analysis'!E165)+d_alpha_m!E165)/POWER('Rigid Bearing Plate Analysis'!B177,2)</f>
        <v>-119726501.95029552</v>
      </c>
      <c r="AD191" s="25">
        <f>(d_Y_p!E165-(2*'Rigid Bearing Plate Analysis'!E165)+d_Y_m!E165)/POWER('Rigid Bearing Plate Analysis'!C177,2)</f>
        <v>-454.98259632881599</v>
      </c>
      <c r="AE191" s="25">
        <f>(d_T_p!E165-(2*'Rigid Bearing Plate Analysis'!E165)+d_T_m!E165)/POWER('Rigid Bearing Plate Analysis'!E177,2)</f>
        <v>0</v>
      </c>
    </row>
    <row r="192" spans="1:31" x14ac:dyDescent="0.25">
      <c r="A192" s="25">
        <f>C180</f>
        <v>-1.5406867880910535</v>
      </c>
      <c r="B192" s="25">
        <f>C181</f>
        <v>14996.288526226132</v>
      </c>
      <c r="C192" s="25">
        <f>C182</f>
        <v>-157.19247724890641</v>
      </c>
      <c r="D192" s="25">
        <f>C183</f>
        <v>-0.60289091522621829</v>
      </c>
      <c r="F192" t="s">
        <v>121</v>
      </c>
      <c r="W192" s="25">
        <f t="shared" si="170"/>
        <v>-1.5406867880910535</v>
      </c>
      <c r="X192" s="25">
        <f t="shared" si="171"/>
        <v>14996.288526226132</v>
      </c>
      <c r="Y192" s="25">
        <f t="shared" si="172"/>
        <v>-157.19247724890641</v>
      </c>
      <c r="Z192" s="25">
        <f t="shared" si="173"/>
        <v>-0.60289091522621829</v>
      </c>
      <c r="AB192" s="25">
        <f>(d_sigma_p!E166-(2*'Rigid Bearing Plate Analysis'!E166)+d_sigma_m!E166)/POWER('Rigid Bearing Plate Analysis'!D177,2)</f>
        <v>46.553853312326552</v>
      </c>
      <c r="AC192" s="25">
        <f>(d_alpha_p!E166-(2*'Rigid Bearing Plate Analysis'!E166)+d_alpha_m!E166)/POWER('Rigid Bearing Plate Analysis'!B177,2)</f>
        <v>-133445163.63210022</v>
      </c>
      <c r="AD192" s="25">
        <f>(d_Y_p!E166-(2*'Rigid Bearing Plate Analysis'!E166)+d_Y_m!E166)/POWER('Rigid Bearing Plate Analysis'!C177,2)</f>
        <v>-440.76439019354046</v>
      </c>
      <c r="AE192" s="25">
        <f>(d_T_p!E166-(2*'Rigid Bearing Plate Analysis'!E166)+d_T_m!E166)/POWER('Rigid Bearing Plate Analysis'!E177,2)</f>
        <v>5.6511773012210886E-2</v>
      </c>
    </row>
    <row r="193" spans="1:38" x14ac:dyDescent="0.25">
      <c r="A193" s="25">
        <f ca="1">D180</f>
        <v>1.0000000433527434</v>
      </c>
      <c r="B193" s="25">
        <f ca="1">D181</f>
        <v>-12327.859342395446</v>
      </c>
      <c r="C193" s="25">
        <f ca="1">D182</f>
        <v>-1053.857252648399</v>
      </c>
      <c r="D193" s="25">
        <f ca="1">D183</f>
        <v>-3.8112537383009322</v>
      </c>
      <c r="W193" s="25">
        <f t="shared" ca="1" si="170"/>
        <v>1.0000000433527434</v>
      </c>
      <c r="X193" s="25">
        <f t="shared" ca="1" si="171"/>
        <v>-12327.859342395446</v>
      </c>
      <c r="Y193" s="25">
        <f t="shared" ca="1" si="172"/>
        <v>-1053.857252648399</v>
      </c>
      <c r="Z193" s="25">
        <f t="shared" ca="1" si="173"/>
        <v>-3.8112537383009322</v>
      </c>
      <c r="AB193" s="25">
        <f ca="1">(d_sigma_p!C169-(2*'Rigid Bearing Plate Analysis'!C169)+d_sigma_m!C169)/POWER('Rigid Bearing Plate Analysis'!D177,2)</f>
        <v>0</v>
      </c>
      <c r="AC193" s="25">
        <f ca="1">(d_alpha_p!C169-(2*'Rigid Bearing Plate Analysis'!C169)+d_alpha_m!C169)/POWER('Rigid Bearing Plate Analysis'!B177,2)</f>
        <v>299316254.8757388</v>
      </c>
      <c r="AD193" s="25">
        <f ca="1">(d_Y_p!C169-(2*'Rigid Bearing Plate Analysis'!C169)+d_Y_m!C169)/POWER('Rigid Bearing Plate Analysis'!C177,2)</f>
        <v>-2931.7023747316448</v>
      </c>
      <c r="AE193" s="25">
        <f ca="1">(d_T_p!C169-(2*'Rigid Bearing Plate Analysis'!C169)+d_T_m!C169)/POWER('Rigid Bearing Plate Analysis'!E177,2)</f>
        <v>-2.916736671597981E-2</v>
      </c>
    </row>
    <row r="194" spans="1:38" ht="15.75" thickBot="1" x14ac:dyDescent="0.3">
      <c r="A194" s="25"/>
      <c r="B194" s="25"/>
      <c r="C194" s="25"/>
      <c r="D194" s="25"/>
      <c r="S194" t="s">
        <v>230</v>
      </c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-9.0350107942104504E-3</v>
      </c>
      <c r="B195" s="25">
        <f ca="1"/>
        <v>1.710617927071309E-3</v>
      </c>
      <c r="C195" s="25">
        <f ca="1"/>
        <v>-1.9756787982819435E-4</v>
      </c>
      <c r="D195" s="25">
        <f ca="1"/>
        <v>2.1645318196250767E-4</v>
      </c>
      <c r="H195">
        <f t="array" aca="1" ref="H195:H198" ca="1">MMULT(A195:D198,F185:F188)</f>
        <v>0.1540935540349623</v>
      </c>
      <c r="J195" s="8">
        <f ca="1">$B$66+H195</f>
        <v>5.6790935540349627</v>
      </c>
      <c r="K195" s="11" t="s">
        <v>115</v>
      </c>
      <c r="L195" s="36">
        <f ca="1">J196</f>
        <v>-1.349947965862364E-2</v>
      </c>
      <c r="M195" s="37" t="s">
        <v>116</v>
      </c>
      <c r="N195" t="s">
        <v>146</v>
      </c>
      <c r="S195">
        <f ca="1">0.5*H195</f>
        <v>7.7046777017481152E-2</v>
      </c>
      <c r="U195" s="8">
        <f ca="1">$B$66+S195</f>
        <v>5.6020467770174811</v>
      </c>
      <c r="V195" s="11" t="s">
        <v>115</v>
      </c>
      <c r="W195" s="36">
        <f ca="1">U196</f>
        <v>-1.0348138144075487E-2</v>
      </c>
      <c r="X195" s="37" t="s">
        <v>116</v>
      </c>
      <c r="AB195">
        <f t="array" aca="1" ref="AB195:AE198" ca="1">MINVERSE(AB190:AE193)</f>
        <v>-5.8193738307384953E-2</v>
      </c>
      <c r="AC195">
        <f ca="1"/>
        <v>-6.1886442587498541E-3</v>
      </c>
      <c r="AD195">
        <f ca="1"/>
        <v>1.5124004556976288E-2</v>
      </c>
      <c r="AE195">
        <f ca="1"/>
        <v>2.0588967544907949E-4</v>
      </c>
      <c r="AG195">
        <f t="array" aca="1" ref="AG195:AJ198" ca="1">MMULT(W190:Z193,AB195:AE198)</f>
        <v>237.90731937510412</v>
      </c>
      <c r="AH195">
        <f ca="1"/>
        <v>-10.897681213691879</v>
      </c>
      <c r="AI195">
        <f ca="1"/>
        <v>-28.08749807947477</v>
      </c>
      <c r="AJ195">
        <f ca="1"/>
        <v>-0.2774600330489152</v>
      </c>
      <c r="AL195">
        <f t="array" aca="1" ref="AL195:AL198" ca="1">MMULT(AG195:AJ198,H195:H198)</f>
        <v>54.547132496478774</v>
      </c>
    </row>
    <row r="196" spans="1:38" x14ac:dyDescent="0.25">
      <c r="A196" s="25">
        <f ca="1"/>
        <v>-5.1448185651880942E-7</v>
      </c>
      <c r="B196" s="25">
        <f ca="1"/>
        <v>2.8142374432140085E-7</v>
      </c>
      <c r="C196" s="25">
        <f ca="1"/>
        <v>5.9207363618179177E-5</v>
      </c>
      <c r="D196" s="25">
        <f ca="1"/>
        <v>-8.8532956819171049E-6</v>
      </c>
      <c r="H196">
        <f ca="1"/>
        <v>-6.3026830290963051E-3</v>
      </c>
      <c r="J196" s="8">
        <f ca="1">$B$64+H196</f>
        <v>-1.349947965862364E-2</v>
      </c>
      <c r="K196" s="11" t="s">
        <v>116</v>
      </c>
      <c r="L196" s="38">
        <f ca="1">J197</f>
        <v>11.284708644654668</v>
      </c>
      <c r="M196" s="39" t="s">
        <v>117</v>
      </c>
      <c r="S196">
        <f t="shared" ref="S196:S198" ca="1" si="174">0.5*H196</f>
        <v>-3.1513415145481526E-3</v>
      </c>
      <c r="U196" s="8">
        <f ca="1">$B$64+S196</f>
        <v>-1.0348138144075487E-2</v>
      </c>
      <c r="V196" s="11" t="s">
        <v>116</v>
      </c>
      <c r="W196" s="38">
        <f ca="1">U197</f>
        <v>11.57607648200589</v>
      </c>
      <c r="X196" s="39" t="s">
        <v>117</v>
      </c>
      <c r="AB196">
        <f ca="1"/>
        <v>2.7086719634355421E-8</v>
      </c>
      <c r="AC196">
        <f ca="1"/>
        <v>-3.6590575064786481E-9</v>
      </c>
      <c r="AD196">
        <f ca="1"/>
        <v>-6.5534799928032797E-9</v>
      </c>
      <c r="AE196">
        <f ca="1"/>
        <v>8.4599233112135585E-10</v>
      </c>
      <c r="AG196">
        <f ca="1"/>
        <v>1273.8435701666058</v>
      </c>
      <c r="AH196">
        <f ca="1"/>
        <v>-63.682689549609862</v>
      </c>
      <c r="AI196">
        <f ca="1"/>
        <v>-145.49322255778358</v>
      </c>
      <c r="AJ196">
        <f ca="1"/>
        <v>-1.4350903273002071</v>
      </c>
      <c r="AL196">
        <f ca="1"/>
        <v>288.98082904709742</v>
      </c>
    </row>
    <row r="197" spans="1:38" x14ac:dyDescent="0.25">
      <c r="A197" s="25">
        <f ca="1"/>
        <v>-6.9693915010689506E-4</v>
      </c>
      <c r="B197" s="25">
        <f ca="1"/>
        <v>-1.9581457429023876E-4</v>
      </c>
      <c r="C197" s="25">
        <f ca="1"/>
        <v>-3.875388437269532E-4</v>
      </c>
      <c r="D197" s="25">
        <f ca="1"/>
        <v>-8.1856111258095192E-4</v>
      </c>
      <c r="H197">
        <f ca="1"/>
        <v>-0.58273567470244203</v>
      </c>
      <c r="J197" s="8">
        <f ca="1">$B$65+H197</f>
        <v>11.284708644654668</v>
      </c>
      <c r="K197" s="1" t="s">
        <v>117</v>
      </c>
      <c r="L197" s="38">
        <f ca="1">J195</f>
        <v>5.6790935540349627</v>
      </c>
      <c r="M197" s="43" t="s">
        <v>115</v>
      </c>
      <c r="S197">
        <f t="shared" ca="1" si="174"/>
        <v>-0.29136783735122102</v>
      </c>
      <c r="U197" s="8">
        <f ca="1">$B$65+S197</f>
        <v>11.57607648200589</v>
      </c>
      <c r="V197" s="1" t="s">
        <v>117</v>
      </c>
      <c r="W197" s="38">
        <f ca="1">U195</f>
        <v>5.6020467770174811</v>
      </c>
      <c r="X197" s="43" t="s">
        <v>115</v>
      </c>
      <c r="AB197">
        <f ca="1"/>
        <v>1.5331863178971515E-3</v>
      </c>
      <c r="AC197">
        <f ca="1"/>
        <v>-3.1397174864043233E-4</v>
      </c>
      <c r="AD197">
        <f ca="1"/>
        <v>-5.2637646701777206E-4</v>
      </c>
      <c r="AE197">
        <f ca="1"/>
        <v>-2.5326124589835768E-4</v>
      </c>
      <c r="AG197">
        <f ca="1"/>
        <v>-74.824585179323407</v>
      </c>
      <c r="AH197">
        <f ca="1"/>
        <v>3.6707941656225245</v>
      </c>
      <c r="AI197">
        <f ca="1"/>
        <v>8.7073597553025461</v>
      </c>
      <c r="AJ197">
        <f ca="1"/>
        <v>0.12826648499911622</v>
      </c>
      <c r="AL197">
        <f ca="1"/>
        <v>-17.297934214521014</v>
      </c>
    </row>
    <row r="198" spans="1:38" ht="15.75" thickBot="1" x14ac:dyDescent="0.3">
      <c r="A198" s="25">
        <f ca="1"/>
        <v>0.19200553860170652</v>
      </c>
      <c r="B198" s="25">
        <f ca="1"/>
        <v>5.3683614108271285E-2</v>
      </c>
      <c r="C198" s="25">
        <f ca="1"/>
        <v>-8.4404508214704355E-2</v>
      </c>
      <c r="D198" s="25">
        <f ca="1"/>
        <v>-7.345298848678598E-3</v>
      </c>
      <c r="H198">
        <f ca="1"/>
        <v>-5.2291363646382685</v>
      </c>
      <c r="J198" s="8">
        <f ca="1">$B$67+H198</f>
        <v>183.01009363535428</v>
      </c>
      <c r="K198" s="1" t="s">
        <v>118</v>
      </c>
      <c r="L198" s="41">
        <f ca="1">J198</f>
        <v>183.01009363535428</v>
      </c>
      <c r="M198" s="42" t="s">
        <v>118</v>
      </c>
      <c r="S198">
        <f t="shared" ca="1" si="174"/>
        <v>-2.6145681823191342</v>
      </c>
      <c r="U198" s="8">
        <f ca="1">$B$67+S198</f>
        <v>185.6246618176734</v>
      </c>
      <c r="V198" s="1" t="s">
        <v>118</v>
      </c>
      <c r="W198" s="41">
        <f ca="1">U198</f>
        <v>185.6246618176734</v>
      </c>
      <c r="X198" s="42" t="s">
        <v>118</v>
      </c>
      <c r="AB198">
        <f ca="1"/>
        <v>123.85929603854201</v>
      </c>
      <c r="AC198">
        <f ca="1"/>
        <v>-5.9910676828638643</v>
      </c>
      <c r="AD198">
        <f ca="1"/>
        <v>-14.344248267735713</v>
      </c>
      <c r="AE198">
        <f ca="1"/>
        <v>-0.147224389821141</v>
      </c>
      <c r="AG198">
        <f ca="1"/>
        <v>-473.73349223309225</v>
      </c>
      <c r="AH198">
        <f ca="1"/>
        <v>23.158216970979446</v>
      </c>
      <c r="AI198">
        <f ca="1"/>
        <v>55.239500286506726</v>
      </c>
      <c r="AJ198">
        <f ca="1"/>
        <v>0.82820616728956331</v>
      </c>
      <c r="AL198">
        <f ca="1"/>
        <v>-109.6660668411533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-66.216168527026809</v>
      </c>
      <c r="B201" s="25">
        <f t="shared" ref="B201:C201" si="175">B190</f>
        <v>2099.6455197367236</v>
      </c>
      <c r="C201" s="25">
        <f t="shared" si="175"/>
        <v>-57.181942613092446</v>
      </c>
      <c r="D201" s="25"/>
    </row>
    <row r="202" spans="1:38" x14ac:dyDescent="0.25">
      <c r="A202" s="25">
        <f t="shared" ref="A202:C202" si="176">A191</f>
        <v>234.54410996406014</v>
      </c>
      <c r="B202" s="25">
        <f t="shared" si="176"/>
        <v>14381.65054649137</v>
      </c>
      <c r="C202" s="25">
        <f t="shared" si="176"/>
        <v>-186.82424197164775</v>
      </c>
      <c r="D202" s="25"/>
    </row>
    <row r="203" spans="1:38" x14ac:dyDescent="0.25">
      <c r="A203" s="25">
        <f t="shared" ref="A203:C203" si="177">A192</f>
        <v>-1.5406867880910535</v>
      </c>
      <c r="B203" s="25">
        <f t="shared" si="177"/>
        <v>14996.288526226132</v>
      </c>
      <c r="C203" s="25">
        <f t="shared" si="177"/>
        <v>-157.19247724890641</v>
      </c>
      <c r="D203" s="25"/>
    </row>
    <row r="204" spans="1:38" ht="15.75" thickBot="1" x14ac:dyDescent="0.3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-3.3769415119455051E-3</v>
      </c>
      <c r="B205" s="25">
        <v>3.29258066709966E-3</v>
      </c>
      <c r="C205" s="25">
        <v>-2.6848219387069629E-3</v>
      </c>
      <c r="D205" s="25"/>
      <c r="H205">
        <f t="array" ref="H205:H207">MMULT(A205:C207,F185:F187)</f>
        <v>-1.5131744066791201E-15</v>
      </c>
      <c r="J205" s="8">
        <f>$B$66+H205</f>
        <v>5.5249999999999986</v>
      </c>
      <c r="K205" s="11" t="s">
        <v>115</v>
      </c>
      <c r="L205" s="36">
        <f>J206</f>
        <v>-7.1967966295272716E-3</v>
      </c>
      <c r="M205" s="37" t="s">
        <v>116</v>
      </c>
      <c r="N205" t="s">
        <v>145</v>
      </c>
      <c r="S205">
        <f>0.5*H205</f>
        <v>-7.5658720333956005E-16</v>
      </c>
      <c r="U205" s="8">
        <f>$B$66+S205</f>
        <v>5.5249999999999995</v>
      </c>
      <c r="V205" s="11" t="s">
        <v>115</v>
      </c>
      <c r="W205" s="36">
        <f>U206</f>
        <v>-7.1967966295273036E-3</v>
      </c>
      <c r="X205" s="37" t="s">
        <v>116</v>
      </c>
    </row>
    <row r="206" spans="1:38" x14ac:dyDescent="0.25">
      <c r="A206" s="25">
        <v>-2.319389399794801E-4</v>
      </c>
      <c r="B206" s="25">
        <v>-6.44234873512923E-5</v>
      </c>
      <c r="C206" s="25">
        <v>1.6094019757169611E-4</v>
      </c>
      <c r="D206" s="25"/>
      <c r="H206">
        <v>6.2929096423118937E-17</v>
      </c>
      <c r="J206" s="8">
        <f>$B$64+H206</f>
        <v>-7.1967966295272716E-3</v>
      </c>
      <c r="K206" s="11" t="s">
        <v>116</v>
      </c>
      <c r="L206" s="38">
        <f>J207</f>
        <v>11.867444319357114</v>
      </c>
      <c r="M206" s="39" t="s">
        <v>117</v>
      </c>
      <c r="N206" t="s">
        <v>147</v>
      </c>
      <c r="S206">
        <f t="shared" ref="S206:S207" si="178">0.5*H206</f>
        <v>3.1464548211559468E-17</v>
      </c>
      <c r="U206" s="8">
        <f>$B$64+S206</f>
        <v>-7.1967966295273036E-3</v>
      </c>
      <c r="V206" s="11" t="s">
        <v>116</v>
      </c>
      <c r="W206" s="38">
        <f>U207</f>
        <v>11.867444319357112</v>
      </c>
      <c r="X206" s="39" t="s">
        <v>117</v>
      </c>
    </row>
    <row r="207" spans="1:38" ht="15.75" thickBot="1" x14ac:dyDescent="0.3">
      <c r="A207" s="25">
        <v>-2.2094062744035546E-2</v>
      </c>
      <c r="B207" s="25">
        <v>-6.1783239040145597E-3</v>
      </c>
      <c r="C207" s="25">
        <v>9.0185111447640739E-3</v>
      </c>
      <c r="D207" s="25"/>
      <c r="H207">
        <v>2.9445757345146512E-15</v>
      </c>
      <c r="J207" s="8">
        <f>$B$65+H207</f>
        <v>11.867444319357114</v>
      </c>
      <c r="K207" s="1" t="s">
        <v>117</v>
      </c>
      <c r="L207" s="41">
        <f>J205</f>
        <v>5.5249999999999986</v>
      </c>
      <c r="M207" s="68" t="s">
        <v>115</v>
      </c>
      <c r="S207">
        <f t="shared" si="178"/>
        <v>1.4722878672573256E-15</v>
      </c>
      <c r="U207" s="8">
        <f>$B$65+S207</f>
        <v>11.867444319357112</v>
      </c>
      <c r="V207" s="1" t="s">
        <v>117</v>
      </c>
      <c r="W207" s="41">
        <f>U205</f>
        <v>5.5249999999999995</v>
      </c>
      <c r="X207" s="68" t="s">
        <v>115</v>
      </c>
    </row>
    <row r="208" spans="1:38" x14ac:dyDescent="0.25">
      <c r="A208" s="25"/>
      <c r="B208" s="25"/>
      <c r="C208" s="25"/>
      <c r="D208" s="25"/>
    </row>
    <row r="210" spans="1:24" x14ac:dyDescent="0.25">
      <c r="A210" t="s">
        <v>142</v>
      </c>
    </row>
    <row r="212" spans="1:24" x14ac:dyDescent="0.25">
      <c r="A212" s="25">
        <f>A181</f>
        <v>2099.6455197367236</v>
      </c>
      <c r="B212" s="25">
        <f>A182</f>
        <v>-57.181942613092446</v>
      </c>
      <c r="C212" s="25">
        <f>A183</f>
        <v>1.8903834768994738</v>
      </c>
    </row>
    <row r="213" spans="1:24" x14ac:dyDescent="0.25">
      <c r="A213" s="25">
        <f>B181</f>
        <v>14381.65054649137</v>
      </c>
      <c r="B213" s="25">
        <f>B182</f>
        <v>-186.82424197164775</v>
      </c>
      <c r="C213" s="25">
        <f>B183</f>
        <v>10.397109112767552</v>
      </c>
    </row>
    <row r="214" spans="1:24" x14ac:dyDescent="0.25">
      <c r="A214" s="25">
        <f>C181</f>
        <v>14996.288526226132</v>
      </c>
      <c r="B214" s="25">
        <f>C182</f>
        <v>-157.19247724890641</v>
      </c>
      <c r="C214" s="25">
        <f>C183</f>
        <v>-0.60289091522621829</v>
      </c>
    </row>
    <row r="215" spans="1:24" ht="15.75" thickBot="1" x14ac:dyDescent="0.3"/>
    <row r="216" spans="1:24" x14ac:dyDescent="0.25">
      <c r="A216">
        <f t="array" ref="A216:C218">MINVERSE(A212:C214)</f>
        <v>-3.7006147268945071E-4</v>
      </c>
      <c r="B216">
        <v>7.0248546287124297E-5</v>
      </c>
      <c r="C216">
        <v>5.1126508250243573E-5</v>
      </c>
      <c r="H216" cm="1">
        <f t="array" ref="H216:H218">MMULT(A216:C218,F185:F187)</f>
        <v>1.0377427401771431E-18</v>
      </c>
      <c r="J216" s="8">
        <f>$B$64+H216</f>
        <v>-7.196796629527334E-3</v>
      </c>
      <c r="K216" s="11" t="s">
        <v>116</v>
      </c>
      <c r="L216" s="36">
        <f>J216</f>
        <v>-7.196796629527334E-3</v>
      </c>
      <c r="M216" s="37" t="s">
        <v>116</v>
      </c>
      <c r="N216" t="s">
        <v>144</v>
      </c>
      <c r="S216">
        <f>0.5*H216</f>
        <v>5.1887137008857155E-19</v>
      </c>
      <c r="U216" s="8">
        <f>$B$64+S216</f>
        <v>-7.196796629527334E-3</v>
      </c>
      <c r="V216" s="11" t="s">
        <v>116</v>
      </c>
      <c r="W216" s="36">
        <f>U216</f>
        <v>-7.196796629527334E-3</v>
      </c>
      <c r="X216" s="37" t="s">
        <v>116</v>
      </c>
    </row>
    <row r="217" spans="1:24" x14ac:dyDescent="0.25">
      <c r="A217">
        <v>-3.4864644243815517E-2</v>
      </c>
      <c r="B217">
        <v>6.2732301442436286E-3</v>
      </c>
      <c r="C217">
        <v>-1.1346813992493706E-3</v>
      </c>
      <c r="H217">
        <v>-2.7777967186416451E-15</v>
      </c>
      <c r="J217" s="8">
        <f>$B$65+H217</f>
        <v>11.867444319357107</v>
      </c>
      <c r="K217" s="1" t="s">
        <v>117</v>
      </c>
      <c r="L217" s="38">
        <f>J217</f>
        <v>11.867444319357107</v>
      </c>
      <c r="M217" s="39" t="s">
        <v>117</v>
      </c>
      <c r="S217">
        <f t="shared" ref="S217:S218" si="179">0.5*H217</f>
        <v>-1.3888983593208226E-15</v>
      </c>
      <c r="U217" s="8">
        <f>$B$65+S217</f>
        <v>11.867444319357109</v>
      </c>
      <c r="V217" s="1" t="s">
        <v>117</v>
      </c>
      <c r="W217" s="38">
        <f>U217</f>
        <v>11.867444319357109</v>
      </c>
      <c r="X217" s="39" t="s">
        <v>117</v>
      </c>
    </row>
    <row r="218" spans="1:24" x14ac:dyDescent="0.25">
      <c r="A218">
        <v>-0.11459588801076032</v>
      </c>
      <c r="B218">
        <v>0.11173311828429333</v>
      </c>
      <c r="C218">
        <v>-9.1108937815047572E-2</v>
      </c>
      <c r="H218">
        <v>-5.1349294690226639E-14</v>
      </c>
      <c r="J218" s="8">
        <f>$B$67+H218</f>
        <v>188.23922999999249</v>
      </c>
      <c r="K218" s="1" t="s">
        <v>118</v>
      </c>
      <c r="L218" s="38">
        <f>$B$66</f>
        <v>5.5250000000000004</v>
      </c>
      <c r="M218" s="40"/>
      <c r="S218">
        <f t="shared" si="179"/>
        <v>-2.567464734511332E-14</v>
      </c>
      <c r="U218" s="8">
        <f>$B$67+S218</f>
        <v>188.23922999999252</v>
      </c>
      <c r="V218" s="1" t="s">
        <v>118</v>
      </c>
      <c r="W218" s="38">
        <f>$B$66</f>
        <v>5.5250000000000004</v>
      </c>
      <c r="X218" s="40"/>
    </row>
    <row r="219" spans="1:24" ht="15.75" thickBot="1" x14ac:dyDescent="0.3">
      <c r="L219" s="41">
        <f>J218</f>
        <v>188.23922999999249</v>
      </c>
      <c r="M219" s="42" t="s">
        <v>118</v>
      </c>
      <c r="W219" s="41">
        <f>U218</f>
        <v>188.23922999999252</v>
      </c>
      <c r="X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5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  <dataValidation type="list" allowBlank="1" showInputMessage="1" showErrorMessage="1" sqref="I54" xr:uid="{EB691415-1D99-4ED4-A99A-88476B96B39B}">
      <formula1>"Linear,Rectangular"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Load_at_Pl_Center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704850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0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10</v>
      </c>
      <c r="C2" t="s">
        <v>36</v>
      </c>
      <c r="D2" t="s">
        <v>103</v>
      </c>
      <c r="H2" t="s">
        <v>110</v>
      </c>
      <c r="I2">
        <f>B2/D22</f>
        <v>5.1020408163265307E-2</v>
      </c>
      <c r="J2" t="s">
        <v>11</v>
      </c>
    </row>
    <row r="3" spans="1:29" x14ac:dyDescent="0.25">
      <c r="A3" s="10" t="s">
        <v>79</v>
      </c>
      <c r="B3" s="17">
        <f>'Rigid Bearing Plate Analysis'!B3</f>
        <v>-3253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-7.1129737609329435</v>
      </c>
      <c r="J3" t="s">
        <v>11</v>
      </c>
    </row>
    <row r="4" spans="1:29" x14ac:dyDescent="0.25">
      <c r="A4" s="10" t="s">
        <v>80</v>
      </c>
      <c r="B4" s="17">
        <f>'Rigid Bearing Plate Analysis'!B4</f>
        <v>122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0.26676384839650141</v>
      </c>
      <c r="J4" t="s">
        <v>11</v>
      </c>
    </row>
    <row r="5" spans="1:29" x14ac:dyDescent="0.25">
      <c r="A5" s="10" t="s">
        <v>104</v>
      </c>
      <c r="B5" s="20">
        <f>ATAN2(B3,B4)</f>
        <v>3.1041063796879369</v>
      </c>
      <c r="C5" t="s">
        <v>19</v>
      </c>
      <c r="I5">
        <f>SUM(I2:I4)</f>
        <v>-6.7951895043731767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7.1129737609329435</v>
      </c>
      <c r="AB14">
        <f>$B$4/Z14</f>
        <v>0.26676384839650141</v>
      </c>
      <c r="AC14">
        <f>$I$2+AA14+AB14</f>
        <v>7.4307580174927104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-7.1129737609329435</v>
      </c>
      <c r="AB15">
        <f t="shared" ref="AB15:AB21" si="11">$B$4/Z15</f>
        <v>0.26676384839650141</v>
      </c>
      <c r="AC15">
        <f t="shared" ref="AC15:AC20" si="12">$I$2+AA15+AB15</f>
        <v>-6.7951895043731767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-7.1129737609329435</v>
      </c>
      <c r="AB16">
        <f t="shared" si="11"/>
        <v>-0.26676384839650141</v>
      </c>
      <c r="AC16">
        <f t="shared" si="12"/>
        <v>-7.3287172011661799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7.1129737609329435</v>
      </c>
      <c r="AB17">
        <f t="shared" si="11"/>
        <v>-0.26676384839650141</v>
      </c>
      <c r="AC17">
        <f t="shared" si="12"/>
        <v>6.8972303206997072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7.1129737609329435</v>
      </c>
      <c r="AB18">
        <f t="shared" si="11"/>
        <v>-0.26676384839650141</v>
      </c>
      <c r="AC18">
        <f t="shared" si="12"/>
        <v>6.8972303206997072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7.1129737609329435</v>
      </c>
      <c r="AB19">
        <f t="shared" si="11"/>
        <v>-0.26676384839650141</v>
      </c>
      <c r="AC19">
        <f t="shared" si="12"/>
        <v>6.8972303206997072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7.1129737609329435</v>
      </c>
      <c r="AB20">
        <f t="shared" si="11"/>
        <v>-0.26676384839650141</v>
      </c>
      <c r="AC20">
        <f t="shared" si="12"/>
        <v>6.8972303206997072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-0.26676384839650141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10</v>
      </c>
      <c r="D26" s="5">
        <f>((B25*C26)-(B26*C25))*0.5</f>
        <v>12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10</v>
      </c>
      <c r="D27" s="5">
        <f t="shared" ref="D27:D33" si="13">((B26*C27)-(B27*C26))*0.5</f>
        <v>-30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4</v>
      </c>
      <c r="D28" s="5">
        <f t="shared" si="13"/>
        <v>-30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4</v>
      </c>
      <c r="D29" s="5">
        <f t="shared" si="13"/>
        <v>12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4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4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4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4</v>
      </c>
      <c r="C33" s="17">
        <f>'Rigid Bearing Plate Analysis'!C33</f>
        <v>4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-36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12.5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12.5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12.5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16" x14ac:dyDescent="0.25">
      <c r="A51" s="10" t="s">
        <v>8</v>
      </c>
      <c r="B51" s="17">
        <f>'Rigid Bearing Plate Analysis'!B51</f>
        <v>5</v>
      </c>
      <c r="C51" t="s">
        <v>11</v>
      </c>
    </row>
    <row r="52" spans="1:16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6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6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/>
      <c r="H54" s="17" t="str">
        <f>'Rigid Bearing Plate Analysis'!H54</f>
        <v>Stress Block</v>
      </c>
      <c r="I54" s="17" t="str">
        <f>'Rigid Bearing Plate Analysis'!I54</f>
        <v>Linear</v>
      </c>
      <c r="J54" s="17"/>
      <c r="K54" s="17"/>
      <c r="L54" s="17"/>
      <c r="M54" s="17"/>
      <c r="N54" s="17"/>
      <c r="O54" s="17"/>
      <c r="P54" s="17"/>
    </row>
    <row r="55" spans="1:16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/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-6.3948846218409017E-14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/>
      <c r="M55" s="17"/>
      <c r="N55" s="17"/>
      <c r="O55" s="17"/>
      <c r="P55" s="17"/>
    </row>
    <row r="56" spans="1:16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/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/>
      <c r="L56" s="17"/>
      <c r="M56" s="17"/>
      <c r="N56" s="17"/>
      <c r="O56" s="17"/>
      <c r="P56" s="17"/>
    </row>
    <row r="57" spans="1:16" x14ac:dyDescent="0.25">
      <c r="D57" s="17" t="str">
        <f>'Rigid Bearing Plate Analysis'!D57</f>
        <v>Hole</v>
      </c>
      <c r="E57" s="17" t="str">
        <f>'Rigid Bearing Plate Analysis'!E57</f>
        <v>STD</v>
      </c>
      <c r="F57" s="17"/>
      <c r="G57" s="17"/>
      <c r="H57" s="17" t="str">
        <f>'Rigid Bearing Plate Analysis'!H57</f>
        <v>Sum My</v>
      </c>
      <c r="I57" s="17">
        <f>'Rigid Bearing Plate Analysis'!I57</f>
        <v>-4.8316906031686813E-13</v>
      </c>
      <c r="J57" s="17" t="str">
        <f>'Rigid Bearing Plate Analysis'!J57</f>
        <v>kip-in</v>
      </c>
      <c r="K57" s="17"/>
      <c r="L57" s="17"/>
      <c r="M57" s="17" t="str">
        <f ca="1">'Rigid Bearing Plate Analysis'!M57</f>
        <v>SOLUTION IF STRAIN IGNORED</v>
      </c>
      <c r="N57" s="17"/>
      <c r="O57" s="17"/>
      <c r="P57" s="17"/>
    </row>
    <row r="58" spans="1:16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/>
      <c r="H58" s="17"/>
      <c r="I58" s="17"/>
      <c r="J58" s="17"/>
      <c r="K58" s="17"/>
      <c r="L58" s="17"/>
      <c r="M58" s="17"/>
      <c r="N58" s="17"/>
      <c r="O58" s="17"/>
      <c r="P58" s="17"/>
    </row>
    <row r="59" spans="1:16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/>
      <c r="H59" s="17" t="str">
        <f>'Rigid Bearing Plate Analysis'!H59</f>
        <v>Max Iterations:</v>
      </c>
      <c r="I59" s="17">
        <f>'Rigid Bearing Plate Analysis'!I59</f>
        <v>200</v>
      </c>
      <c r="J59" s="17"/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/>
      <c r="O59" s="17"/>
      <c r="P59" s="17"/>
    </row>
    <row r="60" spans="1:16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/>
      <c r="G60" s="17"/>
      <c r="H60" s="17" t="str">
        <f>'Rigid Bearing Plate Analysis'!H60</f>
        <v>Iterations Used:</v>
      </c>
      <c r="I60" s="17">
        <f>'Rigid Bearing Plate Analysis'!I60</f>
        <v>7</v>
      </c>
      <c r="J60" s="17"/>
      <c r="K60" s="17"/>
      <c r="L60" s="17">
        <f>'Rigid Bearing Plate Analysis'!L60</f>
        <v>0</v>
      </c>
      <c r="M60" s="17" t="str">
        <f>'Rigid Bearing Plate Analysis'!M60</f>
        <v/>
      </c>
      <c r="N60" s="17"/>
      <c r="O60" s="17"/>
      <c r="P60" s="17"/>
    </row>
    <row r="61" spans="1:16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6" x14ac:dyDescent="0.25">
      <c r="A63" s="16" t="s">
        <v>38</v>
      </c>
    </row>
    <row r="64" spans="1:16" x14ac:dyDescent="0.25">
      <c r="A64" s="11" t="s">
        <v>39</v>
      </c>
      <c r="B64" s="17">
        <f>'Rigid Bearing Plate Analysis'!B64</f>
        <v>-7.1967966295273349E-3</v>
      </c>
      <c r="C64" t="s">
        <v>19</v>
      </c>
      <c r="D64" t="s">
        <v>34</v>
      </c>
      <c r="H64" s="17">
        <f>DEGREES(B64)</f>
        <v>-0.4123460728858922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11.86744431935711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5.5250000819489937</v>
      </c>
      <c r="C66" t="s">
        <v>11</v>
      </c>
      <c r="D66">
        <f>B66/B53</f>
        <v>1.3560676116785133E-3</v>
      </c>
      <c r="I66" s="20"/>
    </row>
    <row r="67" spans="1:18" x14ac:dyDescent="0.25">
      <c r="A67" s="1" t="s">
        <v>37</v>
      </c>
      <c r="B67" s="17">
        <f>'Rigid Bearing Plate Analysis'!B67</f>
        <v>188.23922999999255</v>
      </c>
      <c r="C67" t="s">
        <v>36</v>
      </c>
      <c r="D67" t="s">
        <v>122</v>
      </c>
      <c r="G67" s="20">
        <f ca="1">($B$56*$B$66*$B$55*$E$122)/$B$65</f>
        <v>1.4496542303087361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-3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3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3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-3</v>
      </c>
      <c r="Q76" cm="1">
        <f t="array" ref="Q76">(-1*MAX(ABS(B84:C91)))-1</f>
        <v>-8.0501958637291597</v>
      </c>
      <c r="R76">
        <f>Q76</f>
        <v>-8.0501958637291597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-3</v>
      </c>
      <c r="Q77">
        <f>-1*Q76</f>
        <v>8.0501958637291597</v>
      </c>
      <c r="R77">
        <f>Q77</f>
        <v>8.0501958637291597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-3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-3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-3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-3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-6.9494415806636027</v>
      </c>
      <c r="C84" s="1">
        <f t="shared" ref="C84:C92" si="23">(-1*B73*SIN($B$64))+(C73*COS($B$64))</f>
        <v>-7.0501958637291597</v>
      </c>
      <c r="H84" s="1">
        <f t="shared" ref="H84:H92" si="24">H73</f>
        <v>1</v>
      </c>
      <c r="I84" s="4">
        <f>(I73*COS($B$64))+(J73*SIN($B$64))</f>
        <v>-2.9783321059986867</v>
      </c>
      <c r="J84" s="1">
        <f>(-1*I73*SIN($B$64))+(J73*COS($B$64))</f>
        <v>-3.0215125130267828</v>
      </c>
    </row>
    <row r="85" spans="1:10" x14ac:dyDescent="0.25">
      <c r="A85" s="1">
        <f t="shared" si="21"/>
        <v>2</v>
      </c>
      <c r="B85" s="4">
        <f t="shared" si="22"/>
        <v>7.0501958637291597</v>
      </c>
      <c r="C85" s="1">
        <f t="shared" si="23"/>
        <v>-6.9494415806636027</v>
      </c>
      <c r="H85" s="1">
        <f t="shared" si="24"/>
        <v>2</v>
      </c>
      <c r="I85" s="4">
        <f t="shared" ref="I85:I92" si="25">(I74*COS($B$64))+(J74*SIN($B$64))</f>
        <v>-3.0215125130267828</v>
      </c>
      <c r="J85" s="1">
        <f t="shared" ref="J85:J92" si="26">(-1*I74*SIN($B$64))+(J74*COS($B$64))</f>
        <v>2.9783321059986867</v>
      </c>
    </row>
    <row r="86" spans="1:10" x14ac:dyDescent="0.25">
      <c r="A86" s="1">
        <f t="shared" si="21"/>
        <v>3</v>
      </c>
      <c r="B86" s="4">
        <f t="shared" si="22"/>
        <v>6.9494415806636027</v>
      </c>
      <c r="C86" s="1">
        <f t="shared" si="23"/>
        <v>7.0501958637291597</v>
      </c>
      <c r="H86" s="1">
        <f t="shared" si="24"/>
        <v>3</v>
      </c>
      <c r="I86" s="4">
        <f t="shared" si="25"/>
        <v>2.9783321059986867</v>
      </c>
      <c r="J86" s="1">
        <f t="shared" si="26"/>
        <v>3.0215125130267828</v>
      </c>
    </row>
    <row r="87" spans="1:10" x14ac:dyDescent="0.25">
      <c r="A87" s="1">
        <f t="shared" si="21"/>
        <v>4</v>
      </c>
      <c r="B87" s="4">
        <f t="shared" si="22"/>
        <v>-7.0501958637291597</v>
      </c>
      <c r="C87" s="1">
        <f t="shared" si="23"/>
        <v>6.9494415806636027</v>
      </c>
      <c r="H87" s="1">
        <f t="shared" si="24"/>
        <v>4</v>
      </c>
      <c r="I87" s="4">
        <f t="shared" si="25"/>
        <v>3.0215125130267828</v>
      </c>
      <c r="J87" s="1">
        <f t="shared" si="26"/>
        <v>-2.9783321059986867</v>
      </c>
    </row>
    <row r="88" spans="1:10" x14ac:dyDescent="0.25">
      <c r="A88" s="1">
        <f t="shared" si="21"/>
        <v>5</v>
      </c>
      <c r="B88" s="4">
        <f t="shared" si="22"/>
        <v>-6.9494415806636027</v>
      </c>
      <c r="C88" s="1">
        <f t="shared" si="23"/>
        <v>-7.0501958637291597</v>
      </c>
      <c r="H88" s="1">
        <f t="shared" si="24"/>
        <v>5</v>
      </c>
      <c r="I88" s="4">
        <f t="shared" si="25"/>
        <v>-2.9783321059986867</v>
      </c>
      <c r="J88" s="1">
        <f t="shared" si="26"/>
        <v>-3.0215125130267828</v>
      </c>
    </row>
    <row r="89" spans="1:10" x14ac:dyDescent="0.25">
      <c r="A89" s="1">
        <f t="shared" si="21"/>
        <v>6</v>
      </c>
      <c r="B89" s="4">
        <f t="shared" si="22"/>
        <v>-6.9494415806636027</v>
      </c>
      <c r="C89" s="1">
        <f t="shared" si="23"/>
        <v>-7.0501958637291597</v>
      </c>
      <c r="H89" s="1">
        <f t="shared" si="24"/>
        <v>6</v>
      </c>
      <c r="I89" s="4">
        <f t="shared" si="25"/>
        <v>-2.9783321059986867</v>
      </c>
      <c r="J89" s="1">
        <f t="shared" si="26"/>
        <v>-3.0215125130267828</v>
      </c>
    </row>
    <row r="90" spans="1:10" x14ac:dyDescent="0.25">
      <c r="A90" s="1">
        <f t="shared" si="21"/>
        <v>7</v>
      </c>
      <c r="B90" s="4">
        <f t="shared" si="22"/>
        <v>-6.9494415806636027</v>
      </c>
      <c r="C90" s="1">
        <f t="shared" si="23"/>
        <v>-7.0501958637291597</v>
      </c>
      <c r="H90" s="1">
        <f t="shared" si="24"/>
        <v>7</v>
      </c>
      <c r="I90" s="4">
        <f t="shared" si="25"/>
        <v>-2.9783321059986867</v>
      </c>
      <c r="J90" s="1">
        <f t="shared" si="26"/>
        <v>-3.0215125130267828</v>
      </c>
    </row>
    <row r="91" spans="1:10" x14ac:dyDescent="0.25">
      <c r="A91" s="1">
        <f t="shared" si="21"/>
        <v>8</v>
      </c>
      <c r="B91" s="4">
        <f t="shared" si="22"/>
        <v>-6.9494415806636027</v>
      </c>
      <c r="C91" s="1">
        <f t="shared" si="23"/>
        <v>-7.0501958637291597</v>
      </c>
      <c r="H91" s="1">
        <f t="shared" si="24"/>
        <v>8</v>
      </c>
      <c r="I91" s="4">
        <f t="shared" si="25"/>
        <v>-2.9783321059986867</v>
      </c>
      <c r="J91" s="1">
        <f t="shared" si="26"/>
        <v>-3.0215125130267828</v>
      </c>
    </row>
    <row r="92" spans="1:10" x14ac:dyDescent="0.25">
      <c r="A92" s="1">
        <f t="shared" si="21"/>
        <v>9</v>
      </c>
      <c r="B92" s="4">
        <f t="shared" si="22"/>
        <v>-6.9494415806636027</v>
      </c>
      <c r="C92" s="1">
        <f t="shared" si="23"/>
        <v>-7.0501958637291597</v>
      </c>
      <c r="H92" s="1">
        <f t="shared" si="24"/>
        <v>9</v>
      </c>
      <c r="I92" s="4">
        <f t="shared" si="25"/>
        <v>-2.9783321059986867</v>
      </c>
      <c r="J92" s="1">
        <f t="shared" si="26"/>
        <v>-3.0215125130267828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5.5</v>
      </c>
      <c r="C96" s="4">
        <f t="shared" si="29"/>
        <v>-5.5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-5.4602755276642592</v>
      </c>
      <c r="C110" s="1">
        <f>(-1*B95*SIN($B$64))+(C95*COS($B$64))</f>
        <v>-5.5394396072157681</v>
      </c>
      <c r="D110" t="str">
        <f t="shared" ref="D110" si="31">D95</f>
        <v>y</v>
      </c>
      <c r="E110" s="4">
        <f t="shared" ref="E110:E121" si="32">IF($D110="y",$B$125-C110,0)</f>
        <v>0.72219115158781744</v>
      </c>
      <c r="F110" s="1">
        <f>IF($D110="y",B110,NA())</f>
        <v>-5.4602755276642592</v>
      </c>
      <c r="G110" s="1">
        <f>IF($D110="y",C110,NA())</f>
        <v>-5.5394396072157681</v>
      </c>
      <c r="H110">
        <f t="shared" ref="H110:H121" si="33">IF($E$122=0,0,-1*MAX(($B$67/$E$122)*(E110),0))</f>
        <v>-188.23922999999255</v>
      </c>
      <c r="I110">
        <f>H110*C110</f>
        <v>1042.7398462937574</v>
      </c>
      <c r="J110">
        <f>H110*B110*-1</f>
        <v>-1027.8380609153232</v>
      </c>
      <c r="K110">
        <f ca="1">H110/$B$55</f>
        <v>-310.75635021860035</v>
      </c>
      <c r="L110">
        <f ca="1">K110/$B$54</f>
        <v>-1.0715736214434494E-2</v>
      </c>
      <c r="M110">
        <f t="shared" ref="M110:M121" si="34">IFERROR(($D$66/$B$65)*(G110-$B$125),0)</f>
        <v>-8.2523246265553152E-5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5.5394396072157681</v>
      </c>
      <c r="C111" s="1">
        <f t="shared" ref="C111:C121" si="37">(-1*B96*SIN($B$64))+(C96*COS($B$64))</f>
        <v>-5.4602755276642592</v>
      </c>
      <c r="D111" t="str">
        <f t="shared" si="35"/>
        <v>y</v>
      </c>
      <c r="E111" s="4">
        <f t="shared" si="32"/>
        <v>0.64302707203630849</v>
      </c>
      <c r="F111" s="1">
        <f t="shared" ref="F111:G121" si="38">IF($D111="y",B111,NA())</f>
        <v>5.5394396072157681</v>
      </c>
      <c r="G111" s="1">
        <f t="shared" si="38"/>
        <v>-5.4602755276642592</v>
      </c>
      <c r="H111">
        <f t="shared" si="33"/>
        <v>-167.60510100842157</v>
      </c>
      <c r="I111">
        <f t="shared" ref="I111:I121" si="39">H111*C111</f>
        <v>915.17003134798051</v>
      </c>
      <c r="J111">
        <f t="shared" ref="J111:J121" si="40">H111*B111*-1</f>
        <v>928.43833489744998</v>
      </c>
      <c r="K111">
        <f ca="1">H111/$B$55</f>
        <v>-276.69232108205608</v>
      </c>
      <c r="L111">
        <f t="shared" ref="L111:L121" ca="1" si="41">K111/$B$54</f>
        <v>-9.5411145200708994E-3</v>
      </c>
      <c r="M111">
        <f t="shared" si="34"/>
        <v>-7.3477335334836601E-5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-5.5394396072157681</v>
      </c>
      <c r="C112" s="1">
        <f t="shared" si="37"/>
        <v>5.4602755276642592</v>
      </c>
      <c r="D112" t="str">
        <f t="shared" si="35"/>
        <v>y</v>
      </c>
      <c r="E112" s="4">
        <f t="shared" si="32"/>
        <v>-10.277523983292209</v>
      </c>
      <c r="F112" s="1">
        <f t="shared" si="38"/>
        <v>-5.5394396072157681</v>
      </c>
      <c r="G112" s="1">
        <f t="shared" si="38"/>
        <v>5.4602755276642592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1.1743907977945086E-3</v>
      </c>
      <c r="N112">
        <f t="shared" si="42"/>
        <v>4.2423973592967057</v>
      </c>
      <c r="O112">
        <f t="shared" si="43"/>
        <v>23.164658479595278</v>
      </c>
      <c r="P112">
        <f t="shared" si="44"/>
        <v>23.500503961635754</v>
      </c>
    </row>
    <row r="113" spans="1:16" x14ac:dyDescent="0.25">
      <c r="A113">
        <f t="shared" si="35"/>
        <v>4</v>
      </c>
      <c r="B113" s="1">
        <f t="shared" si="36"/>
        <v>5.4602755276642592</v>
      </c>
      <c r="C113" s="1">
        <f t="shared" si="37"/>
        <v>5.5394396072157681</v>
      </c>
      <c r="D113" t="str">
        <f t="shared" si="35"/>
        <v>y</v>
      </c>
      <c r="E113" s="4">
        <f t="shared" si="32"/>
        <v>-10.35668806284372</v>
      </c>
      <c r="F113" s="1">
        <f t="shared" si="38"/>
        <v>5.4602755276642592</v>
      </c>
      <c r="G113" s="1">
        <f t="shared" si="38"/>
        <v>5.5394396072157681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1.1834367087252254E-3</v>
      </c>
      <c r="N113">
        <f t="shared" si="42"/>
        <v>4.2750750239352371</v>
      </c>
      <c r="O113">
        <f t="shared" si="43"/>
        <v>23.681519911405751</v>
      </c>
      <c r="P113">
        <f t="shared" si="44"/>
        <v>-23.343087532122272</v>
      </c>
    </row>
    <row r="114" spans="1:16" x14ac:dyDescent="0.25">
      <c r="A114">
        <f t="shared" si="35"/>
        <v>5</v>
      </c>
      <c r="B114" s="1">
        <f t="shared" si="36"/>
        <v>-6.9494415806636027</v>
      </c>
      <c r="C114" s="1">
        <f t="shared" si="37"/>
        <v>-7.0501958637291597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-6.9494415806636027</v>
      </c>
      <c r="C115" s="1">
        <f t="shared" si="37"/>
        <v>-7.0501958637291597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-6.9494415806636027</v>
      </c>
      <c r="C116" s="1">
        <f t="shared" si="37"/>
        <v>-7.0501958637291597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-6.9494415806636027</v>
      </c>
      <c r="C117" s="1">
        <f t="shared" si="37"/>
        <v>-7.0501958637291597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-6.9494415806636027</v>
      </c>
      <c r="C118" s="1">
        <f t="shared" si="37"/>
        <v>-7.0501958637291597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-6.9494415806636027</v>
      </c>
      <c r="C119" s="1">
        <f t="shared" si="37"/>
        <v>-7.0501958637291597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-6.9494415806636027</v>
      </c>
      <c r="C120" s="1">
        <f t="shared" si="37"/>
        <v>-7.0501958637291597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-6.9494415806636027</v>
      </c>
      <c r="C121" s="1">
        <f t="shared" si="37"/>
        <v>-7.0501958637291597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0.72219115158781744</v>
      </c>
      <c r="H122">
        <f>SUM(H110:H121)</f>
        <v>-355.84433100841409</v>
      </c>
      <c r="I122">
        <f t="shared" ref="I122:J122" si="46">SUM(I110:I121)</f>
        <v>1957.9098776417379</v>
      </c>
      <c r="J122">
        <f t="shared" si="46"/>
        <v>-99.399726017873263</v>
      </c>
      <c r="L122">
        <f ca="1">MIN(L110:L121)</f>
        <v>-1.0715736214434494E-2</v>
      </c>
      <c r="M122">
        <f>MIN(M110:M121)</f>
        <v>-8.2523246265553152E-5</v>
      </c>
      <c r="N122">
        <f>SUM(N110:N121)</f>
        <v>8.5174723832319437</v>
      </c>
      <c r="O122">
        <f>SUM(O110:O121)</f>
        <v>46.846178391001033</v>
      </c>
      <c r="P122">
        <f>SUM(P110:P121)</f>
        <v>0.15741642951348211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-4.8172484556279507</v>
      </c>
      <c r="F125" s="1" t="s">
        <v>27</v>
      </c>
      <c r="G125" s="1" t="s">
        <v>28</v>
      </c>
    </row>
    <row r="126" spans="1:16" x14ac:dyDescent="0.25">
      <c r="F126" s="4">
        <f>MIN(B84:B90)-1</f>
        <v>-8.0501958637291597</v>
      </c>
      <c r="G126" s="4">
        <f>B125</f>
        <v>-4.8172484556279507</v>
      </c>
    </row>
    <row r="127" spans="1:16" x14ac:dyDescent="0.25">
      <c r="F127" s="4">
        <f>MAX(B84:B90)+1</f>
        <v>8.0501958637291597</v>
      </c>
      <c r="G127" s="4">
        <f>G126</f>
        <v>-4.8172484556279507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-6.9494415806636027</v>
      </c>
      <c r="C132" s="4">
        <f>C84</f>
        <v>-7.0501958637291597</v>
      </c>
      <c r="D132" s="4">
        <f t="shared" ref="D132:E139" si="47">B85</f>
        <v>7.0501958637291597</v>
      </c>
      <c r="E132" s="4">
        <f t="shared" si="47"/>
        <v>-6.9494415806636027</v>
      </c>
      <c r="F132" s="4">
        <f t="shared" ref="F132:F139" si="48">($B$66/$B$65)*(C132-$B$125)</f>
        <v>-1.0395696226376145</v>
      </c>
      <c r="G132" s="4">
        <f t="shared" ref="G132:G139" si="49">($B$66/$B$65)*(E132-$B$125)</f>
        <v>-0.99266252055111648</v>
      </c>
      <c r="H132" s="4">
        <f>IF(B132=D132,"V",(C132-E132)/(B132-D132))</f>
        <v>7.1969208821126901E-3</v>
      </c>
      <c r="I132" s="4">
        <f>IF(H132="V",0,(-1*B132*H132)+C132)</f>
        <v>-7.0001812824982599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7.0501958637291597</v>
      </c>
      <c r="C133" s="4">
        <f t="shared" si="50"/>
        <v>-6.9494415806636027</v>
      </c>
      <c r="D133" s="4">
        <f t="shared" si="47"/>
        <v>6.9494415806636027</v>
      </c>
      <c r="E133" s="4">
        <f t="shared" si="47"/>
        <v>7.0501958637291597</v>
      </c>
      <c r="F133" s="4">
        <f t="shared" si="48"/>
        <v>-0.99266252055111648</v>
      </c>
      <c r="G133" s="4">
        <f t="shared" si="49"/>
        <v>5.5250000819489937</v>
      </c>
      <c r="H133" s="4">
        <f t="shared" ref="H133:H139" si="51">IF(B133=D133,"V",(C133-E133)/(B133-D133))</f>
        <v>-138.94831086519397</v>
      </c>
      <c r="I133" s="4">
        <f t="shared" ref="I133:I139" si="52">IF(H133="V",0,(-1*B133*H133)+C133)</f>
        <v>972.66336495328039</v>
      </c>
      <c r="J133" s="4">
        <f t="shared" ref="J133:J139" si="53">IF($F133&gt;=0,B133,IF(AND($F133&lt;0,$G133&gt;=0),IF(H133="V",B133,($B$125-I133)/H133),0))</f>
        <v>7.0348506385028928</v>
      </c>
      <c r="K133" s="4">
        <f t="shared" ref="K133:K139" si="54">IF($F133&gt;=0,C133,IF(AND($F133&lt;0,$G133&gt;=0),$B$125,0))</f>
        <v>-4.8172484556279507</v>
      </c>
      <c r="L133" s="4">
        <f t="shared" ref="L133:L139" si="55">IF($G133&gt;=0,D133,IF(AND($G133&lt;0,$F133&gt;=0),IF(H133="V",D133,($B$125-I133)/H133),0))</f>
        <v>6.9494415806636027</v>
      </c>
      <c r="M133" s="4">
        <f t="shared" ref="M133:M139" si="56">IF($G133&gt;=0,E133,IF(AND($G133&lt;0,$F133&gt;=0),$B$125,0))</f>
        <v>7.0501958637291597</v>
      </c>
      <c r="N133" s="4">
        <f t="shared" ref="N133:O139" si="57">IF(F133&lt;0,IF($I$54="Linear",0,$B$66),IF($I$54="Linear",F133,$B$66))</f>
        <v>0</v>
      </c>
      <c r="O133" s="4">
        <f t="shared" si="57"/>
        <v>5.5250000819489937</v>
      </c>
      <c r="P133" s="4">
        <f t="shared" ref="P133:P139" si="58">(1/6)*(M133-K133)*((N133*((2*J133)+L133))+(O133*(J133+(2*L133))))</f>
        <v>228.76255497112118</v>
      </c>
      <c r="Q133" s="4">
        <f t="shared" ref="Q133:Q139" si="59">((1/12)*(M133-K133)*(N133*J133*((3*K133)+M133)+N133*L133*(K133+M133)+O133*J133*(K133+M133)+O133*L133*(K133+(3*M133))))</f>
        <v>706.03245451284124</v>
      </c>
      <c r="R133" s="4">
        <f t="shared" ref="R133:R139" si="60">((-1/24)*(M133-K133)*(J133*J133*((3*N133)+O133)+2*J133*L133*(N133+O133)+L133*L133*(N133+(3*O133))))</f>
        <v>-798.14904786499437</v>
      </c>
    </row>
    <row r="134" spans="1:18" x14ac:dyDescent="0.25">
      <c r="A134" t="s">
        <v>71</v>
      </c>
      <c r="B134" s="4">
        <f t="shared" si="50"/>
        <v>6.9494415806636027</v>
      </c>
      <c r="C134" s="4">
        <f t="shared" si="50"/>
        <v>7.0501958637291597</v>
      </c>
      <c r="D134" s="4">
        <f t="shared" si="47"/>
        <v>-7.0501958637291597</v>
      </c>
      <c r="E134" s="4">
        <f t="shared" si="47"/>
        <v>6.9494415806636027</v>
      </c>
      <c r="F134" s="4">
        <f t="shared" si="48"/>
        <v>5.5250000819489937</v>
      </c>
      <c r="G134" s="4">
        <f t="shared" si="49"/>
        <v>5.4780929798624953</v>
      </c>
      <c r="H134" s="4">
        <f t="shared" si="51"/>
        <v>7.1969208821126901E-3</v>
      </c>
      <c r="I134" s="4">
        <f t="shared" si="52"/>
        <v>7.0001812824982599</v>
      </c>
      <c r="J134" s="4">
        <f t="shared" si="53"/>
        <v>6.9494415806636027</v>
      </c>
      <c r="K134" s="4">
        <f t="shared" si="54"/>
        <v>7.0501958637291597</v>
      </c>
      <c r="L134" s="4">
        <f t="shared" si="55"/>
        <v>-7.0501958637291597</v>
      </c>
      <c r="M134" s="4">
        <f t="shared" si="56"/>
        <v>6.9494415806636027</v>
      </c>
      <c r="N134" s="4">
        <f t="shared" si="57"/>
        <v>5.5250000819489937</v>
      </c>
      <c r="O134" s="4">
        <f t="shared" si="57"/>
        <v>5.4780929798624953</v>
      </c>
      <c r="P134" s="4">
        <f t="shared" si="58"/>
        <v>2.2410639466766122E-2</v>
      </c>
      <c r="Q134" s="4">
        <f t="shared" si="59"/>
        <v>9.1717470029266876E-2</v>
      </c>
      <c r="R134" s="4">
        <f t="shared" si="60"/>
        <v>4.5270102285519478</v>
      </c>
    </row>
    <row r="135" spans="1:18" x14ac:dyDescent="0.25">
      <c r="A135" t="s">
        <v>72</v>
      </c>
      <c r="B135" s="4">
        <f t="shared" si="50"/>
        <v>-7.0501958637291597</v>
      </c>
      <c r="C135" s="4">
        <f t="shared" si="50"/>
        <v>6.9494415806636027</v>
      </c>
      <c r="D135" s="4">
        <f t="shared" si="47"/>
        <v>-6.9494415806636027</v>
      </c>
      <c r="E135" s="4">
        <f t="shared" si="47"/>
        <v>-7.0501958637291597</v>
      </c>
      <c r="F135" s="4">
        <f t="shared" si="48"/>
        <v>5.4780929798624953</v>
      </c>
      <c r="G135" s="4">
        <f t="shared" si="49"/>
        <v>-1.0395696226376145</v>
      </c>
      <c r="H135" s="4">
        <f t="shared" si="51"/>
        <v>-138.94831086519397</v>
      </c>
      <c r="I135" s="4">
        <f t="shared" si="52"/>
        <v>-972.66336495328039</v>
      </c>
      <c r="J135" s="4">
        <f t="shared" si="53"/>
        <v>-7.0501958637291597</v>
      </c>
      <c r="K135" s="4">
        <f t="shared" si="54"/>
        <v>6.9494415806636027</v>
      </c>
      <c r="L135" s="4">
        <f t="shared" si="55"/>
        <v>-6.965511926493626</v>
      </c>
      <c r="M135" s="4">
        <f t="shared" si="56"/>
        <v>-4.8172484556279507</v>
      </c>
      <c r="N135" s="4">
        <f t="shared" si="57"/>
        <v>5.4780929798624953</v>
      </c>
      <c r="O135" s="4">
        <f t="shared" si="57"/>
        <v>0</v>
      </c>
      <c r="P135" s="4">
        <f t="shared" si="58"/>
        <v>226.3145914750113</v>
      </c>
      <c r="Q135" s="4">
        <f t="shared" si="59"/>
        <v>686.88632082028221</v>
      </c>
      <c r="R135" s="4">
        <f t="shared" si="60"/>
        <v>794.59331685278175</v>
      </c>
    </row>
    <row r="136" spans="1:18" x14ac:dyDescent="0.25">
      <c r="A136" t="s">
        <v>73</v>
      </c>
      <c r="B136" s="4">
        <f t="shared" si="50"/>
        <v>-6.9494415806636027</v>
      </c>
      <c r="C136" s="4">
        <f t="shared" si="50"/>
        <v>-7.0501958637291597</v>
      </c>
      <c r="D136" s="4">
        <f t="shared" si="47"/>
        <v>-6.9494415806636027</v>
      </c>
      <c r="E136" s="4">
        <f t="shared" si="47"/>
        <v>-7.0501958637291597</v>
      </c>
      <c r="F136" s="4">
        <f t="shared" si="48"/>
        <v>-1.0395696226376145</v>
      </c>
      <c r="G136" s="4">
        <f t="shared" si="49"/>
        <v>-1.0395696226376145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-6.9494415806636027</v>
      </c>
      <c r="C137" s="4">
        <f t="shared" si="50"/>
        <v>-7.0501958637291597</v>
      </c>
      <c r="D137" s="4">
        <f t="shared" si="47"/>
        <v>-6.9494415806636027</v>
      </c>
      <c r="E137" s="4">
        <f t="shared" si="47"/>
        <v>-7.0501958637291597</v>
      </c>
      <c r="F137" s="4">
        <f t="shared" si="48"/>
        <v>-1.0395696226376145</v>
      </c>
      <c r="G137" s="4">
        <f t="shared" si="49"/>
        <v>-1.0395696226376145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-6.9494415806636027</v>
      </c>
      <c r="C138" s="4">
        <f t="shared" si="50"/>
        <v>-7.0501958637291597</v>
      </c>
      <c r="D138" s="4">
        <f t="shared" si="47"/>
        <v>-6.9494415806636027</v>
      </c>
      <c r="E138" s="4">
        <f t="shared" si="47"/>
        <v>-7.0501958637291597</v>
      </c>
      <c r="F138" s="4">
        <f t="shared" si="48"/>
        <v>-1.0395696226376145</v>
      </c>
      <c r="G138" s="4">
        <f t="shared" si="49"/>
        <v>-1.0395696226376145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-6.9494415806636027</v>
      </c>
      <c r="C139" s="4">
        <f>E138</f>
        <v>-7.0501958637291597</v>
      </c>
      <c r="D139" s="4">
        <f t="shared" si="47"/>
        <v>-6.9494415806636027</v>
      </c>
      <c r="E139" s="4">
        <f t="shared" si="47"/>
        <v>-7.0501958637291597</v>
      </c>
      <c r="F139" s="4">
        <f t="shared" si="48"/>
        <v>-1.0395696226376145</v>
      </c>
      <c r="G139" s="4">
        <f t="shared" si="49"/>
        <v>-1.0395696226376145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455.09955708559926</v>
      </c>
      <c r="Q140" s="4">
        <f>SUM(Q132:Q139)</f>
        <v>1393.0104928031528</v>
      </c>
      <c r="R140" s="4">
        <f>SUM(R132:R139)</f>
        <v>0.97127921633932601</v>
      </c>
    </row>
    <row r="142" spans="1:18" x14ac:dyDescent="0.25">
      <c r="O142" t="s">
        <v>96</v>
      </c>
      <c r="P142" s="1">
        <f>-1*R140/P140</f>
        <v>-2.1342126161565107E-3</v>
      </c>
    </row>
    <row r="143" spans="1:18" x14ac:dyDescent="0.25">
      <c r="O143" t="s">
        <v>97</v>
      </c>
      <c r="P143" s="1">
        <f>Q140/P140</f>
        <v>3.0608917787655479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-2.9783321059986867</v>
      </c>
      <c r="C146" s="9">
        <f>J84</f>
        <v>-3.0215125130267828</v>
      </c>
      <c r="D146" s="9">
        <f t="shared" ref="D146:E153" si="61">I85</f>
        <v>-3.0215125130267828</v>
      </c>
      <c r="E146">
        <f t="shared" si="61"/>
        <v>2.9783321059986867</v>
      </c>
      <c r="F146" s="4">
        <f>($B$66/$B$65)*(C146-$B$125)</f>
        <v>0.83602172152998777</v>
      </c>
      <c r="G146" s="4">
        <f>($B$66/$B$65)*(E146-$B$125)</f>
        <v>3.6293056940300352</v>
      </c>
      <c r="H146" s="4">
        <f>IF(B146=D146,"V",(C146-E146)/(B146-D146))</f>
        <v>-138.94831086519315</v>
      </c>
      <c r="I146" s="4">
        <f>IF(H146="V",0,(-1*B146*H146)+C146)</f>
        <v>-416.85572783711768</v>
      </c>
      <c r="J146" s="4">
        <f>IF($F146&gt;=0,B146,IF(AND($F146&lt;0,$G146&gt;=0),IF(H146="V",B146,($B$125-I146)/H146),0))</f>
        <v>-2.9783321059986867</v>
      </c>
      <c r="K146" s="4">
        <f>IF($F146&gt;=0,C146,IF(AND($F146&lt;0,$G146&gt;=0),$B$125,0))</f>
        <v>-3.0215125130267828</v>
      </c>
      <c r="L146" s="4">
        <f>IF($G146&gt;=0,D146,IF(AND($G146&lt;0,$F146&gt;=0),IF(H146="V",D146,($B$125-I146)/H146),0))</f>
        <v>-3.0215125130267828</v>
      </c>
      <c r="M146" s="4">
        <f>IF($G146&gt;=0,E146,IF(AND($G146&lt;0,$F146&gt;=0),$B$125,0))</f>
        <v>2.9783321059986867</v>
      </c>
      <c r="N146" s="4">
        <f>IF(F146&lt;0,IF($I$54="Linear",0,$B$66),IF($I$54="Linear",F146,$B$66))</f>
        <v>0.83602172152998777</v>
      </c>
      <c r="O146" s="4">
        <f>IF(G146&lt;0,IF($I$54="Linear",0,$B$66),IF($I$54="Linear",G146,$B$66))</f>
        <v>3.6293056940300352</v>
      </c>
      <c r="P146" s="4">
        <f>(1/6)*(M146-K146)*((N146*((2*J146)+L146))+(O146*(J146+(2*L146))))</f>
        <v>-40.246171293879783</v>
      </c>
      <c r="Q146" s="4">
        <f>((1/12)*(M146-K146)*(N146*J146*((3*K146)+M146)+N146*L146*(K146+M146)+O146*J146*(K146+M146)+O146*L146*(K146+(3*M146))))</f>
        <v>-24.557886673152883</v>
      </c>
      <c r="R146" s="4">
        <f>((-1/24)*(M146-K146)*(J146*J146*((3*N146)+O146)+2*J146*L146*(N146+O146)+L146*L146*(N146+(3*O146))))</f>
        <v>-60.459190937345575</v>
      </c>
    </row>
    <row r="147" spans="1:18" x14ac:dyDescent="0.25">
      <c r="A147" t="s">
        <v>70</v>
      </c>
      <c r="B147" s="9">
        <f t="shared" ref="B147:C153" si="62">D146</f>
        <v>-3.0215125130267828</v>
      </c>
      <c r="C147">
        <f t="shared" si="62"/>
        <v>2.9783321059986867</v>
      </c>
      <c r="D147" s="9">
        <f t="shared" si="61"/>
        <v>2.9783321059986867</v>
      </c>
      <c r="E147">
        <f t="shared" si="61"/>
        <v>3.0215125130267828</v>
      </c>
      <c r="F147" s="4">
        <f t="shared" ref="F147:F153" si="63">($B$66/$B$65)*(C147-$B$125)</f>
        <v>3.6293056940300352</v>
      </c>
      <c r="G147" s="4">
        <f t="shared" ref="G147:G153" si="64">($B$66/$B$65)*(E147-$B$125)</f>
        <v>3.6494087377813917</v>
      </c>
      <c r="H147" s="4">
        <f t="shared" ref="H147:H153" si="65">IF(B147=D147,"V",(C147-E147)/(B147-D147))</f>
        <v>7.1969208821127326E-3</v>
      </c>
      <c r="I147" s="4">
        <f t="shared" ref="I147:I153" si="66">IF(H147="V",0,(-1*B147*H147)+C147)</f>
        <v>3.000077692499254</v>
      </c>
      <c r="J147" s="4">
        <f t="shared" ref="J147:J153" si="67">IF($F147&gt;=0,B147,IF(AND($F147&lt;0,$G147&gt;=0),IF(H147="V",B147,($B$125-I147)/H147),0))</f>
        <v>-3.0215125130267828</v>
      </c>
      <c r="K147" s="4">
        <f t="shared" ref="K147:K153" si="68">IF($F147&gt;=0,C147,IF(AND($F147&lt;0,$G147&gt;=0),$B$125,0))</f>
        <v>2.9783321059986867</v>
      </c>
      <c r="L147" s="4">
        <f t="shared" ref="L147:L153" si="69">IF($G147&gt;=0,D147,IF(AND($G147&lt;0,$F147&gt;=0),IF(H147="V",D147,($B$125-I147)/H147),0))</f>
        <v>2.9783321059986867</v>
      </c>
      <c r="M147" s="4">
        <f t="shared" ref="M147:M153" si="70">IF($G147&gt;=0,E147,IF(AND($G147&lt;0,$F147&gt;=0),$B$125,0))</f>
        <v>3.0215125130267828</v>
      </c>
      <c r="N147" s="4">
        <f t="shared" ref="N147:O153" si="71">IF(F147&lt;0,IF($I$54="Linear",0,$B$66),IF($I$54="Linear",F147,$B$66))</f>
        <v>3.6293056940300352</v>
      </c>
      <c r="O147" s="4">
        <f t="shared" si="71"/>
        <v>3.6494087377813917</v>
      </c>
      <c r="P147" s="4">
        <f t="shared" ref="P147:P153" si="72">(1/6)*(M147-K147)*((N147*((2*J147)+L147))+(O147*(J147+(2*L147))))</f>
        <v>-2.958859726395693E-3</v>
      </c>
      <c r="Q147" s="4">
        <f t="shared" ref="Q147:Q153" si="73">((1/12)*(M147-K147)*(N147*J147*((3*K147)+M147)+N147*L147*(K147+M147)+O147*J147*(K147+M147)+O147*L147*(K147+(3*M147))))</f>
        <v>-5.4836273153724517E-3</v>
      </c>
      <c r="R147" s="4">
        <f t="shared" ref="R147:R153" si="74">((-1/24)*(M147-K147)*(J147*J147*((3*N147)+O147)+2*J147*L147*(N147+O147)+L147*L147*(N147+(3*O147))))</f>
        <v>-0.23573843596467456</v>
      </c>
    </row>
    <row r="148" spans="1:18" x14ac:dyDescent="0.25">
      <c r="A148" t="s">
        <v>71</v>
      </c>
      <c r="B148" s="9">
        <f t="shared" si="62"/>
        <v>2.9783321059986867</v>
      </c>
      <c r="C148">
        <f t="shared" si="62"/>
        <v>3.0215125130267828</v>
      </c>
      <c r="D148" s="9">
        <f t="shared" si="61"/>
        <v>3.0215125130267828</v>
      </c>
      <c r="E148">
        <f t="shared" si="61"/>
        <v>-2.9783321059986867</v>
      </c>
      <c r="F148" s="4">
        <f t="shared" si="63"/>
        <v>3.6494087377813917</v>
      </c>
      <c r="G148" s="4">
        <f t="shared" si="64"/>
        <v>0.85612476528134418</v>
      </c>
      <c r="H148" s="4">
        <f t="shared" si="65"/>
        <v>-138.94831086519315</v>
      </c>
      <c r="I148" s="4">
        <f t="shared" si="66"/>
        <v>416.85572783711768</v>
      </c>
      <c r="J148" s="4">
        <f t="shared" si="67"/>
        <v>2.9783321059986867</v>
      </c>
      <c r="K148" s="4">
        <f t="shared" si="68"/>
        <v>3.0215125130267828</v>
      </c>
      <c r="L148" s="4">
        <f t="shared" si="69"/>
        <v>3.0215125130267828</v>
      </c>
      <c r="M148" s="4">
        <f t="shared" si="70"/>
        <v>-2.9783321059986867</v>
      </c>
      <c r="N148" s="4">
        <f t="shared" si="71"/>
        <v>3.6494087377813917</v>
      </c>
      <c r="O148" s="4">
        <f t="shared" si="71"/>
        <v>0.85612476528134418</v>
      </c>
      <c r="P148" s="4">
        <f t="shared" si="72"/>
        <v>-40.487395324535726</v>
      </c>
      <c r="Q148" s="4">
        <f t="shared" si="73"/>
        <v>-25.719922762290576</v>
      </c>
      <c r="R148" s="4">
        <f t="shared" si="74"/>
        <v>60.640113645661991</v>
      </c>
    </row>
    <row r="149" spans="1:18" x14ac:dyDescent="0.25">
      <c r="A149" t="s">
        <v>72</v>
      </c>
      <c r="B149" s="9">
        <f t="shared" si="62"/>
        <v>3.0215125130267828</v>
      </c>
      <c r="C149">
        <f t="shared" si="62"/>
        <v>-2.9783321059986867</v>
      </c>
      <c r="D149" s="9">
        <f t="shared" si="61"/>
        <v>-2.9783321059986867</v>
      </c>
      <c r="E149">
        <f t="shared" si="61"/>
        <v>-3.0215125130267828</v>
      </c>
      <c r="F149" s="4">
        <f t="shared" si="63"/>
        <v>0.85612476528134418</v>
      </c>
      <c r="G149" s="4">
        <f t="shared" si="64"/>
        <v>0.83602172152998777</v>
      </c>
      <c r="H149" s="4">
        <f t="shared" si="65"/>
        <v>7.1969208821127326E-3</v>
      </c>
      <c r="I149" s="4">
        <f t="shared" si="66"/>
        <v>-3.000077692499254</v>
      </c>
      <c r="J149" s="4">
        <f t="shared" si="67"/>
        <v>3.0215125130267828</v>
      </c>
      <c r="K149" s="4">
        <f t="shared" si="68"/>
        <v>-2.9783321059986867</v>
      </c>
      <c r="L149" s="4">
        <f t="shared" si="69"/>
        <v>-2.9783321059986867</v>
      </c>
      <c r="M149" s="4">
        <f t="shared" si="70"/>
        <v>-3.0215125130267828</v>
      </c>
      <c r="N149" s="4">
        <f t="shared" si="71"/>
        <v>0.85612476528134418</v>
      </c>
      <c r="O149" s="4">
        <f t="shared" si="71"/>
        <v>0.83602172152998777</v>
      </c>
      <c r="P149" s="4">
        <f t="shared" si="72"/>
        <v>-1.2227894629005262E-3</v>
      </c>
      <c r="Q149" s="4">
        <f t="shared" si="73"/>
        <v>2.8794544803110536E-3</v>
      </c>
      <c r="R149" s="4">
        <f t="shared" si="74"/>
        <v>5.4815727648260669E-2</v>
      </c>
    </row>
    <row r="150" spans="1:18" x14ac:dyDescent="0.25">
      <c r="A150" t="s">
        <v>73</v>
      </c>
      <c r="B150" s="9">
        <f t="shared" si="62"/>
        <v>-2.9783321059986867</v>
      </c>
      <c r="C150">
        <f t="shared" si="62"/>
        <v>-3.0215125130267828</v>
      </c>
      <c r="D150" s="9">
        <f t="shared" si="61"/>
        <v>-2.9783321059986867</v>
      </c>
      <c r="E150">
        <f t="shared" si="61"/>
        <v>-3.0215125130267828</v>
      </c>
      <c r="F150" s="4">
        <f t="shared" si="63"/>
        <v>0.83602172152998777</v>
      </c>
      <c r="G150" s="4">
        <f t="shared" si="64"/>
        <v>0.83602172152998777</v>
      </c>
      <c r="H150" s="4" t="str">
        <f t="shared" si="65"/>
        <v>V</v>
      </c>
      <c r="I150" s="4">
        <f t="shared" si="66"/>
        <v>0</v>
      </c>
      <c r="J150" s="4">
        <f t="shared" si="67"/>
        <v>-2.9783321059986867</v>
      </c>
      <c r="K150" s="4">
        <f t="shared" si="68"/>
        <v>-3.0215125130267828</v>
      </c>
      <c r="L150" s="4">
        <f t="shared" si="69"/>
        <v>-2.9783321059986867</v>
      </c>
      <c r="M150" s="4">
        <f t="shared" si="70"/>
        <v>-3.0215125130267828</v>
      </c>
      <c r="N150" s="4">
        <f t="shared" si="71"/>
        <v>0.83602172152998777</v>
      </c>
      <c r="O150" s="4">
        <f t="shared" si="71"/>
        <v>0.83602172152998777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-2.9783321059986867</v>
      </c>
      <c r="C151">
        <f t="shared" si="62"/>
        <v>-3.0215125130267828</v>
      </c>
      <c r="D151" s="9">
        <f t="shared" si="61"/>
        <v>-2.9783321059986867</v>
      </c>
      <c r="E151">
        <f t="shared" si="61"/>
        <v>-3.0215125130267828</v>
      </c>
      <c r="F151" s="4">
        <f t="shared" si="63"/>
        <v>0.83602172152998777</v>
      </c>
      <c r="G151" s="4">
        <f t="shared" si="64"/>
        <v>0.83602172152998777</v>
      </c>
      <c r="H151" s="4" t="str">
        <f t="shared" si="65"/>
        <v>V</v>
      </c>
      <c r="I151" s="4">
        <f t="shared" si="66"/>
        <v>0</v>
      </c>
      <c r="J151" s="4">
        <f t="shared" si="67"/>
        <v>-2.9783321059986867</v>
      </c>
      <c r="K151" s="4">
        <f t="shared" si="68"/>
        <v>-3.0215125130267828</v>
      </c>
      <c r="L151" s="4">
        <f t="shared" si="69"/>
        <v>-2.9783321059986867</v>
      </c>
      <c r="M151" s="4">
        <f t="shared" si="70"/>
        <v>-3.0215125130267828</v>
      </c>
      <c r="N151" s="4">
        <f t="shared" si="71"/>
        <v>0.83602172152998777</v>
      </c>
      <c r="O151" s="4">
        <f t="shared" si="71"/>
        <v>0.83602172152998777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-2.9783321059986867</v>
      </c>
      <c r="C152">
        <f t="shared" si="62"/>
        <v>-3.0215125130267828</v>
      </c>
      <c r="D152" s="9">
        <f t="shared" si="61"/>
        <v>-2.9783321059986867</v>
      </c>
      <c r="E152">
        <f t="shared" si="61"/>
        <v>-3.0215125130267828</v>
      </c>
      <c r="F152" s="4">
        <f t="shared" si="63"/>
        <v>0.83602172152998777</v>
      </c>
      <c r="G152" s="4">
        <f t="shared" si="64"/>
        <v>0.83602172152998777</v>
      </c>
      <c r="H152" s="4" t="str">
        <f t="shared" si="65"/>
        <v>V</v>
      </c>
      <c r="I152" s="4">
        <f t="shared" si="66"/>
        <v>0</v>
      </c>
      <c r="J152" s="4">
        <f t="shared" si="67"/>
        <v>-2.9783321059986867</v>
      </c>
      <c r="K152" s="4">
        <f t="shared" si="68"/>
        <v>-3.0215125130267828</v>
      </c>
      <c r="L152" s="4">
        <f t="shared" si="69"/>
        <v>-2.9783321059986867</v>
      </c>
      <c r="M152" s="4">
        <f t="shared" si="70"/>
        <v>-3.0215125130267828</v>
      </c>
      <c r="N152" s="4">
        <f t="shared" si="71"/>
        <v>0.83602172152998777</v>
      </c>
      <c r="O152" s="4">
        <f t="shared" si="71"/>
        <v>0.83602172152998777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-2.9783321059986867</v>
      </c>
      <c r="C153">
        <f t="shared" si="62"/>
        <v>-3.0215125130267828</v>
      </c>
      <c r="D153" s="9">
        <f t="shared" si="61"/>
        <v>-2.9783321059986867</v>
      </c>
      <c r="E153">
        <f t="shared" si="61"/>
        <v>-3.0215125130267828</v>
      </c>
      <c r="F153" s="4">
        <f t="shared" si="63"/>
        <v>0.83602172152998777</v>
      </c>
      <c r="G153" s="4">
        <f t="shared" si="64"/>
        <v>0.83602172152998777</v>
      </c>
      <c r="H153" s="4" t="str">
        <f t="shared" si="65"/>
        <v>V</v>
      </c>
      <c r="I153" s="4">
        <f t="shared" si="66"/>
        <v>0</v>
      </c>
      <c r="J153" s="4">
        <f t="shared" si="67"/>
        <v>-2.9783321059986867</v>
      </c>
      <c r="K153" s="4">
        <f t="shared" si="68"/>
        <v>-3.0215125130267828</v>
      </c>
      <c r="L153" s="4">
        <f t="shared" si="69"/>
        <v>-2.9783321059986867</v>
      </c>
      <c r="M153" s="4">
        <f t="shared" si="70"/>
        <v>-3.0215125130267828</v>
      </c>
      <c r="N153" s="4">
        <f t="shared" si="71"/>
        <v>0.83602172152998777</v>
      </c>
      <c r="O153" s="4">
        <f t="shared" si="71"/>
        <v>0.83602172152998777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-80.737748267604815</v>
      </c>
      <c r="Q154" s="4">
        <f t="shared" ref="Q154:R154" si="75">SUM(Q146:Q153)</f>
        <v>-50.280413608278522</v>
      </c>
      <c r="R154" s="4">
        <f t="shared" si="75"/>
        <v>-5.8980598183211441E-16</v>
      </c>
    </row>
    <row r="156" spans="1:18" x14ac:dyDescent="0.25">
      <c r="O156" t="s">
        <v>96</v>
      </c>
      <c r="P156" s="1">
        <f>-1*R154/P154</f>
        <v>-7.3052072232334967E-18</v>
      </c>
    </row>
    <row r="157" spans="1:18" x14ac:dyDescent="0.25">
      <c r="O157" t="s">
        <v>97</v>
      </c>
      <c r="P157" s="1">
        <f>Q154/P154</f>
        <v>0.62276214889749426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10.000005426348412</v>
      </c>
      <c r="C159" t="s">
        <v>36</v>
      </c>
    </row>
    <row r="160" spans="1:18" x14ac:dyDescent="0.25">
      <c r="A160" s="1" t="s">
        <v>106</v>
      </c>
      <c r="B160" s="4">
        <f>Q140+I122+Q154-O122</f>
        <v>3253.7937784456112</v>
      </c>
      <c r="C160" t="s">
        <v>102</v>
      </c>
    </row>
    <row r="161" spans="1:9" x14ac:dyDescent="0.25">
      <c r="A161" s="1" t="s">
        <v>107</v>
      </c>
      <c r="B161" s="4">
        <f>R140+J122+R154-P122</f>
        <v>-98.585863231047426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10.000005426348412</v>
      </c>
      <c r="C164" t="s">
        <v>36</v>
      </c>
      <c r="E164" s="8">
        <f>B2-B164</f>
        <v>-5.4263484123850958E-6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3253.0000192206535</v>
      </c>
      <c r="C165" t="s">
        <v>102</v>
      </c>
      <c r="E165" s="8">
        <f>B3+B165</f>
        <v>1.9220653484808281E-5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-122.00000012625806</v>
      </c>
      <c r="C166" t="s">
        <v>102</v>
      </c>
      <c r="E166" s="8">
        <f>B4+B166</f>
        <v>-1.2625805823063274E-7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5.5250000819489937</v>
      </c>
      <c r="B169" s="1">
        <f ca="1">IF(E122=0,0,(MIN(H110:H121)*B65)/(B55*B56*E122))</f>
        <v>-717.4274661030571</v>
      </c>
      <c r="C169" s="3">
        <f ca="1">A169+B169</f>
        <v>-711.90246602110813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-1.0674574455167157E-10</v>
      </c>
      <c r="C175" s="27">
        <f>B65*SQRT(I175)</f>
        <v>1.7602264521381644E-7</v>
      </c>
      <c r="D175" s="27">
        <f>B66*SQRT(I175)</f>
        <v>8.1948994497907082E-8</v>
      </c>
      <c r="E175" s="27">
        <f>B67*SQRT(I175)</f>
        <v>2.7920389854759944E-6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-7.1967967362730791E-3</v>
      </c>
      <c r="C176" s="3">
        <f>B65+C175</f>
        <v>11.867444495379756</v>
      </c>
      <c r="D176" s="3">
        <f>D175+B66</f>
        <v>5.525000163897988</v>
      </c>
      <c r="E176" s="3">
        <f>B67+E175</f>
        <v>188.23923279203154</v>
      </c>
      <c r="F176" s="16" t="s">
        <v>125</v>
      </c>
    </row>
    <row r="177" spans="1:13" x14ac:dyDescent="0.25">
      <c r="B177" s="27">
        <f>B176-B64</f>
        <v>-1.0674574418834126E-10</v>
      </c>
      <c r="C177" s="27">
        <f>C176-B65</f>
        <v>1.7602264534843926E-7</v>
      </c>
      <c r="D177" s="27">
        <f>D176-B66</f>
        <v>8.1948994257174945E-8</v>
      </c>
      <c r="E177" s="27">
        <f>E176-B67</f>
        <v>2.7920389982227789E-6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6.949439090756095</v>
      </c>
      <c r="B181" s="25">
        <f>(d_alpha_p!E136-d_alpha_m!E136)/(2*B177)</f>
        <v>6.949439090756095</v>
      </c>
      <c r="C181" s="25">
        <f>(d_alpha_p!E137-d_alpha_m!E137)/(2*B177)</f>
        <v>6.949439090756095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5.4263484123850958E-6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-1.9220653484808281E-5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1.2625805823063274E-7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711.90246602110813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6.949439090756095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6.949439090756095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6.949439090756095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6.949439090756095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6.949439090756095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6.949439090756095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37" workbookViewId="0">
      <selection activeCell="M64" sqref="M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</v>
      </c>
      <c r="C2" t="s">
        <v>36</v>
      </c>
      <c r="D2" t="s">
        <v>103</v>
      </c>
      <c r="H2" t="s">
        <v>110</v>
      </c>
      <c r="I2">
        <f>B2/D22</f>
        <v>5.1020408163265307E-2</v>
      </c>
      <c r="J2" t="s">
        <v>11</v>
      </c>
    </row>
    <row r="3" spans="1:29" x14ac:dyDescent="0.25">
      <c r="A3" s="10" t="s">
        <v>79</v>
      </c>
      <c r="B3" s="17">
        <f>'Rigid Bearing Plate Analysis'!B3</f>
        <v>-3253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-7.1129737609329435</v>
      </c>
      <c r="J3" t="s">
        <v>11</v>
      </c>
    </row>
    <row r="4" spans="1:29" x14ac:dyDescent="0.25">
      <c r="A4" s="10" t="s">
        <v>80</v>
      </c>
      <c r="B4" s="17">
        <f>'Rigid Bearing Plate Analysis'!B4</f>
        <v>122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0.26676384839650141</v>
      </c>
      <c r="J4" t="s">
        <v>11</v>
      </c>
    </row>
    <row r="5" spans="1:29" x14ac:dyDescent="0.25">
      <c r="A5" s="10" t="s">
        <v>104</v>
      </c>
      <c r="B5" s="20">
        <f>ATAN2(B3,B4)</f>
        <v>3.1041063796879369</v>
      </c>
      <c r="C5" t="s">
        <v>19</v>
      </c>
      <c r="I5">
        <f>SUM(I2:I4)</f>
        <v>-6.7951895043731767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7.1129737609329435</v>
      </c>
      <c r="AB14">
        <f>$B$4/Z14</f>
        <v>0.26676384839650141</v>
      </c>
      <c r="AC14">
        <f>$I$2+AA14+AB14</f>
        <v>7.4307580174927104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-7.1129737609329435</v>
      </c>
      <c r="AB15">
        <f t="shared" ref="AB15:AB21" si="11">$B$4/Z15</f>
        <v>0.26676384839650141</v>
      </c>
      <c r="AC15">
        <f t="shared" ref="AC15:AC20" si="12">$I$2+AA15+AB15</f>
        <v>-6.7951895043731767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-7.1129737609329435</v>
      </c>
      <c r="AB16">
        <f t="shared" si="11"/>
        <v>-0.26676384839650141</v>
      </c>
      <c r="AC16">
        <f t="shared" si="12"/>
        <v>-7.3287172011661799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7.1129737609329435</v>
      </c>
      <c r="AB17">
        <f t="shared" si="11"/>
        <v>-0.26676384839650141</v>
      </c>
      <c r="AC17">
        <f t="shared" si="12"/>
        <v>6.8972303206997072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7.1129737609329435</v>
      </c>
      <c r="AB18">
        <f t="shared" si="11"/>
        <v>-0.26676384839650141</v>
      </c>
      <c r="AC18">
        <f t="shared" si="12"/>
        <v>6.8972303206997072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7.1129737609329435</v>
      </c>
      <c r="AB19">
        <f t="shared" si="11"/>
        <v>-0.26676384839650141</v>
      </c>
      <c r="AC19">
        <f t="shared" si="12"/>
        <v>6.8972303206997072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7.1129737609329435</v>
      </c>
      <c r="AB20">
        <f t="shared" si="11"/>
        <v>-0.26676384839650141</v>
      </c>
      <c r="AC20">
        <f t="shared" si="12"/>
        <v>6.8972303206997072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-0.26676384839650141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10</v>
      </c>
      <c r="D26" s="5">
        <f>((B25*C26)-(B26*C25))*0.5</f>
        <v>12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10</v>
      </c>
      <c r="D27" s="5">
        <f t="shared" ref="D27:D33" si="13">((B26*C27)-(B27*C26))*0.5</f>
        <v>-30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4</v>
      </c>
      <c r="D28" s="5">
        <f t="shared" si="13"/>
        <v>-30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4</v>
      </c>
      <c r="D29" s="5">
        <f t="shared" si="13"/>
        <v>12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4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4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4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4</v>
      </c>
      <c r="C33" s="17">
        <f>'Rigid Bearing Plate Analysis'!C33</f>
        <v>4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-36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12.5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12.5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12.5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-6.3948846218409017E-14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-4.8316906031686813E-13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4.8738259691965924E-13</v>
      </c>
      <c r="M57" s="17" t="str">
        <f ca="1">'Rigid Bearing Plate Analysis'!M57</f>
        <v>SOLUTION IF STRAIN IGNORED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-7.1967966295273349E-3</v>
      </c>
      <c r="C64" t="s">
        <v>19</v>
      </c>
      <c r="D64" t="s">
        <v>34</v>
      </c>
      <c r="H64" s="17">
        <f>DEGREES(B64)</f>
        <v>-0.4123460728858922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11.86744431935711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5.524999918051007</v>
      </c>
      <c r="C66" t="s">
        <v>11</v>
      </c>
      <c r="D66">
        <f>B66/B53</f>
        <v>1.3560675714510476E-3</v>
      </c>
      <c r="I66" s="20"/>
    </row>
    <row r="67" spans="1:18" x14ac:dyDescent="0.25">
      <c r="A67" s="1" t="s">
        <v>37</v>
      </c>
      <c r="B67" s="17">
        <f>'Rigid Bearing Plate Analysis'!B67</f>
        <v>188.23922999999255</v>
      </c>
      <c r="C67" t="s">
        <v>36</v>
      </c>
      <c r="D67" t="s">
        <v>122</v>
      </c>
      <c r="G67" s="20">
        <f ca="1">($B$56*$B$66*$B$55*$E$122)/$B$65</f>
        <v>1.4496541873050426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-3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3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3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-3</v>
      </c>
      <c r="Q76" cm="1">
        <f t="array" ref="Q76">(-1*MAX(ABS(B84:C91)))-1</f>
        <v>-8.0501958637291597</v>
      </c>
      <c r="R76">
        <f>Q76</f>
        <v>-8.0501958637291597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-3</v>
      </c>
      <c r="Q77">
        <f>-1*Q76</f>
        <v>8.0501958637291597</v>
      </c>
      <c r="R77">
        <f>Q77</f>
        <v>8.0501958637291597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-3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-3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-3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-3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-6.9494415806636027</v>
      </c>
      <c r="C84" s="1">
        <f t="shared" ref="C84:C92" si="23">(-1*B73*SIN($B$64))+(C73*COS($B$64))</f>
        <v>-7.0501958637291597</v>
      </c>
      <c r="H84" s="1">
        <f t="shared" ref="H84:H92" si="24">H73</f>
        <v>1</v>
      </c>
      <c r="I84" s="4">
        <f>(I73*COS($B$64))+(J73*SIN($B$64))</f>
        <v>-2.9783321059986867</v>
      </c>
      <c r="J84" s="1">
        <f>(-1*I73*SIN($B$64))+(J73*COS($B$64))</f>
        <v>-3.0215125130267828</v>
      </c>
    </row>
    <row r="85" spans="1:10" x14ac:dyDescent="0.25">
      <c r="A85" s="1">
        <f t="shared" si="21"/>
        <v>2</v>
      </c>
      <c r="B85" s="4">
        <f t="shared" si="22"/>
        <v>7.0501958637291597</v>
      </c>
      <c r="C85" s="1">
        <f t="shared" si="23"/>
        <v>-6.9494415806636027</v>
      </c>
      <c r="H85" s="1">
        <f t="shared" si="24"/>
        <v>2</v>
      </c>
      <c r="I85" s="4">
        <f t="shared" ref="I85:I92" si="25">(I74*COS($B$64))+(J74*SIN($B$64))</f>
        <v>-3.0215125130267828</v>
      </c>
      <c r="J85" s="1">
        <f t="shared" ref="J85:J92" si="26">(-1*I74*SIN($B$64))+(J74*COS($B$64))</f>
        <v>2.9783321059986867</v>
      </c>
    </row>
    <row r="86" spans="1:10" x14ac:dyDescent="0.25">
      <c r="A86" s="1">
        <f t="shared" si="21"/>
        <v>3</v>
      </c>
      <c r="B86" s="4">
        <f t="shared" si="22"/>
        <v>6.9494415806636027</v>
      </c>
      <c r="C86" s="1">
        <f t="shared" si="23"/>
        <v>7.0501958637291597</v>
      </c>
      <c r="H86" s="1">
        <f t="shared" si="24"/>
        <v>3</v>
      </c>
      <c r="I86" s="4">
        <f t="shared" si="25"/>
        <v>2.9783321059986867</v>
      </c>
      <c r="J86" s="1">
        <f t="shared" si="26"/>
        <v>3.0215125130267828</v>
      </c>
    </row>
    <row r="87" spans="1:10" x14ac:dyDescent="0.25">
      <c r="A87" s="1">
        <f t="shared" si="21"/>
        <v>4</v>
      </c>
      <c r="B87" s="4">
        <f t="shared" si="22"/>
        <v>-7.0501958637291597</v>
      </c>
      <c r="C87" s="1">
        <f t="shared" si="23"/>
        <v>6.9494415806636027</v>
      </c>
      <c r="H87" s="1">
        <f t="shared" si="24"/>
        <v>4</v>
      </c>
      <c r="I87" s="4">
        <f t="shared" si="25"/>
        <v>3.0215125130267828</v>
      </c>
      <c r="J87" s="1">
        <f t="shared" si="26"/>
        <v>-2.9783321059986867</v>
      </c>
    </row>
    <row r="88" spans="1:10" x14ac:dyDescent="0.25">
      <c r="A88" s="1">
        <f t="shared" si="21"/>
        <v>5</v>
      </c>
      <c r="B88" s="4">
        <f t="shared" si="22"/>
        <v>-6.9494415806636027</v>
      </c>
      <c r="C88" s="1">
        <f t="shared" si="23"/>
        <v>-7.0501958637291597</v>
      </c>
      <c r="H88" s="1">
        <f t="shared" si="24"/>
        <v>5</v>
      </c>
      <c r="I88" s="4">
        <f t="shared" si="25"/>
        <v>-2.9783321059986867</v>
      </c>
      <c r="J88" s="1">
        <f t="shared" si="26"/>
        <v>-3.0215125130267828</v>
      </c>
    </row>
    <row r="89" spans="1:10" x14ac:dyDescent="0.25">
      <c r="A89" s="1">
        <f t="shared" si="21"/>
        <v>6</v>
      </c>
      <c r="B89" s="4">
        <f t="shared" si="22"/>
        <v>-6.9494415806636027</v>
      </c>
      <c r="C89" s="1">
        <f t="shared" si="23"/>
        <v>-7.0501958637291597</v>
      </c>
      <c r="H89" s="1">
        <f t="shared" si="24"/>
        <v>6</v>
      </c>
      <c r="I89" s="4">
        <f t="shared" si="25"/>
        <v>-2.9783321059986867</v>
      </c>
      <c r="J89" s="1">
        <f t="shared" si="26"/>
        <v>-3.0215125130267828</v>
      </c>
    </row>
    <row r="90" spans="1:10" x14ac:dyDescent="0.25">
      <c r="A90" s="1">
        <f t="shared" si="21"/>
        <v>7</v>
      </c>
      <c r="B90" s="4">
        <f t="shared" si="22"/>
        <v>-6.9494415806636027</v>
      </c>
      <c r="C90" s="1">
        <f t="shared" si="23"/>
        <v>-7.0501958637291597</v>
      </c>
      <c r="H90" s="1">
        <f t="shared" si="24"/>
        <v>7</v>
      </c>
      <c r="I90" s="4">
        <f t="shared" si="25"/>
        <v>-2.9783321059986867</v>
      </c>
      <c r="J90" s="1">
        <f t="shared" si="26"/>
        <v>-3.0215125130267828</v>
      </c>
    </row>
    <row r="91" spans="1:10" x14ac:dyDescent="0.25">
      <c r="A91" s="1">
        <f t="shared" si="21"/>
        <v>8</v>
      </c>
      <c r="B91" s="4">
        <f t="shared" si="22"/>
        <v>-6.9494415806636027</v>
      </c>
      <c r="C91" s="1">
        <f t="shared" si="23"/>
        <v>-7.0501958637291597</v>
      </c>
      <c r="H91" s="1">
        <f t="shared" si="24"/>
        <v>8</v>
      </c>
      <c r="I91" s="4">
        <f t="shared" si="25"/>
        <v>-2.9783321059986867</v>
      </c>
      <c r="J91" s="1">
        <f t="shared" si="26"/>
        <v>-3.0215125130267828</v>
      </c>
    </row>
    <row r="92" spans="1:10" x14ac:dyDescent="0.25">
      <c r="A92" s="1">
        <f t="shared" si="21"/>
        <v>9</v>
      </c>
      <c r="B92" s="4">
        <f t="shared" si="22"/>
        <v>-6.9494415806636027</v>
      </c>
      <c r="C92" s="1">
        <f t="shared" si="23"/>
        <v>-7.0501958637291597</v>
      </c>
      <c r="H92" s="1">
        <f t="shared" si="24"/>
        <v>9</v>
      </c>
      <c r="I92" s="4">
        <f t="shared" si="25"/>
        <v>-2.9783321059986867</v>
      </c>
      <c r="J92" s="1">
        <f t="shared" si="26"/>
        <v>-3.0215125130267828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5.5</v>
      </c>
      <c r="C96" s="4">
        <f t="shared" si="29"/>
        <v>-5.5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-5.4602755276642592</v>
      </c>
      <c r="C110" s="1">
        <f>(-1*B95*SIN($B$64))+(C95*COS($B$64))</f>
        <v>-5.5394396072157681</v>
      </c>
      <c r="D110" t="str">
        <f t="shared" ref="D110" si="31">D95</f>
        <v>y</v>
      </c>
      <c r="E110" s="4">
        <f t="shared" ref="E110:E121" si="32">IF($D110="y",$B$125-C110,0)</f>
        <v>0.72219115158781744</v>
      </c>
      <c r="F110" s="1">
        <f>IF($D110="y",B110,NA())</f>
        <v>-5.4602755276642592</v>
      </c>
      <c r="G110" s="1">
        <f>IF($D110="y",C110,NA())</f>
        <v>-5.5394396072157681</v>
      </c>
      <c r="H110">
        <f t="shared" ref="H110:H121" si="33">IF($E$122=0,0,-1*MAX(($B$67/$E$122)*(E110),0))</f>
        <v>-188.23922999999255</v>
      </c>
      <c r="I110">
        <f>H110*C110</f>
        <v>1042.7398462937574</v>
      </c>
      <c r="J110">
        <f>H110*B110*-1</f>
        <v>-1027.8380609153232</v>
      </c>
      <c r="K110">
        <f ca="1">H110/$B$55</f>
        <v>-310.75635021860035</v>
      </c>
      <c r="L110">
        <f ca="1">K110/$B$54</f>
        <v>-1.0715736214434494E-2</v>
      </c>
      <c r="M110">
        <f t="shared" ref="M110:M121" si="34">IFERROR(($D$66/$B$65)*(G110-$B$125),0)</f>
        <v>-8.2523243817518105E-5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5.5394396072157681</v>
      </c>
      <c r="C111" s="1">
        <f t="shared" ref="C111:C121" si="37">(-1*B96*SIN($B$64))+(C96*COS($B$64))</f>
        <v>-5.4602755276642592</v>
      </c>
      <c r="D111" t="str">
        <f t="shared" si="35"/>
        <v>y</v>
      </c>
      <c r="E111" s="4">
        <f t="shared" si="32"/>
        <v>0.64302707203630849</v>
      </c>
      <c r="F111" s="1">
        <f t="shared" ref="F111:G121" si="38">IF($D111="y",B111,NA())</f>
        <v>5.5394396072157681</v>
      </c>
      <c r="G111" s="1">
        <f t="shared" si="38"/>
        <v>-5.4602755276642592</v>
      </c>
      <c r="H111">
        <f t="shared" si="33"/>
        <v>-167.60510100842157</v>
      </c>
      <c r="I111">
        <f t="shared" ref="I111:I121" si="39">H111*C111</f>
        <v>915.17003134798051</v>
      </c>
      <c r="J111">
        <f t="shared" ref="J111:J121" si="40">H111*B111*-1</f>
        <v>928.43833489744998</v>
      </c>
      <c r="K111">
        <f ca="1">H111/$B$55</f>
        <v>-276.69232108205608</v>
      </c>
      <c r="L111">
        <f t="shared" ref="L111:L121" ca="1" si="41">K111/$B$54</f>
        <v>-9.5411145200708994E-3</v>
      </c>
      <c r="M111">
        <f t="shared" si="34"/>
        <v>-7.3477333155146619E-5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-5.5394396072157681</v>
      </c>
      <c r="C112" s="1">
        <f t="shared" si="37"/>
        <v>5.4602755276642592</v>
      </c>
      <c r="D112" t="str">
        <f t="shared" si="35"/>
        <v>y</v>
      </c>
      <c r="E112" s="4">
        <f t="shared" si="32"/>
        <v>-10.277523983292209</v>
      </c>
      <c r="F112" s="1">
        <f t="shared" si="38"/>
        <v>-5.5394396072157681</v>
      </c>
      <c r="G112" s="1">
        <f t="shared" si="38"/>
        <v>5.4602755276642592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1.174390762956448E-3</v>
      </c>
      <c r="N112">
        <f t="shared" si="42"/>
        <v>4.242397233446864</v>
      </c>
      <c r="O112">
        <f t="shared" si="43"/>
        <v>23.164657792420467</v>
      </c>
      <c r="P112">
        <f t="shared" si="44"/>
        <v>23.500503264498157</v>
      </c>
    </row>
    <row r="113" spans="1:16" x14ac:dyDescent="0.25">
      <c r="A113">
        <f t="shared" si="35"/>
        <v>4</v>
      </c>
      <c r="B113" s="1">
        <f t="shared" si="36"/>
        <v>5.4602755276642592</v>
      </c>
      <c r="C113" s="1">
        <f t="shared" si="37"/>
        <v>5.5394396072157681</v>
      </c>
      <c r="D113" t="str">
        <f t="shared" si="35"/>
        <v>y</v>
      </c>
      <c r="E113" s="4">
        <f t="shared" si="32"/>
        <v>-10.35668806284372</v>
      </c>
      <c r="F113" s="1">
        <f t="shared" si="38"/>
        <v>5.4602755276642592</v>
      </c>
      <c r="G113" s="1">
        <f t="shared" si="38"/>
        <v>5.5394396072157681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1.1834366736188197E-3</v>
      </c>
      <c r="N113">
        <f t="shared" si="42"/>
        <v>4.2750748971160188</v>
      </c>
      <c r="O113">
        <f t="shared" si="43"/>
        <v>23.681519208898351</v>
      </c>
      <c r="P113">
        <f t="shared" si="44"/>
        <v>-23.343086839654397</v>
      </c>
    </row>
    <row r="114" spans="1:16" x14ac:dyDescent="0.25">
      <c r="A114">
        <f t="shared" si="35"/>
        <v>5</v>
      </c>
      <c r="B114" s="1">
        <f t="shared" si="36"/>
        <v>-6.9494415806636027</v>
      </c>
      <c r="C114" s="1">
        <f t="shared" si="37"/>
        <v>-7.0501958637291597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-6.9494415806636027</v>
      </c>
      <c r="C115" s="1">
        <f t="shared" si="37"/>
        <v>-7.0501958637291597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-6.9494415806636027</v>
      </c>
      <c r="C116" s="1">
        <f t="shared" si="37"/>
        <v>-7.0501958637291597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-6.9494415806636027</v>
      </c>
      <c r="C117" s="1">
        <f t="shared" si="37"/>
        <v>-7.0501958637291597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-6.9494415806636027</v>
      </c>
      <c r="C118" s="1">
        <f t="shared" si="37"/>
        <v>-7.0501958637291597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-6.9494415806636027</v>
      </c>
      <c r="C119" s="1">
        <f t="shared" si="37"/>
        <v>-7.0501958637291597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-6.9494415806636027</v>
      </c>
      <c r="C120" s="1">
        <f t="shared" si="37"/>
        <v>-7.0501958637291597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-6.9494415806636027</v>
      </c>
      <c r="C121" s="1">
        <f t="shared" si="37"/>
        <v>-7.0501958637291597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0.72219115158781744</v>
      </c>
      <c r="H122">
        <f>SUM(H110:H121)</f>
        <v>-355.84433100841409</v>
      </c>
      <c r="I122">
        <f t="shared" ref="I122:J122" si="46">SUM(I110:I121)</f>
        <v>1957.9098776417379</v>
      </c>
      <c r="J122">
        <f t="shared" si="46"/>
        <v>-99.399726017873263</v>
      </c>
      <c r="L122">
        <f ca="1">MIN(L110:L121)</f>
        <v>-1.0715736214434494E-2</v>
      </c>
      <c r="M122">
        <f>MIN(M110:M121)</f>
        <v>-8.2523243817518105E-5</v>
      </c>
      <c r="N122">
        <f>SUM(N110:N121)</f>
        <v>8.5174721305628829</v>
      </c>
      <c r="O122">
        <f>SUM(O110:O121)</f>
        <v>46.846177001318821</v>
      </c>
      <c r="P122">
        <f>SUM(P110:P121)</f>
        <v>0.15741642484375973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-4.8172484556279507</v>
      </c>
      <c r="F125" s="1" t="s">
        <v>27</v>
      </c>
      <c r="G125" s="1" t="s">
        <v>28</v>
      </c>
    </row>
    <row r="126" spans="1:16" x14ac:dyDescent="0.25">
      <c r="F126" s="4">
        <f>MIN(B84:B90)-1</f>
        <v>-8.0501958637291597</v>
      </c>
      <c r="G126" s="4">
        <f>B125</f>
        <v>-4.8172484556279507</v>
      </c>
    </row>
    <row r="127" spans="1:16" x14ac:dyDescent="0.25">
      <c r="F127" s="4">
        <f>MAX(B84:B90)+1</f>
        <v>8.0501958637291597</v>
      </c>
      <c r="G127" s="4">
        <f>G126</f>
        <v>-4.8172484556279507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-6.9494415806636027</v>
      </c>
      <c r="C132" s="4">
        <f>C84</f>
        <v>-7.0501958637291597</v>
      </c>
      <c r="D132" s="4">
        <f t="shared" ref="D132:E139" si="47">B85</f>
        <v>7.0501958637291597</v>
      </c>
      <c r="E132" s="4">
        <f t="shared" si="47"/>
        <v>-6.9494415806636027</v>
      </c>
      <c r="F132" s="4">
        <f t="shared" ref="F132:F139" si="48">($B$66/$B$65)*(C132-$B$125)</f>
        <v>-1.0395695917989964</v>
      </c>
      <c r="G132" s="4">
        <f t="shared" ref="G132:G139" si="49">($B$66/$B$65)*(E132-$B$125)</f>
        <v>-0.99266249110398785</v>
      </c>
      <c r="H132" s="4">
        <f>IF(B132=D132,"V",(C132-E132)/(B132-D132))</f>
        <v>7.1969208821126901E-3</v>
      </c>
      <c r="I132" s="4">
        <f>IF(H132="V",0,(-1*B132*H132)+C132)</f>
        <v>-7.0001812824982599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7.0501958637291597</v>
      </c>
      <c r="C133" s="4">
        <f t="shared" si="50"/>
        <v>-6.9494415806636027</v>
      </c>
      <c r="D133" s="4">
        <f t="shared" si="47"/>
        <v>6.9494415806636027</v>
      </c>
      <c r="E133" s="4">
        <f t="shared" si="47"/>
        <v>7.0501958637291597</v>
      </c>
      <c r="F133" s="4">
        <f t="shared" si="48"/>
        <v>-0.99266249110398785</v>
      </c>
      <c r="G133" s="4">
        <f t="shared" si="49"/>
        <v>5.524999918051007</v>
      </c>
      <c r="H133" s="4">
        <f t="shared" ref="H133:H139" si="51">IF(B133=D133,"V",(C133-E133)/(B133-D133))</f>
        <v>-138.94831086519397</v>
      </c>
      <c r="I133" s="4">
        <f t="shared" ref="I133:I139" si="52">IF(H133="V",0,(-1*B133*H133)+C133)</f>
        <v>972.66336495328039</v>
      </c>
      <c r="J133" s="4">
        <f t="shared" ref="J133:J139" si="53">IF($F133&gt;=0,B133,IF(AND($F133&lt;0,$G133&gt;=0),IF(H133="V",B133,($B$125-I133)/H133),0))</f>
        <v>7.0348506385028928</v>
      </c>
      <c r="K133" s="4">
        <f t="shared" ref="K133:K139" si="54">IF($F133&gt;=0,C133,IF(AND($F133&lt;0,$G133&gt;=0),$B$125,0))</f>
        <v>-4.8172484556279507</v>
      </c>
      <c r="L133" s="4">
        <f t="shared" ref="L133:L139" si="55">IF($G133&gt;=0,D133,IF(AND($G133&lt;0,$F133&gt;=0),IF(H133="V",D133,($B$125-I133)/H133),0))</f>
        <v>6.9494415806636027</v>
      </c>
      <c r="M133" s="4">
        <f t="shared" ref="M133:M139" si="56">IF($G133&gt;=0,E133,IF(AND($G133&lt;0,$F133&gt;=0),$B$125,0))</f>
        <v>7.0501958637291597</v>
      </c>
      <c r="N133" s="4">
        <f t="shared" ref="N133:O139" si="57">IF(F133&lt;0,IF($I$54="Linear",0,$B$66),IF($I$54="Linear",F133,$B$66))</f>
        <v>0</v>
      </c>
      <c r="O133" s="4">
        <f t="shared" si="57"/>
        <v>5.524999918051007</v>
      </c>
      <c r="P133" s="4">
        <f t="shared" ref="P133:P139" si="58">(1/6)*(M133-K133)*((N133*((2*J133)+L133))+(O133*(J133+(2*L133))))</f>
        <v>228.7625481849272</v>
      </c>
      <c r="Q133" s="4">
        <f t="shared" ref="Q133:Q139" si="59">((1/12)*(M133-K133)*(N133*J133*((3*K133)+M133)+N133*L133*(K133+M133)+O133*J133*(K133+M133)+O133*L133*(K133+(3*M133))))</f>
        <v>706.0324335685342</v>
      </c>
      <c r="R133" s="4">
        <f t="shared" ref="R133:R139" si="60">((-1/24)*(M133-K133)*(J133*J133*((3*N133)+O133)+2*J133*L133*(N133+O133)+L133*L133*(N133+(3*O133))))</f>
        <v>-798.14902418806764</v>
      </c>
    </row>
    <row r="134" spans="1:18" x14ac:dyDescent="0.25">
      <c r="A134" t="s">
        <v>71</v>
      </c>
      <c r="B134" s="4">
        <f t="shared" si="50"/>
        <v>6.9494415806636027</v>
      </c>
      <c r="C134" s="4">
        <f t="shared" si="50"/>
        <v>7.0501958637291597</v>
      </c>
      <c r="D134" s="4">
        <f t="shared" si="47"/>
        <v>-7.0501958637291597</v>
      </c>
      <c r="E134" s="4">
        <f t="shared" si="47"/>
        <v>6.9494415806636027</v>
      </c>
      <c r="F134" s="4">
        <f t="shared" si="48"/>
        <v>5.524999918051007</v>
      </c>
      <c r="G134" s="4">
        <f t="shared" si="49"/>
        <v>5.4780928173559991</v>
      </c>
      <c r="H134" s="4">
        <f t="shared" si="51"/>
        <v>7.1969208821126901E-3</v>
      </c>
      <c r="I134" s="4">
        <f t="shared" si="52"/>
        <v>7.0001812824982599</v>
      </c>
      <c r="J134" s="4">
        <f t="shared" si="53"/>
        <v>6.9494415806636027</v>
      </c>
      <c r="K134" s="4">
        <f t="shared" si="54"/>
        <v>7.0501958637291597</v>
      </c>
      <c r="L134" s="4">
        <f t="shared" si="55"/>
        <v>-7.0501958637291597</v>
      </c>
      <c r="M134" s="4">
        <f t="shared" si="56"/>
        <v>6.9494415806636027</v>
      </c>
      <c r="N134" s="4">
        <f t="shared" si="57"/>
        <v>5.524999918051007</v>
      </c>
      <c r="O134" s="4">
        <f t="shared" si="57"/>
        <v>5.4780928173559991</v>
      </c>
      <c r="P134" s="4">
        <f t="shared" si="58"/>
        <v>2.2410638801959256E-2</v>
      </c>
      <c r="Q134" s="4">
        <f t="shared" si="59"/>
        <v>9.1717467308485193E-2</v>
      </c>
      <c r="R134" s="4">
        <f t="shared" si="60"/>
        <v>4.5270100942591247</v>
      </c>
    </row>
    <row r="135" spans="1:18" x14ac:dyDescent="0.25">
      <c r="A135" t="s">
        <v>72</v>
      </c>
      <c r="B135" s="4">
        <f t="shared" si="50"/>
        <v>-7.0501958637291597</v>
      </c>
      <c r="C135" s="4">
        <f t="shared" si="50"/>
        <v>6.9494415806636027</v>
      </c>
      <c r="D135" s="4">
        <f t="shared" si="47"/>
        <v>-6.9494415806636027</v>
      </c>
      <c r="E135" s="4">
        <f t="shared" si="47"/>
        <v>-7.0501958637291597</v>
      </c>
      <c r="F135" s="4">
        <f t="shared" si="48"/>
        <v>5.4780928173559991</v>
      </c>
      <c r="G135" s="4">
        <f t="shared" si="49"/>
        <v>-1.0395695917989964</v>
      </c>
      <c r="H135" s="4">
        <f t="shared" si="51"/>
        <v>-138.94831086519397</v>
      </c>
      <c r="I135" s="4">
        <f t="shared" si="52"/>
        <v>-972.66336495328039</v>
      </c>
      <c r="J135" s="4">
        <f t="shared" si="53"/>
        <v>-7.0501958637291597</v>
      </c>
      <c r="K135" s="4">
        <f t="shared" si="54"/>
        <v>6.9494415806636027</v>
      </c>
      <c r="L135" s="4">
        <f t="shared" si="55"/>
        <v>-6.965511926493626</v>
      </c>
      <c r="M135" s="4">
        <f t="shared" si="56"/>
        <v>-4.8172484556279507</v>
      </c>
      <c r="N135" s="4">
        <f t="shared" si="57"/>
        <v>5.4780928173559991</v>
      </c>
      <c r="O135" s="4">
        <f t="shared" si="57"/>
        <v>0</v>
      </c>
      <c r="P135" s="4">
        <f t="shared" si="58"/>
        <v>226.3145847614357</v>
      </c>
      <c r="Q135" s="4">
        <f t="shared" si="59"/>
        <v>686.88630044394142</v>
      </c>
      <c r="R135" s="4">
        <f t="shared" si="60"/>
        <v>794.59329328133515</v>
      </c>
    </row>
    <row r="136" spans="1:18" x14ac:dyDescent="0.25">
      <c r="A136" t="s">
        <v>73</v>
      </c>
      <c r="B136" s="4">
        <f t="shared" si="50"/>
        <v>-6.9494415806636027</v>
      </c>
      <c r="C136" s="4">
        <f t="shared" si="50"/>
        <v>-7.0501958637291597</v>
      </c>
      <c r="D136" s="4">
        <f t="shared" si="47"/>
        <v>-6.9494415806636027</v>
      </c>
      <c r="E136" s="4">
        <f t="shared" si="47"/>
        <v>-7.0501958637291597</v>
      </c>
      <c r="F136" s="4">
        <f t="shared" si="48"/>
        <v>-1.0395695917989964</v>
      </c>
      <c r="G136" s="4">
        <f t="shared" si="49"/>
        <v>-1.0395695917989964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-6.9494415806636027</v>
      </c>
      <c r="C137" s="4">
        <f t="shared" si="50"/>
        <v>-7.0501958637291597</v>
      </c>
      <c r="D137" s="4">
        <f t="shared" si="47"/>
        <v>-6.9494415806636027</v>
      </c>
      <c r="E137" s="4">
        <f t="shared" si="47"/>
        <v>-7.0501958637291597</v>
      </c>
      <c r="F137" s="4">
        <f t="shared" si="48"/>
        <v>-1.0395695917989964</v>
      </c>
      <c r="G137" s="4">
        <f t="shared" si="49"/>
        <v>-1.0395695917989964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-6.9494415806636027</v>
      </c>
      <c r="C138" s="4">
        <f t="shared" si="50"/>
        <v>-7.0501958637291597</v>
      </c>
      <c r="D138" s="4">
        <f t="shared" si="47"/>
        <v>-6.9494415806636027</v>
      </c>
      <c r="E138" s="4">
        <f t="shared" si="47"/>
        <v>-7.0501958637291597</v>
      </c>
      <c r="F138" s="4">
        <f t="shared" si="48"/>
        <v>-1.0395695917989964</v>
      </c>
      <c r="G138" s="4">
        <f t="shared" si="49"/>
        <v>-1.0395695917989964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-6.9494415806636027</v>
      </c>
      <c r="C139" s="4">
        <f>E138</f>
        <v>-7.0501958637291597</v>
      </c>
      <c r="D139" s="4">
        <f t="shared" si="47"/>
        <v>-6.9494415806636027</v>
      </c>
      <c r="E139" s="4">
        <f t="shared" si="47"/>
        <v>-7.0501958637291597</v>
      </c>
      <c r="F139" s="4">
        <f t="shared" si="48"/>
        <v>-1.0395695917989964</v>
      </c>
      <c r="G139" s="4">
        <f t="shared" si="49"/>
        <v>-1.0395695917989964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455.09954358516484</v>
      </c>
      <c r="Q140" s="4">
        <f>SUM(Q132:Q139)</f>
        <v>1393.010451479784</v>
      </c>
      <c r="R140" s="4">
        <f>SUM(R132:R139)</f>
        <v>0.97127918752664755</v>
      </c>
    </row>
    <row r="142" spans="1:18" x14ac:dyDescent="0.25">
      <c r="O142" t="s">
        <v>96</v>
      </c>
      <c r="P142" s="1">
        <f>-1*R140/P140</f>
        <v>-2.1342126161567722E-3</v>
      </c>
    </row>
    <row r="143" spans="1:18" x14ac:dyDescent="0.25">
      <c r="O143" t="s">
        <v>97</v>
      </c>
      <c r="P143" s="1">
        <f>Q140/P140</f>
        <v>3.0608917787655474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-2.9783321059986867</v>
      </c>
      <c r="C146" s="9">
        <f>J84</f>
        <v>-3.0215125130267828</v>
      </c>
      <c r="D146" s="9">
        <f t="shared" ref="D146:E153" si="61">I85</f>
        <v>-3.0215125130267828</v>
      </c>
      <c r="E146">
        <f t="shared" si="61"/>
        <v>2.9783321059986867</v>
      </c>
      <c r="F146" s="4">
        <f>($B$66/$B$65)*(C146-$B$125)</f>
        <v>0.83602169672957605</v>
      </c>
      <c r="G146" s="4">
        <f>($B$66/$B$65)*(E146-$B$125)</f>
        <v>3.6293055863674315</v>
      </c>
      <c r="H146" s="4">
        <f>IF(B146=D146,"V",(C146-E146)/(B146-D146))</f>
        <v>-138.94831086519315</v>
      </c>
      <c r="I146" s="4">
        <f>IF(H146="V",0,(-1*B146*H146)+C146)</f>
        <v>-416.85572783711768</v>
      </c>
      <c r="J146" s="4">
        <f>IF($F146&gt;=0,B146,IF(AND($F146&lt;0,$G146&gt;=0),IF(H146="V",B146,($B$125-I146)/H146),0))</f>
        <v>-2.9783321059986867</v>
      </c>
      <c r="K146" s="4">
        <f>IF($F146&gt;=0,C146,IF(AND($F146&lt;0,$G146&gt;=0),$B$125,0))</f>
        <v>-3.0215125130267828</v>
      </c>
      <c r="L146" s="4">
        <f>IF($G146&gt;=0,D146,IF(AND($G146&lt;0,$F146&gt;=0),IF(H146="V",D146,($B$125-I146)/H146),0))</f>
        <v>-3.0215125130267828</v>
      </c>
      <c r="M146" s="4">
        <f>IF($G146&gt;=0,E146,IF(AND($G146&lt;0,$F146&gt;=0),$B$125,0))</f>
        <v>2.9783321059986867</v>
      </c>
      <c r="N146" s="4">
        <f>IF(F146&lt;0,IF($I$54="Linear",0,$B$66),IF($I$54="Linear",F146,$B$66))</f>
        <v>0.83602169672957605</v>
      </c>
      <c r="O146" s="4">
        <f>IF(G146&lt;0,IF($I$54="Linear",0,$B$66),IF($I$54="Linear",G146,$B$66))</f>
        <v>3.6293055863674315</v>
      </c>
      <c r="P146" s="4">
        <f>(1/6)*(M146-K146)*((N146*((2*J146)+L146))+(O146*(J146+(2*L146))))</f>
        <v>-40.24617009998542</v>
      </c>
      <c r="Q146" s="4">
        <f>((1/12)*(M146-K146)*(N146*J146*((3*K146)+M146)+N146*L146*(K146+M146)+O146*J146*(K146+M146)+O146*L146*(K146+(3*M146))))</f>
        <v>-24.557885944648252</v>
      </c>
      <c r="R146" s="4">
        <f>((-1/24)*(M146-K146)*(J146*J146*((3*N146)+O146)+2*J146*L146*(N146+O146)+L146*L146*(N146+(3*O146))))</f>
        <v>-60.459189143836163</v>
      </c>
    </row>
    <row r="147" spans="1:18" x14ac:dyDescent="0.25">
      <c r="A147" t="s">
        <v>70</v>
      </c>
      <c r="B147" s="9">
        <f t="shared" ref="B147:C153" si="62">D146</f>
        <v>-3.0215125130267828</v>
      </c>
      <c r="C147">
        <f t="shared" si="62"/>
        <v>2.9783321059986867</v>
      </c>
      <c r="D147" s="9">
        <f t="shared" si="61"/>
        <v>2.9783321059986867</v>
      </c>
      <c r="E147">
        <f t="shared" si="61"/>
        <v>3.0215125130267828</v>
      </c>
      <c r="F147" s="4">
        <f t="shared" ref="F147:F153" si="63">($B$66/$B$65)*(C147-$B$125)</f>
        <v>3.6293055863674315</v>
      </c>
      <c r="G147" s="4">
        <f t="shared" ref="G147:G153" si="64">($B$66/$B$65)*(E147-$B$125)</f>
        <v>3.6494086295224348</v>
      </c>
      <c r="H147" s="4">
        <f t="shared" ref="H147:H153" si="65">IF(B147=D147,"V",(C147-E147)/(B147-D147))</f>
        <v>7.1969208821127326E-3</v>
      </c>
      <c r="I147" s="4">
        <f t="shared" ref="I147:I153" si="66">IF(H147="V",0,(-1*B147*H147)+C147)</f>
        <v>3.000077692499254</v>
      </c>
      <c r="J147" s="4">
        <f t="shared" ref="J147:J153" si="67">IF($F147&gt;=0,B147,IF(AND($F147&lt;0,$G147&gt;=0),IF(H147="V",B147,($B$125-I147)/H147),0))</f>
        <v>-3.0215125130267828</v>
      </c>
      <c r="K147" s="4">
        <f t="shared" ref="K147:K153" si="68">IF($F147&gt;=0,C147,IF(AND($F147&lt;0,$G147&gt;=0),$B$125,0))</f>
        <v>2.9783321059986867</v>
      </c>
      <c r="L147" s="4">
        <f t="shared" ref="L147:L153" si="69">IF($G147&gt;=0,D147,IF(AND($G147&lt;0,$F147&gt;=0),IF(H147="V",D147,($B$125-I147)/H147),0))</f>
        <v>2.9783321059986867</v>
      </c>
      <c r="M147" s="4">
        <f t="shared" ref="M147:M153" si="70">IF($G147&gt;=0,E147,IF(AND($G147&lt;0,$F147&gt;=0),$B$125,0))</f>
        <v>3.0215125130267828</v>
      </c>
      <c r="N147" s="4">
        <f t="shared" ref="N147:O153" si="71">IF(F147&lt;0,IF($I$54="Linear",0,$B$66),IF($I$54="Linear",F147,$B$66))</f>
        <v>3.6293055863674315</v>
      </c>
      <c r="O147" s="4">
        <f t="shared" si="71"/>
        <v>3.6494086295224348</v>
      </c>
      <c r="P147" s="4">
        <f t="shared" ref="P147:P153" si="72">(1/6)*(M147-K147)*((N147*((2*J147)+L147))+(O147*(J147+(2*L147))))</f>
        <v>-2.9588596386217448E-3</v>
      </c>
      <c r="Q147" s="4">
        <f t="shared" ref="Q147:Q153" si="73">((1/12)*(M147-K147)*(N147*J147*((3*K147)+M147)+N147*L147*(K147+M147)+O147*J147*(K147+M147)+O147*L147*(K147+(3*M147))))</f>
        <v>-5.4836271527019739E-3</v>
      </c>
      <c r="R147" s="4">
        <f t="shared" ref="R147:R153" si="74">((-1/24)*(M147-K147)*(J147*J147*((3*N147)+O147)+2*J147*L147*(N147+O147)+L147*L147*(N147+(3*O147))))</f>
        <v>-0.23573842897154246</v>
      </c>
    </row>
    <row r="148" spans="1:18" x14ac:dyDescent="0.25">
      <c r="A148" t="s">
        <v>71</v>
      </c>
      <c r="B148" s="9">
        <f t="shared" si="62"/>
        <v>2.9783321059986867</v>
      </c>
      <c r="C148">
        <f t="shared" si="62"/>
        <v>3.0215125130267828</v>
      </c>
      <c r="D148" s="9">
        <f t="shared" si="61"/>
        <v>3.0215125130267828</v>
      </c>
      <c r="E148">
        <f t="shared" si="61"/>
        <v>-2.9783321059986867</v>
      </c>
      <c r="F148" s="4">
        <f t="shared" si="63"/>
        <v>3.6494086295224348</v>
      </c>
      <c r="G148" s="4">
        <f t="shared" si="64"/>
        <v>0.85612473988457982</v>
      </c>
      <c r="H148" s="4">
        <f t="shared" si="65"/>
        <v>-138.94831086519315</v>
      </c>
      <c r="I148" s="4">
        <f t="shared" si="66"/>
        <v>416.85572783711768</v>
      </c>
      <c r="J148" s="4">
        <f t="shared" si="67"/>
        <v>2.9783321059986867</v>
      </c>
      <c r="K148" s="4">
        <f t="shared" si="68"/>
        <v>3.0215125130267828</v>
      </c>
      <c r="L148" s="4">
        <f t="shared" si="69"/>
        <v>3.0215125130267828</v>
      </c>
      <c r="M148" s="4">
        <f t="shared" si="70"/>
        <v>-2.9783321059986867</v>
      </c>
      <c r="N148" s="4">
        <f t="shared" si="71"/>
        <v>3.6494086295224348</v>
      </c>
      <c r="O148" s="4">
        <f t="shared" si="71"/>
        <v>0.85612473988457982</v>
      </c>
      <c r="P148" s="4">
        <f t="shared" si="72"/>
        <v>-40.487394123485501</v>
      </c>
      <c r="Q148" s="4">
        <f t="shared" si="73"/>
        <v>-25.719921999314383</v>
      </c>
      <c r="R148" s="4">
        <f t="shared" si="74"/>
        <v>60.64011184678553</v>
      </c>
    </row>
    <row r="149" spans="1:18" x14ac:dyDescent="0.25">
      <c r="A149" t="s">
        <v>72</v>
      </c>
      <c r="B149" s="9">
        <f t="shared" si="62"/>
        <v>3.0215125130267828</v>
      </c>
      <c r="C149">
        <f t="shared" si="62"/>
        <v>-2.9783321059986867</v>
      </c>
      <c r="D149" s="9">
        <f t="shared" si="61"/>
        <v>-2.9783321059986867</v>
      </c>
      <c r="E149">
        <f t="shared" si="61"/>
        <v>-3.0215125130267828</v>
      </c>
      <c r="F149" s="4">
        <f t="shared" si="63"/>
        <v>0.85612473988457982</v>
      </c>
      <c r="G149" s="4">
        <f t="shared" si="64"/>
        <v>0.83602169672957605</v>
      </c>
      <c r="H149" s="4">
        <f t="shared" si="65"/>
        <v>7.1969208821127326E-3</v>
      </c>
      <c r="I149" s="4">
        <f t="shared" si="66"/>
        <v>-3.000077692499254</v>
      </c>
      <c r="J149" s="4">
        <f t="shared" si="67"/>
        <v>3.0215125130267828</v>
      </c>
      <c r="K149" s="4">
        <f t="shared" si="68"/>
        <v>-2.9783321059986867</v>
      </c>
      <c r="L149" s="4">
        <f t="shared" si="69"/>
        <v>-2.9783321059986867</v>
      </c>
      <c r="M149" s="4">
        <f t="shared" si="70"/>
        <v>-3.0215125130267828</v>
      </c>
      <c r="N149" s="4">
        <f t="shared" si="71"/>
        <v>0.85612473988457982</v>
      </c>
      <c r="O149" s="4">
        <f t="shared" si="71"/>
        <v>0.83602169672957605</v>
      </c>
      <c r="P149" s="4">
        <f t="shared" si="72"/>
        <v>-1.2227894266267313E-3</v>
      </c>
      <c r="Q149" s="4">
        <f t="shared" si="73"/>
        <v>2.8794543948926668E-3</v>
      </c>
      <c r="R149" s="4">
        <f t="shared" si="74"/>
        <v>5.4815726022163426E-2</v>
      </c>
    </row>
    <row r="150" spans="1:18" x14ac:dyDescent="0.25">
      <c r="A150" t="s">
        <v>73</v>
      </c>
      <c r="B150" s="9">
        <f t="shared" si="62"/>
        <v>-2.9783321059986867</v>
      </c>
      <c r="C150">
        <f t="shared" si="62"/>
        <v>-3.0215125130267828</v>
      </c>
      <c r="D150" s="9">
        <f t="shared" si="61"/>
        <v>-2.9783321059986867</v>
      </c>
      <c r="E150">
        <f t="shared" si="61"/>
        <v>-3.0215125130267828</v>
      </c>
      <c r="F150" s="4">
        <f t="shared" si="63"/>
        <v>0.83602169672957605</v>
      </c>
      <c r="G150" s="4">
        <f t="shared" si="64"/>
        <v>0.83602169672957605</v>
      </c>
      <c r="H150" s="4" t="str">
        <f t="shared" si="65"/>
        <v>V</v>
      </c>
      <c r="I150" s="4">
        <f t="shared" si="66"/>
        <v>0</v>
      </c>
      <c r="J150" s="4">
        <f t="shared" si="67"/>
        <v>-2.9783321059986867</v>
      </c>
      <c r="K150" s="4">
        <f t="shared" si="68"/>
        <v>-3.0215125130267828</v>
      </c>
      <c r="L150" s="4">
        <f t="shared" si="69"/>
        <v>-2.9783321059986867</v>
      </c>
      <c r="M150" s="4">
        <f t="shared" si="70"/>
        <v>-3.0215125130267828</v>
      </c>
      <c r="N150" s="4">
        <f t="shared" si="71"/>
        <v>0.83602169672957605</v>
      </c>
      <c r="O150" s="4">
        <f t="shared" si="71"/>
        <v>0.83602169672957605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-2.9783321059986867</v>
      </c>
      <c r="C151">
        <f t="shared" si="62"/>
        <v>-3.0215125130267828</v>
      </c>
      <c r="D151" s="9">
        <f t="shared" si="61"/>
        <v>-2.9783321059986867</v>
      </c>
      <c r="E151">
        <f t="shared" si="61"/>
        <v>-3.0215125130267828</v>
      </c>
      <c r="F151" s="4">
        <f t="shared" si="63"/>
        <v>0.83602169672957605</v>
      </c>
      <c r="G151" s="4">
        <f t="shared" si="64"/>
        <v>0.83602169672957605</v>
      </c>
      <c r="H151" s="4" t="str">
        <f t="shared" si="65"/>
        <v>V</v>
      </c>
      <c r="I151" s="4">
        <f t="shared" si="66"/>
        <v>0</v>
      </c>
      <c r="J151" s="4">
        <f t="shared" si="67"/>
        <v>-2.9783321059986867</v>
      </c>
      <c r="K151" s="4">
        <f t="shared" si="68"/>
        <v>-3.0215125130267828</v>
      </c>
      <c r="L151" s="4">
        <f t="shared" si="69"/>
        <v>-2.9783321059986867</v>
      </c>
      <c r="M151" s="4">
        <f t="shared" si="70"/>
        <v>-3.0215125130267828</v>
      </c>
      <c r="N151" s="4">
        <f t="shared" si="71"/>
        <v>0.83602169672957605</v>
      </c>
      <c r="O151" s="4">
        <f t="shared" si="71"/>
        <v>0.83602169672957605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-2.9783321059986867</v>
      </c>
      <c r="C152">
        <f t="shared" si="62"/>
        <v>-3.0215125130267828</v>
      </c>
      <c r="D152" s="9">
        <f t="shared" si="61"/>
        <v>-2.9783321059986867</v>
      </c>
      <c r="E152">
        <f t="shared" si="61"/>
        <v>-3.0215125130267828</v>
      </c>
      <c r="F152" s="4">
        <f t="shared" si="63"/>
        <v>0.83602169672957605</v>
      </c>
      <c r="G152" s="4">
        <f t="shared" si="64"/>
        <v>0.83602169672957605</v>
      </c>
      <c r="H152" s="4" t="str">
        <f t="shared" si="65"/>
        <v>V</v>
      </c>
      <c r="I152" s="4">
        <f t="shared" si="66"/>
        <v>0</v>
      </c>
      <c r="J152" s="4">
        <f t="shared" si="67"/>
        <v>-2.9783321059986867</v>
      </c>
      <c r="K152" s="4">
        <f t="shared" si="68"/>
        <v>-3.0215125130267828</v>
      </c>
      <c r="L152" s="4">
        <f t="shared" si="69"/>
        <v>-2.9783321059986867</v>
      </c>
      <c r="M152" s="4">
        <f t="shared" si="70"/>
        <v>-3.0215125130267828</v>
      </c>
      <c r="N152" s="4">
        <f t="shared" si="71"/>
        <v>0.83602169672957605</v>
      </c>
      <c r="O152" s="4">
        <f t="shared" si="71"/>
        <v>0.83602169672957605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-2.9783321059986867</v>
      </c>
      <c r="C153">
        <f t="shared" si="62"/>
        <v>-3.0215125130267828</v>
      </c>
      <c r="D153" s="9">
        <f t="shared" si="61"/>
        <v>-2.9783321059986867</v>
      </c>
      <c r="E153">
        <f t="shared" si="61"/>
        <v>-3.0215125130267828</v>
      </c>
      <c r="F153" s="4">
        <f t="shared" si="63"/>
        <v>0.83602169672957605</v>
      </c>
      <c r="G153" s="4">
        <f t="shared" si="64"/>
        <v>0.83602169672957605</v>
      </c>
      <c r="H153" s="4" t="str">
        <f t="shared" si="65"/>
        <v>V</v>
      </c>
      <c r="I153" s="4">
        <f t="shared" si="66"/>
        <v>0</v>
      </c>
      <c r="J153" s="4">
        <f t="shared" si="67"/>
        <v>-2.9783321059986867</v>
      </c>
      <c r="K153" s="4">
        <f t="shared" si="68"/>
        <v>-3.0215125130267828</v>
      </c>
      <c r="L153" s="4">
        <f t="shared" si="69"/>
        <v>-2.9783321059986867</v>
      </c>
      <c r="M153" s="4">
        <f t="shared" si="70"/>
        <v>-3.0215125130267828</v>
      </c>
      <c r="N153" s="4">
        <f t="shared" si="71"/>
        <v>0.83602169672957605</v>
      </c>
      <c r="O153" s="4">
        <f t="shared" si="71"/>
        <v>0.83602169672957605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-80.737745872536166</v>
      </c>
      <c r="Q154" s="4">
        <f t="shared" ref="Q154:R154" si="75">SUM(Q146:Q153)</f>
        <v>-50.280412116720449</v>
      </c>
      <c r="R154" s="4">
        <f t="shared" si="75"/>
        <v>-1.3676559884601147E-14</v>
      </c>
    </row>
    <row r="156" spans="1:18" x14ac:dyDescent="0.25">
      <c r="O156" t="s">
        <v>96</v>
      </c>
      <c r="P156" s="1">
        <f>-1*R154/P154</f>
        <v>-1.6939486898968998E-16</v>
      </c>
    </row>
    <row r="157" spans="1:18" x14ac:dyDescent="0.25">
      <c r="O157" t="s">
        <v>97</v>
      </c>
      <c r="P157" s="1">
        <f>Q154/P154</f>
        <v>0.62276214889749459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9.9999945736517013</v>
      </c>
      <c r="C159" t="s">
        <v>36</v>
      </c>
    </row>
    <row r="160" spans="1:18" x14ac:dyDescent="0.25">
      <c r="A160" s="1" t="s">
        <v>106</v>
      </c>
      <c r="B160" s="4">
        <f>Q140+I122+Q154-O122</f>
        <v>3253.7937400034825</v>
      </c>
      <c r="C160" t="s">
        <v>102</v>
      </c>
    </row>
    <row r="161" spans="1:9" x14ac:dyDescent="0.25">
      <c r="A161" s="1" t="s">
        <v>107</v>
      </c>
      <c r="B161" s="4">
        <f>R140+J122+R154-P122</f>
        <v>-98.58586325519039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9.9999945736517013</v>
      </c>
      <c r="C164" t="s">
        <v>36</v>
      </c>
      <c r="E164" s="8">
        <f>B2-B164</f>
        <v>5.4263482986982581E-6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3252.9999807793461</v>
      </c>
      <c r="C165" t="s">
        <v>102</v>
      </c>
      <c r="E165" s="8">
        <f>B3+B165</f>
        <v>-1.9220653939555632E-5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-121.9999998737426</v>
      </c>
      <c r="C166" t="s">
        <v>102</v>
      </c>
      <c r="E166" s="8">
        <f>B4+B166</f>
        <v>1.2625740453131584E-7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5.524999918051007</v>
      </c>
      <c r="B169" s="1">
        <f ca="1">IF(E122=0,0,(MIN(H110:H121)*B65)/(B55*B56*E122))</f>
        <v>-717.4274661030571</v>
      </c>
      <c r="C169" s="3">
        <f ca="1">A169+B169</f>
        <v>-711.90246618500612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-1.0674574455167157E-10</v>
      </c>
      <c r="C175" s="27">
        <f>B65*SQRT(I175)</f>
        <v>1.7602264521381644E-7</v>
      </c>
      <c r="D175" s="27">
        <f>B66*SQRT(I175)</f>
        <v>8.1948992066907078E-8</v>
      </c>
      <c r="E175" s="27">
        <f>B67*SQRT(I175)</f>
        <v>2.7920389854759944E-6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-7.1967967362730791E-3</v>
      </c>
      <c r="C176" s="3">
        <f>B65+C175</f>
        <v>11.867444495379756</v>
      </c>
      <c r="D176" s="3">
        <f>D175+B66</f>
        <v>5.5249999999999995</v>
      </c>
      <c r="E176" s="3">
        <f>B67+E175</f>
        <v>188.23923279203154</v>
      </c>
      <c r="F176" s="16" t="s">
        <v>125</v>
      </c>
    </row>
    <row r="177" spans="1:13" x14ac:dyDescent="0.25">
      <c r="B177" s="27">
        <f>B176-B64</f>
        <v>-1.0674574418834126E-10</v>
      </c>
      <c r="C177" s="27">
        <f>C176-B65</f>
        <v>1.7602264534843926E-7</v>
      </c>
      <c r="D177" s="27">
        <f>D176-B66</f>
        <v>8.1948992480818106E-8</v>
      </c>
      <c r="E177" s="27">
        <f>E176-B67</f>
        <v>2.7920389982227789E-6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-66.216168527026809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6.949439090756095</v>
      </c>
      <c r="B181" s="25">
        <f>(d_alpha_p!E136-d_alpha_m!E136)/(2*B177)</f>
        <v>6.949439090756095</v>
      </c>
      <c r="C181" s="25">
        <f>(d_alpha_p!E137-d_alpha_m!E137)/(2*B177)</f>
        <v>6.949439090756095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-5.4263482986982581E-6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1.9220653939555632E-5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-1.2625740453131584E-7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711.90246618500612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-66.216168527026809</v>
      </c>
      <c r="B190" s="25">
        <f>A181</f>
        <v>6.949439090756095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6.949439090756095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6.949439090756095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-66.216168527026809</v>
      </c>
      <c r="B201" s="25">
        <f t="shared" ref="B201:C201" si="77">B190</f>
        <v>6.949439090756095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6.949439090756095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6.949439090756095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43" workbookViewId="0">
      <selection activeCell="L62" sqref="L6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</v>
      </c>
      <c r="C2" t="s">
        <v>36</v>
      </c>
      <c r="D2" t="s">
        <v>103</v>
      </c>
      <c r="H2" t="s">
        <v>110</v>
      </c>
      <c r="I2">
        <f>B2/D22</f>
        <v>5.1020408163265307E-2</v>
      </c>
      <c r="J2" t="s">
        <v>11</v>
      </c>
    </row>
    <row r="3" spans="1:29" x14ac:dyDescent="0.25">
      <c r="A3" s="10" t="s">
        <v>79</v>
      </c>
      <c r="B3" s="17">
        <f>'Rigid Bearing Plate Analysis'!B3</f>
        <v>-3253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-7.1129737609329435</v>
      </c>
      <c r="J3" t="s">
        <v>11</v>
      </c>
    </row>
    <row r="4" spans="1:29" x14ac:dyDescent="0.25">
      <c r="A4" s="10" t="s">
        <v>80</v>
      </c>
      <c r="B4" s="17">
        <f>'Rigid Bearing Plate Analysis'!B4</f>
        <v>122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0.26676384839650141</v>
      </c>
      <c r="J4" t="s">
        <v>11</v>
      </c>
    </row>
    <row r="5" spans="1:29" x14ac:dyDescent="0.25">
      <c r="A5" s="10" t="s">
        <v>104</v>
      </c>
      <c r="B5" s="20">
        <f>ATAN2(B3,B4)</f>
        <v>3.1041063796879369</v>
      </c>
      <c r="C5" t="s">
        <v>19</v>
      </c>
      <c r="I5">
        <f>SUM(I2:I4)</f>
        <v>-6.7951895043731767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7.1129737609329435</v>
      </c>
      <c r="AB14">
        <f>$B$4/Z14</f>
        <v>0.26676384839650141</v>
      </c>
      <c r="AC14">
        <f>$I$2+AA14+AB14</f>
        <v>7.4307580174927104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-7.1129737609329435</v>
      </c>
      <c r="AB15">
        <f t="shared" ref="AB15:AB21" si="11">$B$4/Z15</f>
        <v>0.26676384839650141</v>
      </c>
      <c r="AC15">
        <f t="shared" ref="AC15:AC20" si="12">$I$2+AA15+AB15</f>
        <v>-6.7951895043731767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-7.1129737609329435</v>
      </c>
      <c r="AB16">
        <f t="shared" si="11"/>
        <v>-0.26676384839650141</v>
      </c>
      <c r="AC16">
        <f t="shared" si="12"/>
        <v>-7.3287172011661799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7.1129737609329435</v>
      </c>
      <c r="AB17">
        <f t="shared" si="11"/>
        <v>-0.26676384839650141</v>
      </c>
      <c r="AC17">
        <f t="shared" si="12"/>
        <v>6.8972303206997072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7.1129737609329435</v>
      </c>
      <c r="AB18">
        <f t="shared" si="11"/>
        <v>-0.26676384839650141</v>
      </c>
      <c r="AC18">
        <f t="shared" si="12"/>
        <v>6.8972303206997072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7.1129737609329435</v>
      </c>
      <c r="AB19">
        <f t="shared" si="11"/>
        <v>-0.26676384839650141</v>
      </c>
      <c r="AC19">
        <f t="shared" si="12"/>
        <v>6.8972303206997072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7.1129737609329435</v>
      </c>
      <c r="AB20">
        <f t="shared" si="11"/>
        <v>-0.26676384839650141</v>
      </c>
      <c r="AC20">
        <f t="shared" si="12"/>
        <v>6.8972303206997072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-0.26676384839650141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10</v>
      </c>
      <c r="D26" s="5">
        <f>((B25*C26)-(B26*C25))*0.5</f>
        <v>12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10</v>
      </c>
      <c r="D27" s="5">
        <f t="shared" ref="D27:D33" si="13">((B26*C27)-(B27*C26))*0.5</f>
        <v>-30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4</v>
      </c>
      <c r="D28" s="5">
        <f t="shared" si="13"/>
        <v>-30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4</v>
      </c>
      <c r="D29" s="5">
        <f t="shared" si="13"/>
        <v>12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4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4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4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4</v>
      </c>
      <c r="C33" s="17">
        <f>'Rigid Bearing Plate Analysis'!C33</f>
        <v>4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-36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12.5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12.5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12.5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15" x14ac:dyDescent="0.25">
      <c r="A51" s="10" t="s">
        <v>8</v>
      </c>
      <c r="B51" s="17">
        <f>'Rigid Bearing Plate Analysis'!B51</f>
        <v>5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-6.3948846218409017E-14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-4.8316906031686813E-13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4.8738259691965924E-13</v>
      </c>
      <c r="M57" s="17" t="str">
        <f ca="1">'Rigid Bearing Plate Analysis'!M57</f>
        <v>SOLUTION IF STRAIN IGNORED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Analysis'!B64+'Rigid Bearing Plate Analysis'!B175</f>
        <v>-7.1967967362730791E-3</v>
      </c>
      <c r="C64" t="s">
        <v>19</v>
      </c>
      <c r="D64" t="s">
        <v>34</v>
      </c>
      <c r="H64" s="17">
        <f>DEGREES(B64)</f>
        <v>-0.41234607900197279</v>
      </c>
      <c r="I64" t="s">
        <v>41</v>
      </c>
    </row>
    <row r="65" spans="1:18" x14ac:dyDescent="0.25">
      <c r="A65" s="1" t="s">
        <v>40</v>
      </c>
      <c r="B65" s="17">
        <f>'Rigid Bearing Plate Analysis'!B65</f>
        <v>11.86744431935711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188.23922999999255</v>
      </c>
      <c r="C67" t="s">
        <v>36</v>
      </c>
      <c r="D67" t="s">
        <v>122</v>
      </c>
      <c r="G67" s="20">
        <f ca="1">($B$56*$B$66*$B$55*$E$122)/$B$65</f>
        <v>1.4496542114659319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-3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3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3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-3</v>
      </c>
      <c r="Q76" cm="1">
        <f t="array" ref="Q76">(-1*MAX(ABS(B84:C91)))-1</f>
        <v>-8.0501958644709823</v>
      </c>
      <c r="R76">
        <f>Q76</f>
        <v>-8.0501958644709823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-3</v>
      </c>
      <c r="Q77">
        <f>-1*Q76</f>
        <v>8.0501958644709823</v>
      </c>
      <c r="R77">
        <f>Q77</f>
        <v>8.0501958644709823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-3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-3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-3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-3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-6.9494415799110252</v>
      </c>
      <c r="C84" s="1">
        <f t="shared" ref="C84:C92" si="23">(-1*B73*SIN($B$64))+(C73*COS($B$64))</f>
        <v>-7.0501958644709832</v>
      </c>
      <c r="H84" s="1">
        <f t="shared" ref="H84:H92" si="24">H73</f>
        <v>1</v>
      </c>
      <c r="I84" s="4">
        <f>(I73*COS($B$64))+(J73*SIN($B$64))</f>
        <v>-2.9783321056761536</v>
      </c>
      <c r="J84" s="1">
        <f>(-1*I73*SIN($B$64))+(J73*COS($B$64))</f>
        <v>-3.0215125133447072</v>
      </c>
    </row>
    <row r="85" spans="1:10" x14ac:dyDescent="0.25">
      <c r="A85" s="1">
        <f t="shared" si="21"/>
        <v>2</v>
      </c>
      <c r="B85" s="4">
        <f t="shared" si="22"/>
        <v>7.0501958644709832</v>
      </c>
      <c r="C85" s="1">
        <f t="shared" si="23"/>
        <v>-6.9494415799110252</v>
      </c>
      <c r="H85" s="1">
        <f t="shared" si="24"/>
        <v>2</v>
      </c>
      <c r="I85" s="4">
        <f t="shared" ref="I85:I92" si="25">(I74*COS($B$64))+(J74*SIN($B$64))</f>
        <v>-3.0215125133447072</v>
      </c>
      <c r="J85" s="1">
        <f t="shared" ref="J85:J92" si="26">(-1*I74*SIN($B$64))+(J74*COS($B$64))</f>
        <v>2.9783321056761536</v>
      </c>
    </row>
    <row r="86" spans="1:10" x14ac:dyDescent="0.25">
      <c r="A86" s="1">
        <f t="shared" si="21"/>
        <v>3</v>
      </c>
      <c r="B86" s="4">
        <f t="shared" si="22"/>
        <v>6.9494415799110252</v>
      </c>
      <c r="C86" s="1">
        <f t="shared" si="23"/>
        <v>7.0501958644709832</v>
      </c>
      <c r="H86" s="1">
        <f t="shared" si="24"/>
        <v>3</v>
      </c>
      <c r="I86" s="4">
        <f t="shared" si="25"/>
        <v>2.9783321056761536</v>
      </c>
      <c r="J86" s="1">
        <f t="shared" si="26"/>
        <v>3.0215125133447072</v>
      </c>
    </row>
    <row r="87" spans="1:10" x14ac:dyDescent="0.25">
      <c r="A87" s="1">
        <f t="shared" si="21"/>
        <v>4</v>
      </c>
      <c r="B87" s="4">
        <f t="shared" si="22"/>
        <v>-7.0501958644709832</v>
      </c>
      <c r="C87" s="1">
        <f t="shared" si="23"/>
        <v>6.9494415799110252</v>
      </c>
      <c r="H87" s="1">
        <f t="shared" si="24"/>
        <v>4</v>
      </c>
      <c r="I87" s="4">
        <f t="shared" si="25"/>
        <v>3.0215125133447072</v>
      </c>
      <c r="J87" s="1">
        <f t="shared" si="26"/>
        <v>-2.9783321056761536</v>
      </c>
    </row>
    <row r="88" spans="1:10" x14ac:dyDescent="0.25">
      <c r="A88" s="1">
        <f t="shared" si="21"/>
        <v>5</v>
      </c>
      <c r="B88" s="4">
        <f t="shared" si="22"/>
        <v>-6.9494415799110252</v>
      </c>
      <c r="C88" s="1">
        <f t="shared" si="23"/>
        <v>-7.0501958644709832</v>
      </c>
      <c r="H88" s="1">
        <f t="shared" si="24"/>
        <v>5</v>
      </c>
      <c r="I88" s="4">
        <f t="shared" si="25"/>
        <v>-2.9783321056761536</v>
      </c>
      <c r="J88" s="1">
        <f t="shared" si="26"/>
        <v>-3.0215125133447072</v>
      </c>
    </row>
    <row r="89" spans="1:10" x14ac:dyDescent="0.25">
      <c r="A89" s="1">
        <f t="shared" si="21"/>
        <v>6</v>
      </c>
      <c r="B89" s="4">
        <f t="shared" si="22"/>
        <v>-6.9494415799110252</v>
      </c>
      <c r="C89" s="1">
        <f t="shared" si="23"/>
        <v>-7.0501958644709832</v>
      </c>
      <c r="H89" s="1">
        <f t="shared" si="24"/>
        <v>6</v>
      </c>
      <c r="I89" s="4">
        <f t="shared" si="25"/>
        <v>-2.9783321056761536</v>
      </c>
      <c r="J89" s="1">
        <f t="shared" si="26"/>
        <v>-3.0215125133447072</v>
      </c>
    </row>
    <row r="90" spans="1:10" x14ac:dyDescent="0.25">
      <c r="A90" s="1">
        <f t="shared" si="21"/>
        <v>7</v>
      </c>
      <c r="B90" s="4">
        <f t="shared" si="22"/>
        <v>-6.9494415799110252</v>
      </c>
      <c r="C90" s="1">
        <f t="shared" si="23"/>
        <v>-7.0501958644709832</v>
      </c>
      <c r="H90" s="1">
        <f t="shared" si="24"/>
        <v>7</v>
      </c>
      <c r="I90" s="4">
        <f t="shared" si="25"/>
        <v>-2.9783321056761536</v>
      </c>
      <c r="J90" s="1">
        <f t="shared" si="26"/>
        <v>-3.0215125133447072</v>
      </c>
    </row>
    <row r="91" spans="1:10" x14ac:dyDescent="0.25">
      <c r="A91" s="1">
        <f t="shared" si="21"/>
        <v>8</v>
      </c>
      <c r="B91" s="4">
        <f t="shared" si="22"/>
        <v>-6.9494415799110252</v>
      </c>
      <c r="C91" s="1">
        <f t="shared" si="23"/>
        <v>-7.0501958644709832</v>
      </c>
      <c r="H91" s="1">
        <f t="shared" si="24"/>
        <v>8</v>
      </c>
      <c r="I91" s="4">
        <f t="shared" si="25"/>
        <v>-2.9783321056761536</v>
      </c>
      <c r="J91" s="1">
        <f t="shared" si="26"/>
        <v>-3.0215125133447072</v>
      </c>
    </row>
    <row r="92" spans="1:10" x14ac:dyDescent="0.25">
      <c r="A92" s="1">
        <f t="shared" si="21"/>
        <v>9</v>
      </c>
      <c r="B92" s="4">
        <f t="shared" si="22"/>
        <v>-6.9494415799110252</v>
      </c>
      <c r="C92" s="1">
        <f t="shared" si="23"/>
        <v>-7.0501958644709832</v>
      </c>
      <c r="H92" s="1">
        <f t="shared" si="24"/>
        <v>9</v>
      </c>
      <c r="I92" s="4">
        <f t="shared" si="25"/>
        <v>-2.9783321056761536</v>
      </c>
      <c r="J92" s="1">
        <f t="shared" si="26"/>
        <v>-3.0215125133447072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5.5</v>
      </c>
      <c r="C96" s="4">
        <f t="shared" si="29"/>
        <v>-5.5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-5.4602755270729482</v>
      </c>
      <c r="C110" s="1">
        <f>(-1*B95*SIN($B$64))+(C95*COS($B$64))</f>
        <v>-5.5394396077986308</v>
      </c>
      <c r="D110" t="str">
        <f t="shared" ref="D110" si="31">D95</f>
        <v>y</v>
      </c>
      <c r="E110" s="4">
        <f t="shared" ref="E110:E121" si="32">IF($D110="y",$B$125-C110,0)</f>
        <v>0.72219115291250358</v>
      </c>
      <c r="F110" s="1">
        <f>IF($D110="y",B110,NA())</f>
        <v>-5.4602755270729482</v>
      </c>
      <c r="G110" s="1">
        <f>IF($D110="y",C110,NA())</f>
        <v>-5.5394396077986308</v>
      </c>
      <c r="H110">
        <f t="shared" ref="H110:H121" si="33">IF($E$122=0,0,-1*MAX(($B$67/$E$122)*(E110),0))</f>
        <v>-188.23922999999255</v>
      </c>
      <c r="I110">
        <f>H110*C110</f>
        <v>1042.739846403475</v>
      </c>
      <c r="J110">
        <f>H110*B110*-1</f>
        <v>-1027.8380608040152</v>
      </c>
      <c r="K110">
        <f ca="1">H110/$B$55</f>
        <v>-310.75635021860035</v>
      </c>
      <c r="L110">
        <f ca="1">K110/$B$54</f>
        <v>-1.0715736214434494E-2</v>
      </c>
      <c r="M110">
        <f t="shared" ref="M110:M121" si="34">IFERROR(($D$66/$B$65)*(G110-$B$125),0)</f>
        <v>-8.2523245192904699E-5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5.5394396077986308</v>
      </c>
      <c r="C111" s="1">
        <f t="shared" ref="C111:C121" si="37">(-1*B96*SIN($B$64))+(C96*COS($B$64))</f>
        <v>-5.4602755270729482</v>
      </c>
      <c r="D111" t="str">
        <f t="shared" si="35"/>
        <v>y</v>
      </c>
      <c r="E111" s="4">
        <f t="shared" si="32"/>
        <v>0.64302707218682098</v>
      </c>
      <c r="F111" s="1">
        <f t="shared" ref="F111:G121" si="38">IF($D111="y",B111,NA())</f>
        <v>5.5394396077986308</v>
      </c>
      <c r="G111" s="1">
        <f t="shared" si="38"/>
        <v>-5.4602755270729482</v>
      </c>
      <c r="H111">
        <f t="shared" si="33"/>
        <v>-167.60510074022142</v>
      </c>
      <c r="I111">
        <f t="shared" ref="I111:I121" si="39">H111*C111</f>
        <v>915.17002978442702</v>
      </c>
      <c r="J111">
        <f t="shared" ref="J111:J121" si="40">H111*B111*-1</f>
        <v>928.43833350946215</v>
      </c>
      <c r="K111">
        <f ca="1">H111/$B$55</f>
        <v>-276.69232063929553</v>
      </c>
      <c r="L111">
        <f t="shared" ref="L111:L121" ca="1" si="41">K111/$B$54</f>
        <v>-9.5411145048032945E-3</v>
      </c>
      <c r="M111">
        <f t="shared" si="34"/>
        <v>-7.3477334262190357E-5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-5.5394396077986308</v>
      </c>
      <c r="C112" s="1">
        <f t="shared" si="37"/>
        <v>5.4602755270729482</v>
      </c>
      <c r="D112" t="str">
        <f t="shared" si="35"/>
        <v>y</v>
      </c>
      <c r="E112" s="4">
        <f t="shared" si="32"/>
        <v>-10.277523981959074</v>
      </c>
      <c r="F112" s="1">
        <f t="shared" si="38"/>
        <v>-5.5394396077986308</v>
      </c>
      <c r="G112" s="1">
        <f t="shared" si="38"/>
        <v>5.4602755270729482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1.1743907802231441E-3</v>
      </c>
      <c r="N112">
        <f t="shared" si="42"/>
        <v>4.2423972958214895</v>
      </c>
      <c r="O112">
        <f t="shared" si="43"/>
        <v>23.164658130494534</v>
      </c>
      <c r="P112">
        <f t="shared" si="44"/>
        <v>23.500503612491364</v>
      </c>
    </row>
    <row r="113" spans="1:16" x14ac:dyDescent="0.25">
      <c r="A113">
        <f t="shared" si="35"/>
        <v>4</v>
      </c>
      <c r="B113" s="1">
        <f t="shared" si="36"/>
        <v>5.4602755270729482</v>
      </c>
      <c r="C113" s="1">
        <f t="shared" si="37"/>
        <v>5.5394396077986308</v>
      </c>
      <c r="D113" t="str">
        <f t="shared" si="35"/>
        <v>y</v>
      </c>
      <c r="E113" s="4">
        <f t="shared" si="32"/>
        <v>-10.356688062684757</v>
      </c>
      <c r="F113" s="1">
        <f t="shared" si="38"/>
        <v>5.4602755270729482</v>
      </c>
      <c r="G113" s="1">
        <f t="shared" si="38"/>
        <v>5.5394396077986308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1.1834366911538583E-3</v>
      </c>
      <c r="N113">
        <f t="shared" si="42"/>
        <v>4.2750749604600111</v>
      </c>
      <c r="O113">
        <f t="shared" si="43"/>
        <v>23.68151956228035</v>
      </c>
      <c r="P113">
        <f t="shared" si="44"/>
        <v>-23.343087183002151</v>
      </c>
    </row>
    <row r="114" spans="1:16" x14ac:dyDescent="0.25">
      <c r="A114">
        <f t="shared" si="35"/>
        <v>5</v>
      </c>
      <c r="B114" s="1">
        <f t="shared" si="36"/>
        <v>-6.9494415799110252</v>
      </c>
      <c r="C114" s="1">
        <f t="shared" si="37"/>
        <v>-7.0501958644709832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-6.9494415799110252</v>
      </c>
      <c r="C115" s="1">
        <f t="shared" si="37"/>
        <v>-7.0501958644709832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-6.9494415799110252</v>
      </c>
      <c r="C116" s="1">
        <f t="shared" si="37"/>
        <v>-7.0501958644709832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-6.9494415799110252</v>
      </c>
      <c r="C117" s="1">
        <f t="shared" si="37"/>
        <v>-7.0501958644709832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-6.9494415799110252</v>
      </c>
      <c r="C118" s="1">
        <f t="shared" si="37"/>
        <v>-7.0501958644709832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-6.9494415799110252</v>
      </c>
      <c r="C119" s="1">
        <f t="shared" si="37"/>
        <v>-7.0501958644709832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-6.9494415799110252</v>
      </c>
      <c r="C120" s="1">
        <f t="shared" si="37"/>
        <v>-7.0501958644709832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-6.9494415799110252</v>
      </c>
      <c r="C121" s="1">
        <f t="shared" si="37"/>
        <v>-7.0501958644709832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0.72219115291250358</v>
      </c>
      <c r="H122">
        <f>SUM(H110:H121)</f>
        <v>-355.84433074021399</v>
      </c>
      <c r="I122">
        <f t="shared" ref="I122:J122" si="46">SUM(I110:I121)</f>
        <v>1957.909876187902</v>
      </c>
      <c r="J122">
        <f t="shared" si="46"/>
        <v>-99.399727294553031</v>
      </c>
      <c r="L122">
        <f ca="1">MIN(L110:L121)</f>
        <v>-1.0715736214434494E-2</v>
      </c>
      <c r="M122">
        <f>MIN(M110:M121)</f>
        <v>-8.2523245192904699E-5</v>
      </c>
      <c r="N122">
        <f>SUM(N110:N121)</f>
        <v>8.5174722562815006</v>
      </c>
      <c r="O122">
        <f>SUM(O110:O121)</f>
        <v>46.846177692774887</v>
      </c>
      <c r="P122">
        <f>SUM(P110:P121)</f>
        <v>0.15741642948921353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-4.8172484548861272</v>
      </c>
      <c r="F125" s="1" t="s">
        <v>27</v>
      </c>
      <c r="G125" s="1" t="s">
        <v>28</v>
      </c>
    </row>
    <row r="126" spans="1:16" x14ac:dyDescent="0.25">
      <c r="F126" s="4">
        <f>MIN(B84:B90)-1</f>
        <v>-8.0501958644709823</v>
      </c>
      <c r="G126" s="4">
        <f>B125</f>
        <v>-4.8172484548861272</v>
      </c>
    </row>
    <row r="127" spans="1:16" x14ac:dyDescent="0.25">
      <c r="F127" s="4">
        <f>MAX(B84:B90)+1</f>
        <v>8.0501958644709823</v>
      </c>
      <c r="G127" s="4">
        <f>G126</f>
        <v>-4.8172484548861272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-6.9494415799110252</v>
      </c>
      <c r="C132" s="4">
        <f>C84</f>
        <v>-7.0501958644709832</v>
      </c>
      <c r="D132" s="4">
        <f t="shared" ref="D132:E139" si="47">B85</f>
        <v>7.0501958644709832</v>
      </c>
      <c r="E132" s="4">
        <f t="shared" si="47"/>
        <v>-6.9494415799110252</v>
      </c>
      <c r="F132" s="4">
        <f t="shared" ref="F132:F139" si="48">($B$66/$B$65)*(C132-$B$125)</f>
        <v>-1.0395696079090311</v>
      </c>
      <c r="G132" s="4">
        <f t="shared" ref="G132:G139" si="49">($B$66/$B$65)*(E132-$B$125)</f>
        <v>-0.99266250582254556</v>
      </c>
      <c r="H132" s="4">
        <f>IF(B132=D132,"V",(C132-E132)/(B132-D132))</f>
        <v>7.1969209888639151E-3</v>
      </c>
      <c r="I132" s="4">
        <f>IF(H132="V",0,(-1*B132*H132)+C132)</f>
        <v>-7.0001812825036378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7.0501958644709832</v>
      </c>
      <c r="C133" s="4">
        <f t="shared" si="50"/>
        <v>-6.9494415799110252</v>
      </c>
      <c r="D133" s="4">
        <f t="shared" si="47"/>
        <v>6.9494415799110252</v>
      </c>
      <c r="E133" s="4">
        <f t="shared" si="47"/>
        <v>7.0501958644709832</v>
      </c>
      <c r="F133" s="4">
        <f t="shared" si="48"/>
        <v>-0.99266250582254556</v>
      </c>
      <c r="G133" s="4">
        <f t="shared" si="49"/>
        <v>5.5250000000000004</v>
      </c>
      <c r="H133" s="4">
        <f t="shared" ref="H133:H139" si="51">IF(B133=D133,"V",(C133-E133)/(B133-D133))</f>
        <v>-138.94830880418726</v>
      </c>
      <c r="I133" s="4">
        <f t="shared" ref="I133:I139" si="52">IF(H133="V",0,(-1*B133*H133)+C133)</f>
        <v>972.66335052660702</v>
      </c>
      <c r="J133" s="4">
        <f t="shared" ref="J133:J139" si="53">IF($F133&gt;=0,B133,IF(AND($F133&lt;0,$G133&gt;=0),IF(H133="V",B133,($B$125-I133)/H133),0))</f>
        <v>7.0348506390171792</v>
      </c>
      <c r="K133" s="4">
        <f t="shared" ref="K133:K139" si="54">IF($F133&gt;=0,C133,IF(AND($F133&lt;0,$G133&gt;=0),$B$125,0))</f>
        <v>-4.8172484548861272</v>
      </c>
      <c r="L133" s="4">
        <f t="shared" ref="L133:L139" si="55">IF($G133&gt;=0,D133,IF(AND($G133&lt;0,$F133&gt;=0),IF(H133="V",D133,($B$125-I133)/H133),0))</f>
        <v>6.9494415799110252</v>
      </c>
      <c r="M133" s="4">
        <f t="shared" ref="M133:M139" si="56">IF($G133&gt;=0,E133,IF(AND($G133&lt;0,$F133&gt;=0),$B$125,0))</f>
        <v>7.0501958644709832</v>
      </c>
      <c r="N133" s="4">
        <f t="shared" ref="N133:O139" si="57">IF(F133&lt;0,IF($I$54="Linear",0,$B$66),IF($I$54="Linear",F133,$B$66))</f>
        <v>0</v>
      </c>
      <c r="O133" s="4">
        <f t="shared" si="57"/>
        <v>5.5250000000000004</v>
      </c>
      <c r="P133" s="4">
        <f t="shared" ref="P133:P139" si="58">(1/6)*(M133-K133)*((N133*((2*J133)+L133))+(O133*(J133+(2*L133))))</f>
        <v>228.76255156719603</v>
      </c>
      <c r="Q133" s="4">
        <f t="shared" ref="Q133:Q139" si="59">((1/12)*(M133-K133)*(N133*J133*((3*K133)+M133)+N133*L133*(K133+M133)+O133*J133*(K133+M133)+O133*L133*(K133+(3*M133))))</f>
        <v>706.03244414950007</v>
      </c>
      <c r="R133" s="4">
        <f t="shared" ref="R133:R139" si="60">((-1/24)*(M133-K133)*(J133*J133*((3*N133)+O133)+2*J133*L133*(N133+O133)+L133*L133*(N133+(3*O133))))</f>
        <v>-798.14903595117028</v>
      </c>
    </row>
    <row r="134" spans="1:18" x14ac:dyDescent="0.25">
      <c r="A134" t="s">
        <v>71</v>
      </c>
      <c r="B134" s="4">
        <f t="shared" si="50"/>
        <v>6.9494415799110252</v>
      </c>
      <c r="C134" s="4">
        <f t="shared" si="50"/>
        <v>7.0501958644709832</v>
      </c>
      <c r="D134" s="4">
        <f t="shared" si="47"/>
        <v>-7.0501958644709832</v>
      </c>
      <c r="E134" s="4">
        <f t="shared" si="47"/>
        <v>6.9494415799110252</v>
      </c>
      <c r="F134" s="4">
        <f t="shared" si="48"/>
        <v>5.5250000000000004</v>
      </c>
      <c r="G134" s="4">
        <f t="shared" si="49"/>
        <v>5.4780928979135144</v>
      </c>
      <c r="H134" s="4">
        <f t="shared" si="51"/>
        <v>7.1969209888639151E-3</v>
      </c>
      <c r="I134" s="4">
        <f t="shared" si="52"/>
        <v>7.0001812825036378</v>
      </c>
      <c r="J134" s="4">
        <f t="shared" si="53"/>
        <v>6.9494415799110252</v>
      </c>
      <c r="K134" s="4">
        <f t="shared" si="54"/>
        <v>7.0501958644709832</v>
      </c>
      <c r="L134" s="4">
        <f t="shared" si="55"/>
        <v>-7.0501958644709832</v>
      </c>
      <c r="M134" s="4">
        <f t="shared" si="56"/>
        <v>6.9494415799110252</v>
      </c>
      <c r="N134" s="4">
        <f t="shared" si="57"/>
        <v>5.5250000000000004</v>
      </c>
      <c r="O134" s="4">
        <f t="shared" si="57"/>
        <v>5.4780928979135144</v>
      </c>
      <c r="P134" s="4">
        <f t="shared" si="58"/>
        <v>2.2410639797396412E-2</v>
      </c>
      <c r="Q134" s="4">
        <f t="shared" si="59"/>
        <v>9.1717471381385529E-2</v>
      </c>
      <c r="R134" s="4">
        <f t="shared" si="60"/>
        <v>4.5270102282701679</v>
      </c>
    </row>
    <row r="135" spans="1:18" x14ac:dyDescent="0.25">
      <c r="A135" t="s">
        <v>72</v>
      </c>
      <c r="B135" s="4">
        <f t="shared" si="50"/>
        <v>-7.0501958644709832</v>
      </c>
      <c r="C135" s="4">
        <f t="shared" si="50"/>
        <v>6.9494415799110252</v>
      </c>
      <c r="D135" s="4">
        <f t="shared" si="47"/>
        <v>-6.9494415799110252</v>
      </c>
      <c r="E135" s="4">
        <f t="shared" si="47"/>
        <v>-7.0501958644709832</v>
      </c>
      <c r="F135" s="4">
        <f t="shared" si="48"/>
        <v>5.4780928979135144</v>
      </c>
      <c r="G135" s="4">
        <f t="shared" si="49"/>
        <v>-1.0395696079090311</v>
      </c>
      <c r="H135" s="4">
        <f t="shared" si="51"/>
        <v>-138.94830880418726</v>
      </c>
      <c r="I135" s="4">
        <f t="shared" si="52"/>
        <v>-972.66335052660702</v>
      </c>
      <c r="J135" s="4">
        <f t="shared" si="53"/>
        <v>-7.0501958644709832</v>
      </c>
      <c r="K135" s="4">
        <f t="shared" si="54"/>
        <v>6.9494415799110252</v>
      </c>
      <c r="L135" s="4">
        <f t="shared" si="55"/>
        <v>-6.9655119259900955</v>
      </c>
      <c r="M135" s="4">
        <f t="shared" si="56"/>
        <v>-4.8172484548861272</v>
      </c>
      <c r="N135" s="4">
        <f t="shared" si="57"/>
        <v>5.4780928979135144</v>
      </c>
      <c r="O135" s="4">
        <f t="shared" si="57"/>
        <v>0</v>
      </c>
      <c r="P135" s="4">
        <f t="shared" si="58"/>
        <v>226.31458807126793</v>
      </c>
      <c r="Q135" s="4">
        <f t="shared" si="59"/>
        <v>686.88631045794102</v>
      </c>
      <c r="R135" s="4">
        <f t="shared" si="60"/>
        <v>794.59330493935443</v>
      </c>
    </row>
    <row r="136" spans="1:18" x14ac:dyDescent="0.25">
      <c r="A136" t="s">
        <v>73</v>
      </c>
      <c r="B136" s="4">
        <f t="shared" si="50"/>
        <v>-6.9494415799110252</v>
      </c>
      <c r="C136" s="4">
        <f t="shared" si="50"/>
        <v>-7.0501958644709832</v>
      </c>
      <c r="D136" s="4">
        <f t="shared" si="47"/>
        <v>-6.9494415799110252</v>
      </c>
      <c r="E136" s="4">
        <f t="shared" si="47"/>
        <v>-7.0501958644709832</v>
      </c>
      <c r="F136" s="4">
        <f t="shared" si="48"/>
        <v>-1.0395696079090311</v>
      </c>
      <c r="G136" s="4">
        <f t="shared" si="49"/>
        <v>-1.0395696079090311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-6.9494415799110252</v>
      </c>
      <c r="C137" s="4">
        <f t="shared" si="50"/>
        <v>-7.0501958644709832</v>
      </c>
      <c r="D137" s="4">
        <f t="shared" si="47"/>
        <v>-6.9494415799110252</v>
      </c>
      <c r="E137" s="4">
        <f t="shared" si="47"/>
        <v>-7.0501958644709832</v>
      </c>
      <c r="F137" s="4">
        <f t="shared" si="48"/>
        <v>-1.0395696079090311</v>
      </c>
      <c r="G137" s="4">
        <f t="shared" si="49"/>
        <v>-1.0395696079090311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-6.9494415799110252</v>
      </c>
      <c r="C138" s="4">
        <f t="shared" si="50"/>
        <v>-7.0501958644709832</v>
      </c>
      <c r="D138" s="4">
        <f t="shared" si="47"/>
        <v>-6.9494415799110252</v>
      </c>
      <c r="E138" s="4">
        <f t="shared" si="47"/>
        <v>-7.0501958644709832</v>
      </c>
      <c r="F138" s="4">
        <f t="shared" si="48"/>
        <v>-1.0395696079090311</v>
      </c>
      <c r="G138" s="4">
        <f t="shared" si="49"/>
        <v>-1.0395696079090311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-6.9494415799110252</v>
      </c>
      <c r="C139" s="4">
        <f>E138</f>
        <v>-7.0501958644709832</v>
      </c>
      <c r="D139" s="4">
        <f t="shared" si="47"/>
        <v>-6.9494415799110252</v>
      </c>
      <c r="E139" s="4">
        <f t="shared" si="47"/>
        <v>-7.0501958644709832</v>
      </c>
      <c r="F139" s="4">
        <f t="shared" si="48"/>
        <v>-1.0395696079090311</v>
      </c>
      <c r="G139" s="4">
        <f t="shared" si="49"/>
        <v>-1.0395696079090311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455.09955027826135</v>
      </c>
      <c r="Q140" s="4">
        <f>SUM(Q132:Q139)</f>
        <v>1393.0104720788224</v>
      </c>
      <c r="R140" s="4">
        <f>SUM(R132:R139)</f>
        <v>0.97127921645426341</v>
      </c>
    </row>
    <row r="142" spans="1:18" x14ac:dyDescent="0.25">
      <c r="O142" t="s">
        <v>96</v>
      </c>
      <c r="P142" s="1">
        <f>-1*R140/P140</f>
        <v>-2.1342126483324241E-3</v>
      </c>
    </row>
    <row r="143" spans="1:18" x14ac:dyDescent="0.25">
      <c r="O143" t="s">
        <v>97</v>
      </c>
      <c r="P143" s="1">
        <f>Q140/P140</f>
        <v>3.0608917790120747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-2.9783321056761536</v>
      </c>
      <c r="C146" s="9">
        <f>J84</f>
        <v>-3.0215125133447072</v>
      </c>
      <c r="D146" s="9">
        <f t="shared" ref="D146:E153" si="61">I85</f>
        <v>-3.0215125133447072</v>
      </c>
      <c r="E146">
        <f t="shared" si="61"/>
        <v>2.9783321056761536</v>
      </c>
      <c r="F146" s="4">
        <f>($B$66/$B$65)*(C146-$B$125)</f>
        <v>0.83602170863640635</v>
      </c>
      <c r="G146" s="4">
        <f>($B$66/$B$65)*(E146-$B$125)</f>
        <v>3.6293056397032117</v>
      </c>
      <c r="H146" s="4">
        <f>IF(B146=D146,"V",(C146-E146)/(B146-D146))</f>
        <v>-138.94830880418687</v>
      </c>
      <c r="I146" s="4">
        <f>IF(H146="V",0,(-1*B146*H146)+C146)</f>
        <v>-416.85572165425901</v>
      </c>
      <c r="J146" s="4">
        <f>IF($F146&gt;=0,B146,IF(AND($F146&lt;0,$G146&gt;=0),IF(H146="V",B146,($B$125-I146)/H146),0))</f>
        <v>-2.9783321056761536</v>
      </c>
      <c r="K146" s="4">
        <f>IF($F146&gt;=0,C146,IF(AND($F146&lt;0,$G146&gt;=0),$B$125,0))</f>
        <v>-3.0215125133447072</v>
      </c>
      <c r="L146" s="4">
        <f>IF($G146&gt;=0,D146,IF(AND($G146&lt;0,$F146&gt;=0),IF(H146="V",D146,($B$125-I146)/H146),0))</f>
        <v>-3.0215125133447072</v>
      </c>
      <c r="M146" s="4">
        <f>IF($G146&gt;=0,E146,IF(AND($G146&lt;0,$F146&gt;=0),$B$125,0))</f>
        <v>2.9783321056761536</v>
      </c>
      <c r="N146" s="4">
        <f>IF(F146&lt;0,IF($I$54="Linear",0,$B$66),IF($I$54="Linear",F146,$B$66))</f>
        <v>0.83602170863640635</v>
      </c>
      <c r="O146" s="4">
        <f>IF(G146&lt;0,IF($I$54="Linear",0,$B$66),IF($I$54="Linear",G146,$B$66))</f>
        <v>3.6293056397032117</v>
      </c>
      <c r="P146" s="4">
        <f>(1/6)*(M146-K146)*((N146*((2*J146)+L146))+(O146*(J146+(2*L146))))</f>
        <v>-40.246170688865625</v>
      </c>
      <c r="Q146" s="4">
        <f>((1/12)*(M146-K146)*(N146*J146*((3*K146)+M146)+N146*L146*(K146+M146)+O146*J146*(K146+M146)+O146*L146*(K146+(3*M146))))</f>
        <v>-24.557886300334587</v>
      </c>
      <c r="R146" s="4">
        <f>((-1/24)*(M146-K146)*(J146*J146*((3*N146)+O146)+2*J146*L146*(N146+O146)+L146*L146*(N146+(3*O146))))</f>
        <v>-60.459190029816448</v>
      </c>
    </row>
    <row r="147" spans="1:18" x14ac:dyDescent="0.25">
      <c r="A147" t="s">
        <v>70</v>
      </c>
      <c r="B147" s="9">
        <f t="shared" ref="B147:C153" si="62">D146</f>
        <v>-3.0215125133447072</v>
      </c>
      <c r="C147">
        <f t="shared" si="62"/>
        <v>2.9783321056761536</v>
      </c>
      <c r="D147" s="9">
        <f t="shared" si="61"/>
        <v>2.9783321056761536</v>
      </c>
      <c r="E147">
        <f t="shared" si="61"/>
        <v>3.0215125133447072</v>
      </c>
      <c r="F147" s="4">
        <f t="shared" ref="F147:F153" si="63">($B$66/$B$65)*(C147-$B$125)</f>
        <v>3.6293056397032117</v>
      </c>
      <c r="G147" s="4">
        <f t="shared" ref="G147:G153" si="64">($B$66/$B$65)*(E147-$B$125)</f>
        <v>3.6494086834545629</v>
      </c>
      <c r="H147" s="4">
        <f t="shared" ref="H147:H153" si="65">IF(B147=D147,"V",(C147-E147)/(B147-D147))</f>
        <v>7.1969209888639359E-3</v>
      </c>
      <c r="I147" s="4">
        <f t="shared" ref="I147:I153" si="66">IF(H147="V",0,(-1*B147*H147)+C147)</f>
        <v>3.0000776925015593</v>
      </c>
      <c r="J147" s="4">
        <f t="shared" ref="J147:J153" si="67">IF($F147&gt;=0,B147,IF(AND($F147&lt;0,$G147&gt;=0),IF(H147="V",B147,($B$125-I147)/H147),0))</f>
        <v>-3.0215125133447072</v>
      </c>
      <c r="K147" s="4">
        <f t="shared" ref="K147:K153" si="68">IF($F147&gt;=0,C147,IF(AND($F147&lt;0,$G147&gt;=0),$B$125,0))</f>
        <v>2.9783321056761536</v>
      </c>
      <c r="L147" s="4">
        <f t="shared" ref="L147:L153" si="69">IF($G147&gt;=0,D147,IF(AND($G147&lt;0,$F147&gt;=0),IF(H147="V",D147,($B$125-I147)/H147),0))</f>
        <v>2.9783321056761536</v>
      </c>
      <c r="M147" s="4">
        <f t="shared" ref="M147:M153" si="70">IF($G147&gt;=0,E147,IF(AND($G147&lt;0,$F147&gt;=0),$B$125,0))</f>
        <v>3.0215125133447072</v>
      </c>
      <c r="N147" s="4">
        <f t="shared" ref="N147:O153" si="71">IF(F147&lt;0,IF($I$54="Linear",0,$B$66),IF($I$54="Linear",F147,$B$66))</f>
        <v>3.6293056397032117</v>
      </c>
      <c r="O147" s="4">
        <f t="shared" si="71"/>
        <v>3.6494086834545629</v>
      </c>
      <c r="P147" s="4">
        <f t="shared" ref="P147:P153" si="72">(1/6)*(M147-K147)*((N147*((2*J147)+L147))+(O147*(J147+(2*L147))))</f>
        <v>-2.9588597699584671E-3</v>
      </c>
      <c r="Q147" s="4">
        <f t="shared" ref="Q147:Q153" si="73">((1/12)*(M147-K147)*(N147*J147*((3*K147)+M147)+N147*L147*(K147+M147)+O147*J147*(K147+M147)+O147*L147*(K147+(3*M147))))</f>
        <v>-5.4836273960579282E-3</v>
      </c>
      <c r="R147" s="4">
        <f t="shared" ref="R147:R153" si="74">((-1/24)*(M147-K147)*(J147*J147*((3*N147)+O147)+2*J147*L147*(N147+O147)+L147*L147*(N147+(3*O147))))</f>
        <v>-0.23573843594261709</v>
      </c>
    </row>
    <row r="148" spans="1:18" x14ac:dyDescent="0.25">
      <c r="A148" t="s">
        <v>71</v>
      </c>
      <c r="B148" s="9">
        <f t="shared" si="62"/>
        <v>2.9783321056761536</v>
      </c>
      <c r="C148">
        <f t="shared" si="62"/>
        <v>3.0215125133447072</v>
      </c>
      <c r="D148" s="9">
        <f t="shared" si="61"/>
        <v>3.0215125133447072</v>
      </c>
      <c r="E148">
        <f t="shared" si="61"/>
        <v>-2.9783321056761536</v>
      </c>
      <c r="F148" s="4">
        <f t="shared" si="63"/>
        <v>3.6494086834545629</v>
      </c>
      <c r="G148" s="4">
        <f t="shared" si="64"/>
        <v>0.85612475238775743</v>
      </c>
      <c r="H148" s="4">
        <f t="shared" si="65"/>
        <v>-138.94830880418687</v>
      </c>
      <c r="I148" s="4">
        <f t="shared" si="66"/>
        <v>416.85572165425901</v>
      </c>
      <c r="J148" s="4">
        <f t="shared" si="67"/>
        <v>2.9783321056761536</v>
      </c>
      <c r="K148" s="4">
        <f t="shared" si="68"/>
        <v>3.0215125133447072</v>
      </c>
      <c r="L148" s="4">
        <f t="shared" si="69"/>
        <v>3.0215125133447072</v>
      </c>
      <c r="M148" s="4">
        <f t="shared" si="70"/>
        <v>-2.9783321056761536</v>
      </c>
      <c r="N148" s="4">
        <f t="shared" si="71"/>
        <v>3.6494086834545629</v>
      </c>
      <c r="O148" s="4">
        <f t="shared" si="71"/>
        <v>0.85612475238775743</v>
      </c>
      <c r="P148" s="4">
        <f t="shared" si="72"/>
        <v>-40.487394719521149</v>
      </c>
      <c r="Q148" s="4">
        <f t="shared" si="73"/>
        <v>-25.719922389291241</v>
      </c>
      <c r="R148" s="4">
        <f t="shared" si="74"/>
        <v>60.640112738132679</v>
      </c>
    </row>
    <row r="149" spans="1:18" x14ac:dyDescent="0.25">
      <c r="A149" t="s">
        <v>72</v>
      </c>
      <c r="B149" s="9">
        <f t="shared" si="62"/>
        <v>3.0215125133447072</v>
      </c>
      <c r="C149">
        <f t="shared" si="62"/>
        <v>-2.9783321056761536</v>
      </c>
      <c r="D149" s="9">
        <f t="shared" si="61"/>
        <v>-2.9783321056761536</v>
      </c>
      <c r="E149">
        <f t="shared" si="61"/>
        <v>-3.0215125133447072</v>
      </c>
      <c r="F149" s="4">
        <f t="shared" si="63"/>
        <v>0.85612475238775743</v>
      </c>
      <c r="G149" s="4">
        <f t="shared" si="64"/>
        <v>0.83602170863640635</v>
      </c>
      <c r="H149" s="4">
        <f t="shared" si="65"/>
        <v>7.1969209888639359E-3</v>
      </c>
      <c r="I149" s="4">
        <f t="shared" si="66"/>
        <v>-3.0000776925015593</v>
      </c>
      <c r="J149" s="4">
        <f t="shared" si="67"/>
        <v>3.0215125133447072</v>
      </c>
      <c r="K149" s="4">
        <f t="shared" si="68"/>
        <v>-2.9783321056761536</v>
      </c>
      <c r="L149" s="4">
        <f t="shared" si="69"/>
        <v>-2.9783321056761536</v>
      </c>
      <c r="M149" s="4">
        <f t="shared" si="70"/>
        <v>-3.0215125133447072</v>
      </c>
      <c r="N149" s="4">
        <f t="shared" si="71"/>
        <v>0.85612475238775743</v>
      </c>
      <c r="O149" s="4">
        <f t="shared" si="71"/>
        <v>0.83602170863640635</v>
      </c>
      <c r="P149" s="4">
        <f t="shared" si="72"/>
        <v>-1.222789480715468E-3</v>
      </c>
      <c r="Q149" s="4">
        <f t="shared" si="73"/>
        <v>2.8794545223715961E-3</v>
      </c>
      <c r="R149" s="4">
        <f t="shared" si="74"/>
        <v>5.4815727626390275E-2</v>
      </c>
    </row>
    <row r="150" spans="1:18" x14ac:dyDescent="0.25">
      <c r="A150" t="s">
        <v>73</v>
      </c>
      <c r="B150" s="9">
        <f t="shared" si="62"/>
        <v>-2.9783321056761536</v>
      </c>
      <c r="C150">
        <f t="shared" si="62"/>
        <v>-3.0215125133447072</v>
      </c>
      <c r="D150" s="9">
        <f t="shared" si="61"/>
        <v>-2.9783321056761536</v>
      </c>
      <c r="E150">
        <f t="shared" si="61"/>
        <v>-3.0215125133447072</v>
      </c>
      <c r="F150" s="4">
        <f t="shared" si="63"/>
        <v>0.83602170863640635</v>
      </c>
      <c r="G150" s="4">
        <f t="shared" si="64"/>
        <v>0.83602170863640635</v>
      </c>
      <c r="H150" s="4" t="str">
        <f t="shared" si="65"/>
        <v>V</v>
      </c>
      <c r="I150" s="4">
        <f t="shared" si="66"/>
        <v>0</v>
      </c>
      <c r="J150" s="4">
        <f t="shared" si="67"/>
        <v>-2.9783321056761536</v>
      </c>
      <c r="K150" s="4">
        <f t="shared" si="68"/>
        <v>-3.0215125133447072</v>
      </c>
      <c r="L150" s="4">
        <f t="shared" si="69"/>
        <v>-2.9783321056761536</v>
      </c>
      <c r="M150" s="4">
        <f t="shared" si="70"/>
        <v>-3.0215125133447072</v>
      </c>
      <c r="N150" s="4">
        <f t="shared" si="71"/>
        <v>0.83602170863640635</v>
      </c>
      <c r="O150" s="4">
        <f t="shared" si="71"/>
        <v>0.83602170863640635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-2.9783321056761536</v>
      </c>
      <c r="C151">
        <f t="shared" si="62"/>
        <v>-3.0215125133447072</v>
      </c>
      <c r="D151" s="9">
        <f t="shared" si="61"/>
        <v>-2.9783321056761536</v>
      </c>
      <c r="E151">
        <f t="shared" si="61"/>
        <v>-3.0215125133447072</v>
      </c>
      <c r="F151" s="4">
        <f t="shared" si="63"/>
        <v>0.83602170863640635</v>
      </c>
      <c r="G151" s="4">
        <f t="shared" si="64"/>
        <v>0.83602170863640635</v>
      </c>
      <c r="H151" s="4" t="str">
        <f t="shared" si="65"/>
        <v>V</v>
      </c>
      <c r="I151" s="4">
        <f t="shared" si="66"/>
        <v>0</v>
      </c>
      <c r="J151" s="4">
        <f t="shared" si="67"/>
        <v>-2.9783321056761536</v>
      </c>
      <c r="K151" s="4">
        <f t="shared" si="68"/>
        <v>-3.0215125133447072</v>
      </c>
      <c r="L151" s="4">
        <f t="shared" si="69"/>
        <v>-2.9783321056761536</v>
      </c>
      <c r="M151" s="4">
        <f t="shared" si="70"/>
        <v>-3.0215125133447072</v>
      </c>
      <c r="N151" s="4">
        <f t="shared" si="71"/>
        <v>0.83602170863640635</v>
      </c>
      <c r="O151" s="4">
        <f t="shared" si="71"/>
        <v>0.83602170863640635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-2.9783321056761536</v>
      </c>
      <c r="C152">
        <f t="shared" si="62"/>
        <v>-3.0215125133447072</v>
      </c>
      <c r="D152" s="9">
        <f t="shared" si="61"/>
        <v>-2.9783321056761536</v>
      </c>
      <c r="E152">
        <f t="shared" si="61"/>
        <v>-3.0215125133447072</v>
      </c>
      <c r="F152" s="4">
        <f t="shared" si="63"/>
        <v>0.83602170863640635</v>
      </c>
      <c r="G152" s="4">
        <f t="shared" si="64"/>
        <v>0.83602170863640635</v>
      </c>
      <c r="H152" s="4" t="str">
        <f t="shared" si="65"/>
        <v>V</v>
      </c>
      <c r="I152" s="4">
        <f t="shared" si="66"/>
        <v>0</v>
      </c>
      <c r="J152" s="4">
        <f t="shared" si="67"/>
        <v>-2.9783321056761536</v>
      </c>
      <c r="K152" s="4">
        <f t="shared" si="68"/>
        <v>-3.0215125133447072</v>
      </c>
      <c r="L152" s="4">
        <f t="shared" si="69"/>
        <v>-2.9783321056761536</v>
      </c>
      <c r="M152" s="4">
        <f t="shared" si="70"/>
        <v>-3.0215125133447072</v>
      </c>
      <c r="N152" s="4">
        <f t="shared" si="71"/>
        <v>0.83602170863640635</v>
      </c>
      <c r="O152" s="4">
        <f t="shared" si="71"/>
        <v>0.83602170863640635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-2.9783321056761536</v>
      </c>
      <c r="C153">
        <f t="shared" si="62"/>
        <v>-3.0215125133447072</v>
      </c>
      <c r="D153" s="9">
        <f t="shared" si="61"/>
        <v>-2.9783321056761536</v>
      </c>
      <c r="E153">
        <f t="shared" si="61"/>
        <v>-3.0215125133447072</v>
      </c>
      <c r="F153" s="4">
        <f t="shared" si="63"/>
        <v>0.83602170863640635</v>
      </c>
      <c r="G153" s="4">
        <f t="shared" si="64"/>
        <v>0.83602170863640635</v>
      </c>
      <c r="H153" s="4" t="str">
        <f t="shared" si="65"/>
        <v>V</v>
      </c>
      <c r="I153" s="4">
        <f t="shared" si="66"/>
        <v>0</v>
      </c>
      <c r="J153" s="4">
        <f t="shared" si="67"/>
        <v>-2.9783321056761536</v>
      </c>
      <c r="K153" s="4">
        <f t="shared" si="68"/>
        <v>-3.0215125133447072</v>
      </c>
      <c r="L153" s="4">
        <f t="shared" si="69"/>
        <v>-2.9783321056761536</v>
      </c>
      <c r="M153" s="4">
        <f t="shared" si="70"/>
        <v>-3.0215125133447072</v>
      </c>
      <c r="N153" s="4">
        <f t="shared" si="71"/>
        <v>0.83602170863640635</v>
      </c>
      <c r="O153" s="4">
        <f t="shared" si="71"/>
        <v>0.83602170863640635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-80.737747057637449</v>
      </c>
      <c r="Q154" s="4">
        <f t="shared" ref="Q154:R154" si="75">SUM(Q146:Q153)</f>
        <v>-50.280412862499517</v>
      </c>
      <c r="R154" s="4">
        <f t="shared" si="75"/>
        <v>6.6266436782314031E-15</v>
      </c>
    </row>
    <row r="156" spans="1:18" x14ac:dyDescent="0.25">
      <c r="O156" t="s">
        <v>96</v>
      </c>
      <c r="P156" s="1">
        <f>-1*R154/P154</f>
        <v>8.2076152973413324E-17</v>
      </c>
    </row>
    <row r="157" spans="1:18" x14ac:dyDescent="0.25">
      <c r="O157" t="s">
        <v>97</v>
      </c>
      <c r="P157" s="1">
        <f>Q154/P154</f>
        <v>0.62276214899339577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10.000000224128407</v>
      </c>
      <c r="C159" t="s">
        <v>36</v>
      </c>
    </row>
    <row r="160" spans="1:18" x14ac:dyDescent="0.25">
      <c r="A160" s="1" t="s">
        <v>106</v>
      </c>
      <c r="B160" s="4">
        <f>Q140+I122+Q154-O122</f>
        <v>3253.7937577114503</v>
      </c>
      <c r="C160" t="s">
        <v>102</v>
      </c>
    </row>
    <row r="161" spans="1:9" x14ac:dyDescent="0.25">
      <c r="A161" s="1" t="s">
        <v>107</v>
      </c>
      <c r="B161" s="4">
        <f>R140+J122+R154-P122</f>
        <v>-98.585864507587985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10.000000224128407</v>
      </c>
      <c r="C164" t="s">
        <v>36</v>
      </c>
      <c r="E164" s="8">
        <f>B2-B164</f>
        <v>-2.241284065007676E-7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3252.9999984648193</v>
      </c>
      <c r="C165" t="s">
        <v>102</v>
      </c>
      <c r="E165" s="8">
        <f>B3+B165</f>
        <v>-1.5351806723629124E-6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-122.00000160079122</v>
      </c>
      <c r="C166" t="s">
        <v>102</v>
      </c>
      <c r="E166" s="8">
        <f>B4+B166</f>
        <v>-1.6007912222448795E-6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-717.42746478710887</v>
      </c>
      <c r="C169" s="3">
        <f ca="1">A169+B169</f>
        <v>-711.9024647871089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-1.0674574613496683E-10</v>
      </c>
      <c r="C175" s="27">
        <f>B65*SQRT(I175)</f>
        <v>1.7602264521381644E-7</v>
      </c>
      <c r="D175" s="27">
        <f>B66*SQRT(I175)</f>
        <v>8.1948993282407074E-8</v>
      </c>
      <c r="E175" s="27">
        <f>B67*SQRT(I175)</f>
        <v>2.7920389854759944E-6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-7.196796843018825E-3</v>
      </c>
      <c r="C176" s="3">
        <f>B65+C175</f>
        <v>11.867444495379756</v>
      </c>
      <c r="D176" s="3">
        <f>D175+B66</f>
        <v>5.5250000819489937</v>
      </c>
      <c r="E176" s="3">
        <f>B67+E175</f>
        <v>188.23923279203154</v>
      </c>
      <c r="F176" s="16" t="s">
        <v>125</v>
      </c>
    </row>
    <row r="177" spans="1:13" x14ac:dyDescent="0.25">
      <c r="B177" s="27">
        <f>B176-B64</f>
        <v>-1.0674574592306474E-10</v>
      </c>
      <c r="C177" s="27">
        <f>C176-B65</f>
        <v>1.7602264534843926E-7</v>
      </c>
      <c r="D177" s="27">
        <f>D176-B66</f>
        <v>8.1948993368996526E-8</v>
      </c>
      <c r="E177" s="27">
        <f>E176-B67</f>
        <v>2.7920389982227789E-6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-66.216168527026809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6.9494389778208676</v>
      </c>
      <c r="B181" s="25">
        <f>(d_alpha_p!E136-d_alpha_m!E136)/(2*B177)</f>
        <v>6.9494389778208676</v>
      </c>
      <c r="C181" s="25">
        <f>(d_alpha_p!E137-d_alpha_m!E137)/(2*B177)</f>
        <v>6.9494389778208676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2.241284065007676E-7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1.5351806723629124E-6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1.6007912222448795E-6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711.9024647871089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-66.216168527026809</v>
      </c>
      <c r="B190" s="25">
        <f>A181</f>
        <v>6.9494389778208676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6.9494389778208676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6.9494389778208676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-66.216168527026809</v>
      </c>
      <c r="B201" s="25">
        <f t="shared" ref="B201:C201" si="77">B190</f>
        <v>6.9494389778208676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6.9494389778208676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6.9494389778208676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40" workbookViewId="0">
      <selection activeCell="M63" sqref="M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</v>
      </c>
      <c r="C2" t="s">
        <v>36</v>
      </c>
      <c r="D2" t="s">
        <v>103</v>
      </c>
      <c r="H2" t="s">
        <v>110</v>
      </c>
      <c r="I2">
        <f>B2/D22</f>
        <v>5.1020408163265307E-2</v>
      </c>
      <c r="J2" t="s">
        <v>11</v>
      </c>
    </row>
    <row r="3" spans="1:29" x14ac:dyDescent="0.25">
      <c r="A3" s="10" t="s">
        <v>79</v>
      </c>
      <c r="B3" s="17">
        <f>'Rigid Bearing Plate Analysis'!B3</f>
        <v>-3253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-7.1129737609329435</v>
      </c>
      <c r="J3" t="s">
        <v>11</v>
      </c>
    </row>
    <row r="4" spans="1:29" x14ac:dyDescent="0.25">
      <c r="A4" s="10" t="s">
        <v>80</v>
      </c>
      <c r="B4" s="17">
        <f>'Rigid Bearing Plate Analysis'!B4</f>
        <v>122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0.26676384839650141</v>
      </c>
      <c r="J4" t="s">
        <v>11</v>
      </c>
    </row>
    <row r="5" spans="1:29" x14ac:dyDescent="0.25">
      <c r="A5" s="10" t="s">
        <v>104</v>
      </c>
      <c r="B5" s="20">
        <f>ATAN2(B3,B4)</f>
        <v>3.1041063796879369</v>
      </c>
      <c r="C5" t="s">
        <v>19</v>
      </c>
      <c r="I5">
        <f>SUM(I2:I4)</f>
        <v>-6.7951895043731767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7.1129737609329435</v>
      </c>
      <c r="AB14">
        <f>$B$4/Z14</f>
        <v>0.26676384839650141</v>
      </c>
      <c r="AC14">
        <f>$I$2+AA14+AB14</f>
        <v>7.4307580174927104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-7.1129737609329435</v>
      </c>
      <c r="AB15">
        <f t="shared" ref="AB15:AB21" si="11">$B$4/Z15</f>
        <v>0.26676384839650141</v>
      </c>
      <c r="AC15">
        <f t="shared" ref="AC15:AC20" si="12">$I$2+AA15+AB15</f>
        <v>-6.7951895043731767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-7.1129737609329435</v>
      </c>
      <c r="AB16">
        <f t="shared" si="11"/>
        <v>-0.26676384839650141</v>
      </c>
      <c r="AC16">
        <f t="shared" si="12"/>
        <v>-7.3287172011661799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7.1129737609329435</v>
      </c>
      <c r="AB17">
        <f t="shared" si="11"/>
        <v>-0.26676384839650141</v>
      </c>
      <c r="AC17">
        <f t="shared" si="12"/>
        <v>6.8972303206997072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7.1129737609329435</v>
      </c>
      <c r="AB18">
        <f t="shared" si="11"/>
        <v>-0.26676384839650141</v>
      </c>
      <c r="AC18">
        <f t="shared" si="12"/>
        <v>6.8972303206997072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7.1129737609329435</v>
      </c>
      <c r="AB19">
        <f t="shared" si="11"/>
        <v>-0.26676384839650141</v>
      </c>
      <c r="AC19">
        <f t="shared" si="12"/>
        <v>6.8972303206997072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7.1129737609329435</v>
      </c>
      <c r="AB20">
        <f t="shared" si="11"/>
        <v>-0.26676384839650141</v>
      </c>
      <c r="AC20">
        <f t="shared" si="12"/>
        <v>6.8972303206997072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-0.26676384839650141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10</v>
      </c>
      <c r="D26" s="5">
        <f>((B25*C26)-(B26*C25))*0.5</f>
        <v>12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10</v>
      </c>
      <c r="D27" s="5">
        <f t="shared" ref="D27:D33" si="13">((B26*C27)-(B27*C26))*0.5</f>
        <v>-30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4</v>
      </c>
      <c r="D28" s="5">
        <f t="shared" si="13"/>
        <v>-30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4</v>
      </c>
      <c r="D29" s="5">
        <f t="shared" si="13"/>
        <v>12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4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4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4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4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-36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12.5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12.5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12.5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15" x14ac:dyDescent="0.25">
      <c r="A51" s="10" t="s">
        <v>8</v>
      </c>
      <c r="B51" s="17">
        <f>'Rigid Bearing Plate Analysis'!B51</f>
        <v>5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-6.3948846218409017E-14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-4.8316906031686813E-13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4.8738259691965924E-13</v>
      </c>
      <c r="M57" s="17" t="str">
        <f ca="1">'Rigid Bearing Plate Analysis'!M57</f>
        <v>SOLUTION IF STRAIN IGNORED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Analysis'!B64-'Rigid Bearing Plate Analysis'!B175</f>
        <v>-7.1967965227815907E-3</v>
      </c>
      <c r="C64" t="s">
        <v>19</v>
      </c>
      <c r="D64" t="s">
        <v>34</v>
      </c>
      <c r="H64" s="17">
        <f>DEGREES(B64)</f>
        <v>-0.41234606676981156</v>
      </c>
      <c r="I64" t="s">
        <v>41</v>
      </c>
    </row>
    <row r="65" spans="1:18" x14ac:dyDescent="0.25">
      <c r="A65" s="1" t="s">
        <v>40</v>
      </c>
      <c r="B65" s="17">
        <f>'Rigid Bearing Plate Analysis'!B65</f>
        <v>11.86744431935711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188.23922999999255</v>
      </c>
      <c r="C67" t="s">
        <v>36</v>
      </c>
      <c r="D67" t="s">
        <v>122</v>
      </c>
      <c r="G67" s="20">
        <f ca="1">($B$56*$B$66*$B$55*$E$122)/$B$65</f>
        <v>1.4496542061478541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-3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3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3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-3</v>
      </c>
      <c r="Q76" cm="1">
        <f t="array" ref="Q76">(-1*MAX(ABS(B84:C91)))-1</f>
        <v>-8.0501958629873371</v>
      </c>
      <c r="R76">
        <f>Q76</f>
        <v>-8.0501958629873371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-3</v>
      </c>
      <c r="Q77">
        <f>-1*Q76</f>
        <v>8.0501958629873371</v>
      </c>
      <c r="R77">
        <f>Q77</f>
        <v>8.0501958629873371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-3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-3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-3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-3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-6.9494415814161812</v>
      </c>
      <c r="C84" s="1">
        <f t="shared" ref="C84:C92" si="23">(-1*B73*SIN($B$64))+(C73*COS($B$64))</f>
        <v>-7.0501958629873371</v>
      </c>
      <c r="H84" s="1">
        <f t="shared" ref="H84:H92" si="24">H73</f>
        <v>1</v>
      </c>
      <c r="I84" s="4">
        <f>(I73*COS($B$64))+(J73*SIN($B$64))</f>
        <v>-2.9783321063212207</v>
      </c>
      <c r="J84" s="1">
        <f>(-1*I73*SIN($B$64))+(J73*COS($B$64))</f>
        <v>-3.0215125127088585</v>
      </c>
    </row>
    <row r="85" spans="1:10" x14ac:dyDescent="0.25">
      <c r="A85" s="1">
        <f t="shared" si="21"/>
        <v>2</v>
      </c>
      <c r="B85" s="4">
        <f t="shared" si="22"/>
        <v>7.0501958629873371</v>
      </c>
      <c r="C85" s="1">
        <f t="shared" si="23"/>
        <v>-6.9494415814161812</v>
      </c>
      <c r="H85" s="1">
        <f t="shared" si="24"/>
        <v>2</v>
      </c>
      <c r="I85" s="4">
        <f t="shared" ref="I85:I92" si="25">(I74*COS($B$64))+(J74*SIN($B$64))</f>
        <v>-3.0215125127088585</v>
      </c>
      <c r="J85" s="1">
        <f t="shared" ref="J85:J92" si="26">(-1*I74*SIN($B$64))+(J74*COS($B$64))</f>
        <v>2.9783321063212207</v>
      </c>
    </row>
    <row r="86" spans="1:10" x14ac:dyDescent="0.25">
      <c r="A86" s="1">
        <f t="shared" si="21"/>
        <v>3</v>
      </c>
      <c r="B86" s="4">
        <f t="shared" si="22"/>
        <v>6.9494415814161812</v>
      </c>
      <c r="C86" s="1">
        <f t="shared" si="23"/>
        <v>7.0501958629873371</v>
      </c>
      <c r="H86" s="1">
        <f t="shared" si="24"/>
        <v>3</v>
      </c>
      <c r="I86" s="4">
        <f t="shared" si="25"/>
        <v>2.9783321063212207</v>
      </c>
      <c r="J86" s="1">
        <f t="shared" si="26"/>
        <v>3.0215125127088585</v>
      </c>
    </row>
    <row r="87" spans="1:10" x14ac:dyDescent="0.25">
      <c r="A87" s="1">
        <f t="shared" si="21"/>
        <v>4</v>
      </c>
      <c r="B87" s="4">
        <f t="shared" si="22"/>
        <v>-7.0501958629873371</v>
      </c>
      <c r="C87" s="1">
        <f t="shared" si="23"/>
        <v>6.9494415814161812</v>
      </c>
      <c r="H87" s="1">
        <f t="shared" si="24"/>
        <v>4</v>
      </c>
      <c r="I87" s="4">
        <f t="shared" si="25"/>
        <v>3.0215125127088585</v>
      </c>
      <c r="J87" s="1">
        <f t="shared" si="26"/>
        <v>-2.9783321063212207</v>
      </c>
    </row>
    <row r="88" spans="1:10" x14ac:dyDescent="0.25">
      <c r="A88" s="1">
        <f t="shared" si="21"/>
        <v>5</v>
      </c>
      <c r="B88" s="4">
        <f t="shared" si="22"/>
        <v>-6.9494415814161812</v>
      </c>
      <c r="C88" s="1">
        <f t="shared" si="23"/>
        <v>-7.0501958629873371</v>
      </c>
      <c r="H88" s="1">
        <f t="shared" si="24"/>
        <v>5</v>
      </c>
      <c r="I88" s="4">
        <f t="shared" si="25"/>
        <v>-2.9783321063212207</v>
      </c>
      <c r="J88" s="1">
        <f t="shared" si="26"/>
        <v>-3.0215125127088585</v>
      </c>
    </row>
    <row r="89" spans="1:10" x14ac:dyDescent="0.25">
      <c r="A89" s="1">
        <f t="shared" si="21"/>
        <v>6</v>
      </c>
      <c r="B89" s="4">
        <f t="shared" si="22"/>
        <v>-6.9494415814161812</v>
      </c>
      <c r="C89" s="1">
        <f t="shared" si="23"/>
        <v>-7.0501958629873371</v>
      </c>
      <c r="H89" s="1">
        <f t="shared" si="24"/>
        <v>6</v>
      </c>
      <c r="I89" s="4">
        <f t="shared" si="25"/>
        <v>-2.9783321063212207</v>
      </c>
      <c r="J89" s="1">
        <f t="shared" si="26"/>
        <v>-3.0215125127088585</v>
      </c>
    </row>
    <row r="90" spans="1:10" x14ac:dyDescent="0.25">
      <c r="A90" s="1">
        <f t="shared" si="21"/>
        <v>7</v>
      </c>
      <c r="B90" s="4">
        <f t="shared" si="22"/>
        <v>-6.9494415814161812</v>
      </c>
      <c r="C90" s="1">
        <f t="shared" si="23"/>
        <v>-7.0501958629873371</v>
      </c>
      <c r="H90" s="1">
        <f t="shared" si="24"/>
        <v>7</v>
      </c>
      <c r="I90" s="4">
        <f t="shared" si="25"/>
        <v>-2.9783321063212207</v>
      </c>
      <c r="J90" s="1">
        <f t="shared" si="26"/>
        <v>-3.0215125127088585</v>
      </c>
    </row>
    <row r="91" spans="1:10" x14ac:dyDescent="0.25">
      <c r="A91" s="1">
        <f t="shared" si="21"/>
        <v>8</v>
      </c>
      <c r="B91" s="4">
        <f t="shared" si="22"/>
        <v>-6.9494415814161812</v>
      </c>
      <c r="C91" s="1">
        <f t="shared" si="23"/>
        <v>-7.0501958629873371</v>
      </c>
      <c r="H91" s="1">
        <f t="shared" si="24"/>
        <v>8</v>
      </c>
      <c r="I91" s="4">
        <f t="shared" si="25"/>
        <v>-2.9783321063212207</v>
      </c>
      <c r="J91" s="1">
        <f t="shared" si="26"/>
        <v>-3.0215125127088585</v>
      </c>
    </row>
    <row r="92" spans="1:10" x14ac:dyDescent="0.25">
      <c r="A92" s="1">
        <f t="shared" si="21"/>
        <v>9</v>
      </c>
      <c r="B92" s="4">
        <f t="shared" si="22"/>
        <v>-6.9494415814161812</v>
      </c>
      <c r="C92" s="1">
        <f t="shared" si="23"/>
        <v>-7.0501958629873371</v>
      </c>
      <c r="H92" s="1">
        <f t="shared" si="24"/>
        <v>9</v>
      </c>
      <c r="I92" s="4">
        <f t="shared" si="25"/>
        <v>-2.9783321063212207</v>
      </c>
      <c r="J92" s="1">
        <f t="shared" si="26"/>
        <v>-3.0215125127088585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5.5</v>
      </c>
      <c r="C96" s="4">
        <f t="shared" si="29"/>
        <v>-5.5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-5.4602755282555711</v>
      </c>
      <c r="C110" s="1">
        <f>(-1*B95*SIN($B$64))+(C95*COS($B$64))</f>
        <v>-5.5394396066329081</v>
      </c>
      <c r="D110" t="str">
        <f t="shared" ref="D110" si="31">D95</f>
        <v>y</v>
      </c>
      <c r="E110" s="4">
        <f t="shared" ref="E110:E121" si="32">IF($D110="y",$B$125-C110,0)</f>
        <v>0.72219115026313485</v>
      </c>
      <c r="F110" s="1">
        <f>IF($D110="y",B110,NA())</f>
        <v>-5.4602755282555711</v>
      </c>
      <c r="G110" s="1">
        <f>IF($D110="y",C110,NA())</f>
        <v>-5.5394396066329081</v>
      </c>
      <c r="H110">
        <f t="shared" ref="H110:H121" si="33">IF($E$122=0,0,-1*MAX(($B$67/$E$122)*(E110),0))</f>
        <v>-188.23922999999255</v>
      </c>
      <c r="I110">
        <f>H110*C110</f>
        <v>1042.7398461840403</v>
      </c>
      <c r="J110">
        <f>H110*B110*-1</f>
        <v>-1027.8380610266313</v>
      </c>
      <c r="K110">
        <f ca="1">H110/$B$55</f>
        <v>-310.75635021860035</v>
      </c>
      <c r="L110">
        <f ca="1">K110/$B$54</f>
        <v>-1.0715736214434494E-2</v>
      </c>
      <c r="M110">
        <f t="shared" ref="M110:M121" si="34">IFERROR(($D$66/$B$65)*(G110-$B$125),0)</f>
        <v>-8.2523244890166979E-5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5.5394396066329081</v>
      </c>
      <c r="C111" s="1">
        <f t="shared" ref="C111:C121" si="37">(-1*B96*SIN($B$64))+(C96*COS($B$64))</f>
        <v>-5.4602755282555711</v>
      </c>
      <c r="D111" t="str">
        <f t="shared" si="35"/>
        <v>y</v>
      </c>
      <c r="E111" s="4">
        <f t="shared" si="32"/>
        <v>0.64302707188579777</v>
      </c>
      <c r="F111" s="1">
        <f t="shared" ref="F111:G121" si="38">IF($D111="y",B111,NA())</f>
        <v>5.5394396066329081</v>
      </c>
      <c r="G111" s="1">
        <f t="shared" si="38"/>
        <v>-5.4602755282555711</v>
      </c>
      <c r="H111">
        <f t="shared" si="33"/>
        <v>-167.60510127662141</v>
      </c>
      <c r="I111">
        <f t="shared" ref="I111:I121" si="39">H111*C111</f>
        <v>915.17003291153242</v>
      </c>
      <c r="J111">
        <f t="shared" ref="J111:J121" si="40">H111*B111*-1</f>
        <v>928.43833628543643</v>
      </c>
      <c r="K111">
        <f ca="1">H111/$B$55</f>
        <v>-276.69232152481607</v>
      </c>
      <c r="L111">
        <f t="shared" ref="L111:L121" ca="1" si="41">K111/$B$54</f>
        <v>-9.5411145353384852E-3</v>
      </c>
      <c r="M111">
        <f t="shared" si="34"/>
        <v>-7.347733422779308E-5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-5.5394396066329081</v>
      </c>
      <c r="C112" s="1">
        <f t="shared" si="37"/>
        <v>5.4602755282555711</v>
      </c>
      <c r="D112" t="str">
        <f t="shared" si="35"/>
        <v>y</v>
      </c>
      <c r="E112" s="4">
        <f t="shared" si="32"/>
        <v>-10.277523984625343</v>
      </c>
      <c r="F112" s="1">
        <f t="shared" si="38"/>
        <v>-5.5394396066329081</v>
      </c>
      <c r="G112" s="1">
        <f t="shared" si="38"/>
        <v>5.4602755282555711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1.1743907805278129E-3</v>
      </c>
      <c r="N112">
        <f t="shared" si="42"/>
        <v>4.242397296922082</v>
      </c>
      <c r="O112">
        <f t="shared" si="43"/>
        <v>23.16465814152123</v>
      </c>
      <c r="P112">
        <f t="shared" si="44"/>
        <v>23.500503613642572</v>
      </c>
    </row>
    <row r="113" spans="1:16" x14ac:dyDescent="0.25">
      <c r="A113">
        <f t="shared" si="35"/>
        <v>4</v>
      </c>
      <c r="B113" s="1">
        <f t="shared" si="36"/>
        <v>5.4602755282555711</v>
      </c>
      <c r="C113" s="1">
        <f t="shared" si="37"/>
        <v>5.5394396066329081</v>
      </c>
      <c r="D113" t="str">
        <f t="shared" si="35"/>
        <v>y</v>
      </c>
      <c r="E113" s="4">
        <f t="shared" si="32"/>
        <v>-10.356688063002682</v>
      </c>
      <c r="F113" s="1">
        <f t="shared" si="38"/>
        <v>5.4602755282555711</v>
      </c>
      <c r="G113" s="1">
        <f t="shared" si="38"/>
        <v>5.5394396066329081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1.1834366911901871E-3</v>
      </c>
      <c r="N113">
        <f t="shared" si="42"/>
        <v>4.2750749605912466</v>
      </c>
      <c r="O113">
        <f t="shared" si="43"/>
        <v>23.681519558023769</v>
      </c>
      <c r="P113">
        <f t="shared" si="44"/>
        <v>-23.343087188774533</v>
      </c>
    </row>
    <row r="114" spans="1:16" x14ac:dyDescent="0.25">
      <c r="A114">
        <f t="shared" si="35"/>
        <v>5</v>
      </c>
      <c r="B114" s="1">
        <f t="shared" si="36"/>
        <v>-6.9494415814161812</v>
      </c>
      <c r="C114" s="1">
        <f t="shared" si="37"/>
        <v>-7.0501958629873371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-6.9494415814161812</v>
      </c>
      <c r="C115" s="1">
        <f t="shared" si="37"/>
        <v>-7.0501958629873371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-6.9494415814161812</v>
      </c>
      <c r="C116" s="1">
        <f t="shared" si="37"/>
        <v>-7.0501958629873371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-6.9494415814161812</v>
      </c>
      <c r="C117" s="1">
        <f t="shared" si="37"/>
        <v>-7.0501958629873371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-6.9494415814161812</v>
      </c>
      <c r="C118" s="1">
        <f t="shared" si="37"/>
        <v>-7.0501958629873371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-6.9494415814161812</v>
      </c>
      <c r="C119" s="1">
        <f t="shared" si="37"/>
        <v>-7.0501958629873371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-6.9494415814161812</v>
      </c>
      <c r="C120" s="1">
        <f t="shared" si="37"/>
        <v>-7.0501958629873371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-6.9494415814161812</v>
      </c>
      <c r="C121" s="1">
        <f t="shared" si="37"/>
        <v>-7.0501958629873371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0.72219115026313485</v>
      </c>
      <c r="H122">
        <f>SUM(H110:H121)</f>
        <v>-355.84433127661396</v>
      </c>
      <c r="I122">
        <f t="shared" ref="I122:J122" si="46">SUM(I110:I121)</f>
        <v>1957.9098790955727</v>
      </c>
      <c r="J122">
        <f t="shared" si="46"/>
        <v>-99.399724741194859</v>
      </c>
      <c r="L122">
        <f ca="1">MIN(L110:L121)</f>
        <v>-1.0715736214434494E-2</v>
      </c>
      <c r="M122">
        <f>MIN(M110:M121)</f>
        <v>-8.2523244890166979E-5</v>
      </c>
      <c r="N122">
        <f>SUM(N110:N121)</f>
        <v>8.5174722575133295</v>
      </c>
      <c r="O122">
        <f>SUM(O110:O121)</f>
        <v>46.846177699544995</v>
      </c>
      <c r="P122">
        <f>SUM(P110:P121)</f>
        <v>0.15741642486803897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-4.8172484563697733</v>
      </c>
      <c r="F125" s="1" t="s">
        <v>27</v>
      </c>
      <c r="G125" s="1" t="s">
        <v>28</v>
      </c>
    </row>
    <row r="126" spans="1:16" x14ac:dyDescent="0.25">
      <c r="F126" s="4">
        <f>MIN(B84:B90)-1</f>
        <v>-8.0501958629873371</v>
      </c>
      <c r="G126" s="4">
        <f>B125</f>
        <v>-4.8172484563697733</v>
      </c>
    </row>
    <row r="127" spans="1:16" x14ac:dyDescent="0.25">
      <c r="F127" s="4">
        <f>MAX(B84:B90)+1</f>
        <v>8.0501958629873371</v>
      </c>
      <c r="G127" s="4">
        <f>G126</f>
        <v>-4.8172484563697733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-6.9494415814161812</v>
      </c>
      <c r="C132" s="4">
        <f>C84</f>
        <v>-7.0501958629873371</v>
      </c>
      <c r="D132" s="4">
        <f t="shared" ref="D132:E139" si="47">B85</f>
        <v>7.0501958629873371</v>
      </c>
      <c r="E132" s="4">
        <f t="shared" si="47"/>
        <v>-6.9494415814161812</v>
      </c>
      <c r="F132" s="4">
        <f t="shared" ref="F132:F139" si="48">($B$66/$B$65)*(C132-$B$125)</f>
        <v>-1.0395696065275806</v>
      </c>
      <c r="G132" s="4">
        <f t="shared" ref="G132:G139" si="49">($B$66/$B$65)*(E132-$B$125)</f>
        <v>-0.99266250583255966</v>
      </c>
      <c r="H132" s="4">
        <f>IF(B132=D132,"V",(C132-E132)/(B132-D132))</f>
        <v>7.1969207753614641E-3</v>
      </c>
      <c r="I132" s="4">
        <f>IF(H132="V",0,(-1*B132*H132)+C132)</f>
        <v>-7.000181282492882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7.0501958629873371</v>
      </c>
      <c r="C133" s="4">
        <f t="shared" si="50"/>
        <v>-6.9494415814161812</v>
      </c>
      <c r="D133" s="4">
        <f t="shared" si="47"/>
        <v>6.9494415814161812</v>
      </c>
      <c r="E133" s="4">
        <f t="shared" si="47"/>
        <v>7.0501958629873371</v>
      </c>
      <c r="F133" s="4">
        <f t="shared" si="48"/>
        <v>-0.99266250583255966</v>
      </c>
      <c r="G133" s="4">
        <f t="shared" si="49"/>
        <v>5.5250000000000004</v>
      </c>
      <c r="H133" s="4">
        <f t="shared" ref="H133:H139" si="51">IF(B133=D133,"V",(C133-E133)/(B133-D133))</f>
        <v>-138.94831292620074</v>
      </c>
      <c r="I133" s="4">
        <f t="shared" ref="I133:I139" si="52">IF(H133="V",0,(-1*B133*H133)+C133)</f>
        <v>972.66337937995422</v>
      </c>
      <c r="J133" s="4">
        <f t="shared" ref="J133:J139" si="53">IF($F133&gt;=0,B133,IF(AND($F133&lt;0,$G133&gt;=0),IF(H133="V",B133,($B$125-I133)/H133),0))</f>
        <v>7.0348506379886073</v>
      </c>
      <c r="K133" s="4">
        <f t="shared" ref="K133:K139" si="54">IF($F133&gt;=0,C133,IF(AND($F133&lt;0,$G133&gt;=0),$B$125,0))</f>
        <v>-4.8172484563697733</v>
      </c>
      <c r="L133" s="4">
        <f t="shared" ref="L133:L139" si="55">IF($G133&gt;=0,D133,IF(AND($G133&lt;0,$F133&gt;=0),IF(H133="V",D133,($B$125-I133)/H133),0))</f>
        <v>6.9494415814161812</v>
      </c>
      <c r="M133" s="4">
        <f t="shared" ref="M133:M139" si="56">IF($G133&gt;=0,E133,IF(AND($G133&lt;0,$F133&gt;=0),$B$125,0))</f>
        <v>7.0501958629873371</v>
      </c>
      <c r="N133" s="4">
        <f t="shared" ref="N133:O139" si="57">IF(F133&lt;0,IF($I$54="Linear",0,$B$66),IF($I$54="Linear",F133,$B$66))</f>
        <v>0</v>
      </c>
      <c r="O133" s="4">
        <f t="shared" si="57"/>
        <v>5.5250000000000004</v>
      </c>
      <c r="P133" s="4">
        <f t="shared" ref="P133:P139" si="58">(1/6)*(M133-K133)*((N133*((2*J133)+L133))+(O133*(J133+(2*L133))))</f>
        <v>228.7625515888524</v>
      </c>
      <c r="Q133" s="4">
        <f t="shared" ref="Q133:Q139" si="59">((1/12)*(M133-K133)*(N133*J133*((3*K133)+M133)+N133*L133*(K133+M133)+O133*J133*(K133+M133)+O133*L133*(K133+(3*M133))))</f>
        <v>706.03244393187538</v>
      </c>
      <c r="R133" s="4">
        <f t="shared" ref="R133:R139" si="60">((-1/24)*(M133-K133)*(J133*J133*((3*N133)+O133)+2*J133*L133*(N133+O133)+L133*L133*(N133+(3*O133))))</f>
        <v>-798.14903610189208</v>
      </c>
    </row>
    <row r="134" spans="1:18" x14ac:dyDescent="0.25">
      <c r="A134" t="s">
        <v>71</v>
      </c>
      <c r="B134" s="4">
        <f t="shared" si="50"/>
        <v>6.9494415814161812</v>
      </c>
      <c r="C134" s="4">
        <f t="shared" si="50"/>
        <v>7.0501958629873371</v>
      </c>
      <c r="D134" s="4">
        <f t="shared" si="47"/>
        <v>-7.0501958629873371</v>
      </c>
      <c r="E134" s="4">
        <f t="shared" si="47"/>
        <v>6.9494415814161812</v>
      </c>
      <c r="F134" s="4">
        <f t="shared" si="48"/>
        <v>5.5250000000000004</v>
      </c>
      <c r="G134" s="4">
        <f t="shared" si="49"/>
        <v>5.47809289930498</v>
      </c>
      <c r="H134" s="4">
        <f t="shared" si="51"/>
        <v>7.1969207753614641E-3</v>
      </c>
      <c r="I134" s="4">
        <f t="shared" si="52"/>
        <v>7.000181282492882</v>
      </c>
      <c r="J134" s="4">
        <f t="shared" si="53"/>
        <v>6.9494415814161812</v>
      </c>
      <c r="K134" s="4">
        <f t="shared" si="54"/>
        <v>7.0501958629873371</v>
      </c>
      <c r="L134" s="4">
        <f t="shared" si="55"/>
        <v>-7.0501958629873371</v>
      </c>
      <c r="M134" s="4">
        <f t="shared" si="56"/>
        <v>6.9494415814161812</v>
      </c>
      <c r="N134" s="4">
        <f t="shared" si="57"/>
        <v>5.5250000000000004</v>
      </c>
      <c r="O134" s="4">
        <f t="shared" si="57"/>
        <v>5.47809289930498</v>
      </c>
      <c r="P134" s="4">
        <f t="shared" si="58"/>
        <v>2.2410638471328979E-2</v>
      </c>
      <c r="Q134" s="4">
        <f t="shared" si="59"/>
        <v>9.1717465956364708E-2</v>
      </c>
      <c r="R134" s="4">
        <f t="shared" si="60"/>
        <v>4.5270100945409073</v>
      </c>
    </row>
    <row r="135" spans="1:18" x14ac:dyDescent="0.25">
      <c r="A135" t="s">
        <v>72</v>
      </c>
      <c r="B135" s="4">
        <f t="shared" si="50"/>
        <v>-7.0501958629873371</v>
      </c>
      <c r="C135" s="4">
        <f t="shared" si="50"/>
        <v>6.9494415814161812</v>
      </c>
      <c r="D135" s="4">
        <f t="shared" si="47"/>
        <v>-6.9494415814161812</v>
      </c>
      <c r="E135" s="4">
        <f t="shared" si="47"/>
        <v>-7.0501958629873371</v>
      </c>
      <c r="F135" s="4">
        <f t="shared" si="48"/>
        <v>5.47809289930498</v>
      </c>
      <c r="G135" s="4">
        <f t="shared" si="49"/>
        <v>-1.0395696065275806</v>
      </c>
      <c r="H135" s="4">
        <f t="shared" si="51"/>
        <v>-138.94831292620074</v>
      </c>
      <c r="I135" s="4">
        <f t="shared" si="52"/>
        <v>-972.66337937995422</v>
      </c>
      <c r="J135" s="4">
        <f t="shared" si="53"/>
        <v>-7.0501958629873371</v>
      </c>
      <c r="K135" s="4">
        <f t="shared" si="54"/>
        <v>6.9494415814161812</v>
      </c>
      <c r="L135" s="4">
        <f t="shared" si="55"/>
        <v>-6.9655119269971566</v>
      </c>
      <c r="M135" s="4">
        <f t="shared" si="56"/>
        <v>-4.8172484563697733</v>
      </c>
      <c r="N135" s="4">
        <f t="shared" si="57"/>
        <v>5.47809289930498</v>
      </c>
      <c r="O135" s="4">
        <f t="shared" si="57"/>
        <v>0</v>
      </c>
      <c r="P135" s="4">
        <f t="shared" si="58"/>
        <v>226.31458816517906</v>
      </c>
      <c r="Q135" s="4">
        <f t="shared" si="59"/>
        <v>686.88631080628261</v>
      </c>
      <c r="R135" s="4">
        <f t="shared" si="60"/>
        <v>794.59330519476248</v>
      </c>
    </row>
    <row r="136" spans="1:18" x14ac:dyDescent="0.25">
      <c r="A136" t="s">
        <v>73</v>
      </c>
      <c r="B136" s="4">
        <f t="shared" si="50"/>
        <v>-6.9494415814161812</v>
      </c>
      <c r="C136" s="4">
        <f t="shared" si="50"/>
        <v>-7.0501958629873371</v>
      </c>
      <c r="D136" s="4">
        <f t="shared" si="47"/>
        <v>-6.9494415814161812</v>
      </c>
      <c r="E136" s="4">
        <f t="shared" si="47"/>
        <v>-7.0501958629873371</v>
      </c>
      <c r="F136" s="4">
        <f t="shared" si="48"/>
        <v>-1.0395696065275806</v>
      </c>
      <c r="G136" s="4">
        <f t="shared" si="49"/>
        <v>-1.0395696065275806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-6.9494415814161812</v>
      </c>
      <c r="C137" s="4">
        <f t="shared" si="50"/>
        <v>-7.0501958629873371</v>
      </c>
      <c r="D137" s="4">
        <f t="shared" si="47"/>
        <v>-6.9494415814161812</v>
      </c>
      <c r="E137" s="4">
        <f t="shared" si="47"/>
        <v>-7.0501958629873371</v>
      </c>
      <c r="F137" s="4">
        <f t="shared" si="48"/>
        <v>-1.0395696065275806</v>
      </c>
      <c r="G137" s="4">
        <f t="shared" si="49"/>
        <v>-1.0395696065275806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-6.9494415814161812</v>
      </c>
      <c r="C138" s="4">
        <f t="shared" si="50"/>
        <v>-7.0501958629873371</v>
      </c>
      <c r="D138" s="4">
        <f t="shared" si="47"/>
        <v>-6.9494415814161812</v>
      </c>
      <c r="E138" s="4">
        <f t="shared" si="47"/>
        <v>-7.0501958629873371</v>
      </c>
      <c r="F138" s="4">
        <f t="shared" si="48"/>
        <v>-1.0395696065275806</v>
      </c>
      <c r="G138" s="4">
        <f t="shared" si="49"/>
        <v>-1.0395696065275806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-6.9494415814161812</v>
      </c>
      <c r="C139" s="4">
        <f>E138</f>
        <v>-7.0501958629873371</v>
      </c>
      <c r="D139" s="4">
        <f t="shared" si="47"/>
        <v>-6.9494415814161812</v>
      </c>
      <c r="E139" s="4">
        <f t="shared" si="47"/>
        <v>-7.0501958629873371</v>
      </c>
      <c r="F139" s="4">
        <f t="shared" si="48"/>
        <v>-1.0395696065275806</v>
      </c>
      <c r="G139" s="4">
        <f t="shared" si="49"/>
        <v>-1.0395696065275806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455.09955039250281</v>
      </c>
      <c r="Q140" s="4">
        <f>SUM(Q132:Q139)</f>
        <v>1393.0104722041142</v>
      </c>
      <c r="R140" s="4">
        <f>SUM(R132:R139)</f>
        <v>0.97127918741125541</v>
      </c>
    </row>
    <row r="142" spans="1:18" x14ac:dyDescent="0.25">
      <c r="O142" t="s">
        <v>96</v>
      </c>
      <c r="P142" s="1">
        <f>-1*R140/P140</f>
        <v>-2.1342125839798587E-3</v>
      </c>
    </row>
    <row r="143" spans="1:18" x14ac:dyDescent="0.25">
      <c r="O143" t="s">
        <v>97</v>
      </c>
      <c r="P143" s="1">
        <f>Q140/P140</f>
        <v>3.0608917785190197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-2.9783321063212207</v>
      </c>
      <c r="C146" s="9">
        <f>J84</f>
        <v>-3.0215125127088585</v>
      </c>
      <c r="D146" s="9">
        <f t="shared" ref="D146:E153" si="61">I85</f>
        <v>-3.0215125127088585</v>
      </c>
      <c r="E146">
        <f t="shared" si="61"/>
        <v>2.9783321063212207</v>
      </c>
      <c r="F146" s="4">
        <f>($B$66/$B$65)*(C146-$B$125)</f>
        <v>0.83602170962315703</v>
      </c>
      <c r="G146" s="4">
        <f>($B$66/$B$65)*(E146-$B$125)</f>
        <v>3.6293056406942541</v>
      </c>
      <c r="H146" s="4">
        <f>IF(B146=D146,"V",(C146-E146)/(B146-D146))</f>
        <v>-138.94831292620236</v>
      </c>
      <c r="I146" s="4">
        <f>IF(H146="V",0,(-1*B146*H146)+C146)</f>
        <v>-416.85573401998522</v>
      </c>
      <c r="J146" s="4">
        <f>IF($F146&gt;=0,B146,IF(AND($F146&lt;0,$G146&gt;=0),IF(H146="V",B146,($B$125-I146)/H146),0))</f>
        <v>-2.9783321063212207</v>
      </c>
      <c r="K146" s="4">
        <f>IF($F146&gt;=0,C146,IF(AND($F146&lt;0,$G146&gt;=0),$B$125,0))</f>
        <v>-3.0215125127088585</v>
      </c>
      <c r="L146" s="4">
        <f>IF($G146&gt;=0,D146,IF(AND($G146&lt;0,$F146&gt;=0),IF(H146="V",D146,($B$125-I146)/H146),0))</f>
        <v>-3.0215125127088585</v>
      </c>
      <c r="M146" s="4">
        <f>IF($G146&gt;=0,E146,IF(AND($G146&lt;0,$F146&gt;=0),$B$125,0))</f>
        <v>2.9783321063212207</v>
      </c>
      <c r="N146" s="4">
        <f>IF(F146&lt;0,IF($I$54="Linear",0,$B$66),IF($I$54="Linear",F146,$B$66))</f>
        <v>0.83602170962315703</v>
      </c>
      <c r="O146" s="4">
        <f>IF(G146&lt;0,IF($I$54="Linear",0,$B$66),IF($I$54="Linear",G146,$B$66))</f>
        <v>3.6293056406942541</v>
      </c>
      <c r="P146" s="4">
        <f>(1/6)*(M146-K146)*((N146*((2*J146)+L146))+(O146*(J146+(2*L146))))</f>
        <v>-40.246170704999585</v>
      </c>
      <c r="Q146" s="4">
        <f>((1/12)*(M146-K146)*(N146*J146*((3*K146)+M146)+N146*L146*(K146+M146)+O146*J146*(K146+M146)+O146*L146*(K146+(3*M146))))</f>
        <v>-24.557886317466583</v>
      </c>
      <c r="R146" s="4">
        <f>((-1/24)*(M146-K146)*(J146*J146*((3*N146)+O146)+2*J146*L146*(N146+O146)+L146*L146*(N146+(3*O146))))</f>
        <v>-60.459190051365304</v>
      </c>
    </row>
    <row r="147" spans="1:18" x14ac:dyDescent="0.25">
      <c r="A147" t="s">
        <v>70</v>
      </c>
      <c r="B147" s="9">
        <f t="shared" ref="B147:C153" si="62">D146</f>
        <v>-3.0215125127088585</v>
      </c>
      <c r="C147">
        <f t="shared" si="62"/>
        <v>2.9783321063212207</v>
      </c>
      <c r="D147" s="9">
        <f t="shared" si="61"/>
        <v>2.9783321063212207</v>
      </c>
      <c r="E147">
        <f t="shared" si="61"/>
        <v>3.0215125127088585</v>
      </c>
      <c r="F147" s="4">
        <f t="shared" ref="F147:F153" si="63">($B$66/$B$65)*(C147-$B$125)</f>
        <v>3.6293056406942541</v>
      </c>
      <c r="G147" s="4">
        <f t="shared" ref="G147:G153" si="64">($B$66/$B$65)*(E147-$B$125)</f>
        <v>3.6494086838492628</v>
      </c>
      <c r="H147" s="4">
        <f t="shared" ref="H147:H153" si="65">IF(B147=D147,"V",(C147-E147)/(B147-D147))</f>
        <v>7.19692077536138E-3</v>
      </c>
      <c r="I147" s="4">
        <f t="shared" ref="I147:I153" si="66">IF(H147="V",0,(-1*B147*H147)+C147)</f>
        <v>3.0000776924969497</v>
      </c>
      <c r="J147" s="4">
        <f t="shared" ref="J147:J153" si="67">IF($F147&gt;=0,B147,IF(AND($F147&lt;0,$G147&gt;=0),IF(H147="V",B147,($B$125-I147)/H147),0))</f>
        <v>-3.0215125127088585</v>
      </c>
      <c r="K147" s="4">
        <f t="shared" ref="K147:K153" si="68">IF($F147&gt;=0,C147,IF(AND($F147&lt;0,$G147&gt;=0),$B$125,0))</f>
        <v>2.9783321063212207</v>
      </c>
      <c r="L147" s="4">
        <f t="shared" ref="L147:L153" si="69">IF($G147&gt;=0,D147,IF(AND($G147&lt;0,$F147&gt;=0),IF(H147="V",D147,($B$125-I147)/H147),0))</f>
        <v>2.9783321063212207</v>
      </c>
      <c r="M147" s="4">
        <f t="shared" ref="M147:M153" si="70">IF($G147&gt;=0,E147,IF(AND($G147&lt;0,$F147&gt;=0),$B$125,0))</f>
        <v>3.0215125127088585</v>
      </c>
      <c r="N147" s="4">
        <f t="shared" ref="N147:O153" si="71">IF(F147&lt;0,IF($I$54="Linear",0,$B$66),IF($I$54="Linear",F147,$B$66))</f>
        <v>3.6293056406942541</v>
      </c>
      <c r="O147" s="4">
        <f t="shared" si="71"/>
        <v>3.6494086838492628</v>
      </c>
      <c r="P147" s="4">
        <f t="shared" ref="P147:P153" si="72">(1/6)*(M147-K147)*((N147*((2*J147)+L147))+(O147*(J147+(2*L147))))</f>
        <v>-2.9588595950588341E-3</v>
      </c>
      <c r="Q147" s="4">
        <f t="shared" ref="Q147:Q153" si="73">((1/12)*(M147-K147)*(N147*J147*((3*K147)+M147)+N147*L147*(K147+M147)+O147*J147*(K147+M147)+O147*L147*(K147+(3*M147))))</f>
        <v>-5.4836270720164887E-3</v>
      </c>
      <c r="R147" s="4">
        <f t="shared" ref="R147:R153" si="74">((-1/24)*(M147-K147)*(J147*J147*((3*N147)+O147)+2*J147*L147*(N147+O147)+L147*L147*(N147+(3*O147))))</f>
        <v>-0.23573842899359509</v>
      </c>
    </row>
    <row r="148" spans="1:18" x14ac:dyDescent="0.25">
      <c r="A148" t="s">
        <v>71</v>
      </c>
      <c r="B148" s="9">
        <f t="shared" si="62"/>
        <v>2.9783321063212207</v>
      </c>
      <c r="C148">
        <f t="shared" si="62"/>
        <v>3.0215125127088585</v>
      </c>
      <c r="D148" s="9">
        <f t="shared" si="61"/>
        <v>3.0215125127088585</v>
      </c>
      <c r="E148">
        <f t="shared" si="61"/>
        <v>-2.9783321063212207</v>
      </c>
      <c r="F148" s="4">
        <f t="shared" si="63"/>
        <v>3.6494086838492628</v>
      </c>
      <c r="G148" s="4">
        <f t="shared" si="64"/>
        <v>0.8561247527781658</v>
      </c>
      <c r="H148" s="4">
        <f t="shared" si="65"/>
        <v>-138.94831292620236</v>
      </c>
      <c r="I148" s="4">
        <f t="shared" si="66"/>
        <v>416.85573401998522</v>
      </c>
      <c r="J148" s="4">
        <f t="shared" si="67"/>
        <v>2.9783321063212207</v>
      </c>
      <c r="K148" s="4">
        <f t="shared" si="68"/>
        <v>3.0215125127088585</v>
      </c>
      <c r="L148" s="4">
        <f t="shared" si="69"/>
        <v>3.0215125127088585</v>
      </c>
      <c r="M148" s="4">
        <f t="shared" si="70"/>
        <v>-2.9783321063212207</v>
      </c>
      <c r="N148" s="4">
        <f t="shared" si="71"/>
        <v>3.6494086838492628</v>
      </c>
      <c r="O148" s="4">
        <f t="shared" si="71"/>
        <v>0.8561247527781658</v>
      </c>
      <c r="P148" s="4">
        <f t="shared" si="72"/>
        <v>-40.487394728500099</v>
      </c>
      <c r="Q148" s="4">
        <f t="shared" si="73"/>
        <v>-25.719922372313736</v>
      </c>
      <c r="R148" s="4">
        <f t="shared" si="74"/>
        <v>60.64011275431487</v>
      </c>
    </row>
    <row r="149" spans="1:18" x14ac:dyDescent="0.25">
      <c r="A149" t="s">
        <v>72</v>
      </c>
      <c r="B149" s="9">
        <f t="shared" si="62"/>
        <v>3.0215125127088585</v>
      </c>
      <c r="C149">
        <f t="shared" si="62"/>
        <v>-2.9783321063212207</v>
      </c>
      <c r="D149" s="9">
        <f t="shared" si="61"/>
        <v>-2.9783321063212207</v>
      </c>
      <c r="E149">
        <f t="shared" si="61"/>
        <v>-3.0215125127088585</v>
      </c>
      <c r="F149" s="4">
        <f t="shared" si="63"/>
        <v>0.8561247527781658</v>
      </c>
      <c r="G149" s="4">
        <f t="shared" si="64"/>
        <v>0.83602170962315703</v>
      </c>
      <c r="H149" s="4">
        <f t="shared" si="65"/>
        <v>7.19692077536138E-3</v>
      </c>
      <c r="I149" s="4">
        <f t="shared" si="66"/>
        <v>-3.0000776924969497</v>
      </c>
      <c r="J149" s="4">
        <f t="shared" si="67"/>
        <v>3.0215125127088585</v>
      </c>
      <c r="K149" s="4">
        <f t="shared" si="68"/>
        <v>-2.9783321063212207</v>
      </c>
      <c r="L149" s="4">
        <f t="shared" si="69"/>
        <v>-2.9783321063212207</v>
      </c>
      <c r="M149" s="4">
        <f t="shared" si="70"/>
        <v>-3.0215125127088585</v>
      </c>
      <c r="N149" s="4">
        <f t="shared" si="71"/>
        <v>0.8561247527781658</v>
      </c>
      <c r="O149" s="4">
        <f t="shared" si="71"/>
        <v>0.83602170962315703</v>
      </c>
      <c r="P149" s="4">
        <f t="shared" si="72"/>
        <v>-1.2227894088117359E-3</v>
      </c>
      <c r="Q149" s="4">
        <f t="shared" si="73"/>
        <v>2.8794543528319894E-3</v>
      </c>
      <c r="R149" s="4">
        <f t="shared" si="74"/>
        <v>5.4815726044032662E-2</v>
      </c>
    </row>
    <row r="150" spans="1:18" x14ac:dyDescent="0.25">
      <c r="A150" t="s">
        <v>73</v>
      </c>
      <c r="B150" s="9">
        <f t="shared" si="62"/>
        <v>-2.9783321063212207</v>
      </c>
      <c r="C150">
        <f t="shared" si="62"/>
        <v>-3.0215125127088585</v>
      </c>
      <c r="D150" s="9">
        <f t="shared" si="61"/>
        <v>-2.9783321063212207</v>
      </c>
      <c r="E150">
        <f t="shared" si="61"/>
        <v>-3.0215125127088585</v>
      </c>
      <c r="F150" s="4">
        <f t="shared" si="63"/>
        <v>0.83602170962315703</v>
      </c>
      <c r="G150" s="4">
        <f t="shared" si="64"/>
        <v>0.83602170962315703</v>
      </c>
      <c r="H150" s="4" t="str">
        <f t="shared" si="65"/>
        <v>V</v>
      </c>
      <c r="I150" s="4">
        <f t="shared" si="66"/>
        <v>0</v>
      </c>
      <c r="J150" s="4">
        <f t="shared" si="67"/>
        <v>-2.9783321063212207</v>
      </c>
      <c r="K150" s="4">
        <f t="shared" si="68"/>
        <v>-3.0215125127088585</v>
      </c>
      <c r="L150" s="4">
        <f t="shared" si="69"/>
        <v>-2.9783321063212207</v>
      </c>
      <c r="M150" s="4">
        <f t="shared" si="70"/>
        <v>-3.0215125127088585</v>
      </c>
      <c r="N150" s="4">
        <f t="shared" si="71"/>
        <v>0.83602170962315703</v>
      </c>
      <c r="O150" s="4">
        <f t="shared" si="71"/>
        <v>0.83602170962315703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-2.9783321063212207</v>
      </c>
      <c r="C151">
        <f t="shared" si="62"/>
        <v>-3.0215125127088585</v>
      </c>
      <c r="D151" s="9">
        <f t="shared" si="61"/>
        <v>-2.9783321063212207</v>
      </c>
      <c r="E151">
        <f t="shared" si="61"/>
        <v>-3.0215125127088585</v>
      </c>
      <c r="F151" s="4">
        <f t="shared" si="63"/>
        <v>0.83602170962315703</v>
      </c>
      <c r="G151" s="4">
        <f t="shared" si="64"/>
        <v>0.83602170962315703</v>
      </c>
      <c r="H151" s="4" t="str">
        <f t="shared" si="65"/>
        <v>V</v>
      </c>
      <c r="I151" s="4">
        <f t="shared" si="66"/>
        <v>0</v>
      </c>
      <c r="J151" s="4">
        <f t="shared" si="67"/>
        <v>-2.9783321063212207</v>
      </c>
      <c r="K151" s="4">
        <f t="shared" si="68"/>
        <v>-3.0215125127088585</v>
      </c>
      <c r="L151" s="4">
        <f t="shared" si="69"/>
        <v>-2.9783321063212207</v>
      </c>
      <c r="M151" s="4">
        <f t="shared" si="70"/>
        <v>-3.0215125127088585</v>
      </c>
      <c r="N151" s="4">
        <f t="shared" si="71"/>
        <v>0.83602170962315703</v>
      </c>
      <c r="O151" s="4">
        <f t="shared" si="71"/>
        <v>0.83602170962315703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-2.9783321063212207</v>
      </c>
      <c r="C152">
        <f t="shared" si="62"/>
        <v>-3.0215125127088585</v>
      </c>
      <c r="D152" s="9">
        <f t="shared" si="61"/>
        <v>-2.9783321063212207</v>
      </c>
      <c r="E152">
        <f t="shared" si="61"/>
        <v>-3.0215125127088585</v>
      </c>
      <c r="F152" s="4">
        <f t="shared" si="63"/>
        <v>0.83602170962315703</v>
      </c>
      <c r="G152" s="4">
        <f t="shared" si="64"/>
        <v>0.83602170962315703</v>
      </c>
      <c r="H152" s="4" t="str">
        <f t="shared" si="65"/>
        <v>V</v>
      </c>
      <c r="I152" s="4">
        <f t="shared" si="66"/>
        <v>0</v>
      </c>
      <c r="J152" s="4">
        <f t="shared" si="67"/>
        <v>-2.9783321063212207</v>
      </c>
      <c r="K152" s="4">
        <f t="shared" si="68"/>
        <v>-3.0215125127088585</v>
      </c>
      <c r="L152" s="4">
        <f t="shared" si="69"/>
        <v>-2.9783321063212207</v>
      </c>
      <c r="M152" s="4">
        <f t="shared" si="70"/>
        <v>-3.0215125127088585</v>
      </c>
      <c r="N152" s="4">
        <f t="shared" si="71"/>
        <v>0.83602170962315703</v>
      </c>
      <c r="O152" s="4">
        <f t="shared" si="71"/>
        <v>0.83602170962315703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-2.9783321063212207</v>
      </c>
      <c r="C153">
        <f t="shared" si="62"/>
        <v>-3.0215125127088585</v>
      </c>
      <c r="D153" s="9">
        <f t="shared" si="61"/>
        <v>-2.9783321063212207</v>
      </c>
      <c r="E153">
        <f t="shared" si="61"/>
        <v>-3.0215125127088585</v>
      </c>
      <c r="F153" s="4">
        <f t="shared" si="63"/>
        <v>0.83602170962315703</v>
      </c>
      <c r="G153" s="4">
        <f t="shared" si="64"/>
        <v>0.83602170962315703</v>
      </c>
      <c r="H153" s="4" t="str">
        <f t="shared" si="65"/>
        <v>V</v>
      </c>
      <c r="I153" s="4">
        <f t="shared" si="66"/>
        <v>0</v>
      </c>
      <c r="J153" s="4">
        <f t="shared" si="67"/>
        <v>-2.9783321063212207</v>
      </c>
      <c r="K153" s="4">
        <f t="shared" si="68"/>
        <v>-3.0215125127088585</v>
      </c>
      <c r="L153" s="4">
        <f t="shared" si="69"/>
        <v>-2.9783321063212207</v>
      </c>
      <c r="M153" s="4">
        <f t="shared" si="70"/>
        <v>-3.0215125127088585</v>
      </c>
      <c r="N153" s="4">
        <f t="shared" si="71"/>
        <v>0.83602170962315703</v>
      </c>
      <c r="O153" s="4">
        <f t="shared" si="71"/>
        <v>0.83602170962315703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-80.73774708250356</v>
      </c>
      <c r="Q154" s="4">
        <f t="shared" ref="Q154:R154" si="75">SUM(Q146:Q153)</f>
        <v>-50.28041286249951</v>
      </c>
      <c r="R154" s="4">
        <f t="shared" si="75"/>
        <v>6.3699046037868357E-15</v>
      </c>
    </row>
    <row r="156" spans="1:18" x14ac:dyDescent="0.25">
      <c r="O156" t="s">
        <v>96</v>
      </c>
      <c r="P156" s="1">
        <f>-1*R154/P154</f>
        <v>7.8896239168992608E-17</v>
      </c>
    </row>
    <row r="157" spans="1:18" x14ac:dyDescent="0.25">
      <c r="O157" t="s">
        <v>97</v>
      </c>
      <c r="P157" s="1">
        <f>Q154/P154</f>
        <v>0.62276214880159353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9.9999997758719594</v>
      </c>
      <c r="C159" t="s">
        <v>36</v>
      </c>
    </row>
    <row r="160" spans="1:18" x14ac:dyDescent="0.25">
      <c r="A160" s="1" t="s">
        <v>106</v>
      </c>
      <c r="B160" s="4">
        <f>Q140+I122+Q154-O122</f>
        <v>3253.7937607376425</v>
      </c>
      <c r="C160" t="s">
        <v>102</v>
      </c>
    </row>
    <row r="161" spans="1:9" x14ac:dyDescent="0.25">
      <c r="A161" s="1" t="s">
        <v>107</v>
      </c>
      <c r="B161" s="4">
        <f>R140+J122+R154-P122</f>
        <v>-98.58586197865165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9.9999997758719594</v>
      </c>
      <c r="C164" t="s">
        <v>36</v>
      </c>
      <c r="E164" s="8">
        <f>B2-B164</f>
        <v>2.2412804057125868E-7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3253.0000015351793</v>
      </c>
      <c r="C165" t="s">
        <v>102</v>
      </c>
      <c r="E165" s="8">
        <f>B3+B165</f>
        <v>1.5351793081208598E-6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-121.99999839921126</v>
      </c>
      <c r="C166" t="s">
        <v>102</v>
      </c>
      <c r="E166" s="8">
        <f>B4+B166</f>
        <v>1.6007887353453043E-6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-717.42746741900191</v>
      </c>
      <c r="C169" s="3">
        <f ca="1">A169+B169</f>
        <v>-711.90246741900194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-1.0674574296837631E-10</v>
      </c>
      <c r="C175" s="27">
        <f>B65*SQRT(I175)</f>
        <v>1.7602264521381644E-7</v>
      </c>
      <c r="D175" s="27">
        <f>B66*SQRT(I175)</f>
        <v>8.1948993282407074E-8</v>
      </c>
      <c r="E175" s="27">
        <f>B67*SQRT(I175)</f>
        <v>2.7920389854759944E-6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-7.196796629527334E-3</v>
      </c>
      <c r="C176" s="3">
        <f>B65+C175</f>
        <v>11.867444495379756</v>
      </c>
      <c r="D176" s="3">
        <f>D175+B66</f>
        <v>5.5250000819489937</v>
      </c>
      <c r="E176" s="3">
        <f>B67+E175</f>
        <v>188.23923279203154</v>
      </c>
      <c r="F176" s="16" t="s">
        <v>125</v>
      </c>
    </row>
    <row r="177" spans="1:13" x14ac:dyDescent="0.25">
      <c r="B177" s="27">
        <f>B176-B64</f>
        <v>-1.0674574332097952E-10</v>
      </c>
      <c r="C177" s="27">
        <f>C176-B65</f>
        <v>1.7602264534843926E-7</v>
      </c>
      <c r="D177" s="27">
        <f>D176-B66</f>
        <v>8.1948993368996526E-8</v>
      </c>
      <c r="E177" s="27">
        <f>E176-B67</f>
        <v>2.7920389982227789E-6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-66.216168527026809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6.9494391472237105</v>
      </c>
      <c r="B181" s="25">
        <f>(d_alpha_p!E136-d_alpha_m!E136)/(2*B177)</f>
        <v>6.9494391472237105</v>
      </c>
      <c r="C181" s="25">
        <f>(d_alpha_p!E137-d_alpha_m!E137)/(2*B177)</f>
        <v>6.9494391472237105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-2.2412804057125868E-7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-1.5351793081208598E-6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-1.6007887353453043E-6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711.90246741900194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-66.216168527026809</v>
      </c>
      <c r="B190" s="25">
        <f>A181</f>
        <v>6.9494391472237105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6.9494391472237105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6.9494391472237105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-66.216168527026809</v>
      </c>
      <c r="B201" s="25">
        <f t="shared" ref="B201:C201" si="77">B190</f>
        <v>6.9494391472237105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6.9494391472237105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6.9494391472237105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49" workbookViewId="0">
      <selection activeCell="L63" sqref="L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</v>
      </c>
      <c r="C2" t="s">
        <v>36</v>
      </c>
      <c r="D2" t="s">
        <v>103</v>
      </c>
      <c r="H2" t="s">
        <v>110</v>
      </c>
      <c r="I2">
        <f>B2/D22</f>
        <v>5.1020408163265307E-2</v>
      </c>
      <c r="J2" t="s">
        <v>11</v>
      </c>
    </row>
    <row r="3" spans="1:29" x14ac:dyDescent="0.25">
      <c r="A3" s="10" t="s">
        <v>79</v>
      </c>
      <c r="B3" s="17">
        <f>'Rigid Bearing Plate Analysis'!B3</f>
        <v>-3253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-7.1129737609329435</v>
      </c>
      <c r="J3" t="s">
        <v>11</v>
      </c>
    </row>
    <row r="4" spans="1:29" x14ac:dyDescent="0.25">
      <c r="A4" s="10" t="s">
        <v>80</v>
      </c>
      <c r="B4" s="17">
        <f>'Rigid Bearing Plate Analysis'!B4</f>
        <v>122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0.26676384839650141</v>
      </c>
      <c r="J4" t="s">
        <v>11</v>
      </c>
    </row>
    <row r="5" spans="1:29" x14ac:dyDescent="0.25">
      <c r="A5" s="10" t="s">
        <v>104</v>
      </c>
      <c r="B5" s="20">
        <f>ATAN2(B3,B4)</f>
        <v>3.1041063796879369</v>
      </c>
      <c r="C5" t="s">
        <v>19</v>
      </c>
      <c r="I5">
        <f>SUM(I2:I4)</f>
        <v>-6.7951895043731767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7.1129737609329435</v>
      </c>
      <c r="AB14">
        <f>$B$4/Z14</f>
        <v>0.26676384839650141</v>
      </c>
      <c r="AC14">
        <f>$I$2+AA14+AB14</f>
        <v>7.4307580174927104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-7.1129737609329435</v>
      </c>
      <c r="AB15">
        <f t="shared" ref="AB15:AB21" si="11">$B$4/Z15</f>
        <v>0.26676384839650141</v>
      </c>
      <c r="AC15">
        <f t="shared" ref="AC15:AC20" si="12">$I$2+AA15+AB15</f>
        <v>-6.7951895043731767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-7.1129737609329435</v>
      </c>
      <c r="AB16">
        <f t="shared" si="11"/>
        <v>-0.26676384839650141</v>
      </c>
      <c r="AC16">
        <f t="shared" si="12"/>
        <v>-7.3287172011661799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7.1129737609329435</v>
      </c>
      <c r="AB17">
        <f t="shared" si="11"/>
        <v>-0.26676384839650141</v>
      </c>
      <c r="AC17">
        <f t="shared" si="12"/>
        <v>6.8972303206997072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7.1129737609329435</v>
      </c>
      <c r="AB18">
        <f t="shared" si="11"/>
        <v>-0.26676384839650141</v>
      </c>
      <c r="AC18">
        <f t="shared" si="12"/>
        <v>6.8972303206997072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7.1129737609329435</v>
      </c>
      <c r="AB19">
        <f t="shared" si="11"/>
        <v>-0.26676384839650141</v>
      </c>
      <c r="AC19">
        <f t="shared" si="12"/>
        <v>6.8972303206997072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7.1129737609329435</v>
      </c>
      <c r="AB20">
        <f t="shared" si="11"/>
        <v>-0.26676384839650141</v>
      </c>
      <c r="AC20">
        <f t="shared" si="12"/>
        <v>6.8972303206997072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-0.26676384839650141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10</v>
      </c>
      <c r="D26" s="5">
        <f>((B25*C26)-(B26*C25))*0.5</f>
        <v>12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10</v>
      </c>
      <c r="D27" s="5">
        <f t="shared" ref="D27:D33" si="13">((B26*C27)-(B27*C26))*0.5</f>
        <v>-30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4</v>
      </c>
      <c r="D28" s="5">
        <f t="shared" si="13"/>
        <v>-30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4</v>
      </c>
      <c r="D29" s="5">
        <f t="shared" si="13"/>
        <v>12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4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4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4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4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-36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12.5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12.5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12.5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13" x14ac:dyDescent="0.25">
      <c r="A51" s="10" t="s">
        <v>8</v>
      </c>
      <c r="B51" s="17">
        <f>'Rigid Bearing Plate Analysis'!B51</f>
        <v>5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-6.3948846218409017E-14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-4.8316906031686813E-13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4.8738259691965924E-13</v>
      </c>
      <c r="M57" s="17" t="str">
        <f ca="1">'Rigid Bearing Plate Analysis'!M57</f>
        <v>SOLUTION IF STRAIN IGNORED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</row>
    <row r="61" spans="1:13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3" x14ac:dyDescent="0.25">
      <c r="A63" s="16" t="s">
        <v>38</v>
      </c>
    </row>
    <row r="64" spans="1:13" ht="15.75" thickBot="1" x14ac:dyDescent="0.3">
      <c r="A64" s="11" t="s">
        <v>39</v>
      </c>
      <c r="B64" s="17">
        <f>'Rigid Bearing Plate Analysis'!B64</f>
        <v>-7.1967966295273349E-3</v>
      </c>
      <c r="C64" t="s">
        <v>19</v>
      </c>
      <c r="D64" t="s">
        <v>34</v>
      </c>
      <c r="H64" s="17">
        <f>DEGREES(B64)</f>
        <v>-0.4123460728858922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11.867444495379756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188.23922999999255</v>
      </c>
      <c r="C67" t="s">
        <v>36</v>
      </c>
      <c r="D67" t="s">
        <v>122</v>
      </c>
      <c r="G67" s="20">
        <f ca="1">($B$56*$B$66*$B$55*$E$122)/$B$65</f>
        <v>1.449653833974814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-3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3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3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-3</v>
      </c>
      <c r="Q76" cm="1">
        <f t="array" ref="Q76">(-1*MAX(ABS(B84:C91)))-1</f>
        <v>-8.0501958637291597</v>
      </c>
      <c r="R76">
        <f>Q76</f>
        <v>-8.0501958637291597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-3</v>
      </c>
      <c r="Q77">
        <f>-1*Q76</f>
        <v>8.0501958637291597</v>
      </c>
      <c r="R77">
        <f>Q77</f>
        <v>8.0501958637291597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-3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-3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-3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-3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-6.9494415806636027</v>
      </c>
      <c r="C84" s="1">
        <f t="shared" ref="C84:C92" si="23">(-1*B73*SIN($B$64))+(C73*COS($B$64))</f>
        <v>-7.0501958637291597</v>
      </c>
      <c r="H84" s="1">
        <f t="shared" ref="H84:H92" si="24">H73</f>
        <v>1</v>
      </c>
      <c r="I84" s="4">
        <f>(I73*COS($B$64))+(J73*SIN($B$64))</f>
        <v>-2.9783321059986867</v>
      </c>
      <c r="J84" s="1">
        <f>(-1*I73*SIN($B$64))+(J73*COS($B$64))</f>
        <v>-3.0215125130267828</v>
      </c>
    </row>
    <row r="85" spans="1:10" x14ac:dyDescent="0.25">
      <c r="A85" s="1">
        <f t="shared" si="21"/>
        <v>2</v>
      </c>
      <c r="B85" s="4">
        <f t="shared" si="22"/>
        <v>7.0501958637291597</v>
      </c>
      <c r="C85" s="1">
        <f t="shared" si="23"/>
        <v>-6.9494415806636027</v>
      </c>
      <c r="H85" s="1">
        <f t="shared" si="24"/>
        <v>2</v>
      </c>
      <c r="I85" s="4">
        <f t="shared" ref="I85:I92" si="25">(I74*COS($B$64))+(J74*SIN($B$64))</f>
        <v>-3.0215125130267828</v>
      </c>
      <c r="J85" s="1">
        <f t="shared" ref="J85:J92" si="26">(-1*I74*SIN($B$64))+(J74*COS($B$64))</f>
        <v>2.9783321059986867</v>
      </c>
    </row>
    <row r="86" spans="1:10" x14ac:dyDescent="0.25">
      <c r="A86" s="1">
        <f t="shared" si="21"/>
        <v>3</v>
      </c>
      <c r="B86" s="4">
        <f t="shared" si="22"/>
        <v>6.9494415806636027</v>
      </c>
      <c r="C86" s="1">
        <f t="shared" si="23"/>
        <v>7.0501958637291597</v>
      </c>
      <c r="H86" s="1">
        <f t="shared" si="24"/>
        <v>3</v>
      </c>
      <c r="I86" s="4">
        <f t="shared" si="25"/>
        <v>2.9783321059986867</v>
      </c>
      <c r="J86" s="1">
        <f t="shared" si="26"/>
        <v>3.0215125130267828</v>
      </c>
    </row>
    <row r="87" spans="1:10" x14ac:dyDescent="0.25">
      <c r="A87" s="1">
        <f t="shared" si="21"/>
        <v>4</v>
      </c>
      <c r="B87" s="4">
        <f t="shared" si="22"/>
        <v>-7.0501958637291597</v>
      </c>
      <c r="C87" s="1">
        <f t="shared" si="23"/>
        <v>6.9494415806636027</v>
      </c>
      <c r="H87" s="1">
        <f t="shared" si="24"/>
        <v>4</v>
      </c>
      <c r="I87" s="4">
        <f t="shared" si="25"/>
        <v>3.0215125130267828</v>
      </c>
      <c r="J87" s="1">
        <f t="shared" si="26"/>
        <v>-2.9783321059986867</v>
      </c>
    </row>
    <row r="88" spans="1:10" x14ac:dyDescent="0.25">
      <c r="A88" s="1">
        <f t="shared" si="21"/>
        <v>5</v>
      </c>
      <c r="B88" s="4">
        <f t="shared" si="22"/>
        <v>-6.9494415806636027</v>
      </c>
      <c r="C88" s="1">
        <f t="shared" si="23"/>
        <v>-7.0501958637291597</v>
      </c>
      <c r="H88" s="1">
        <f t="shared" si="24"/>
        <v>5</v>
      </c>
      <c r="I88" s="4">
        <f t="shared" si="25"/>
        <v>-2.9783321059986867</v>
      </c>
      <c r="J88" s="1">
        <f t="shared" si="26"/>
        <v>-3.0215125130267828</v>
      </c>
    </row>
    <row r="89" spans="1:10" x14ac:dyDescent="0.25">
      <c r="A89" s="1">
        <f t="shared" si="21"/>
        <v>6</v>
      </c>
      <c r="B89" s="4">
        <f t="shared" si="22"/>
        <v>-6.9494415806636027</v>
      </c>
      <c r="C89" s="1">
        <f t="shared" si="23"/>
        <v>-7.0501958637291597</v>
      </c>
      <c r="H89" s="1">
        <f t="shared" si="24"/>
        <v>6</v>
      </c>
      <c r="I89" s="4">
        <f t="shared" si="25"/>
        <v>-2.9783321059986867</v>
      </c>
      <c r="J89" s="1">
        <f t="shared" si="26"/>
        <v>-3.0215125130267828</v>
      </c>
    </row>
    <row r="90" spans="1:10" x14ac:dyDescent="0.25">
      <c r="A90" s="1">
        <f t="shared" si="21"/>
        <v>7</v>
      </c>
      <c r="B90" s="4">
        <f t="shared" si="22"/>
        <v>-6.9494415806636027</v>
      </c>
      <c r="C90" s="1">
        <f t="shared" si="23"/>
        <v>-7.0501958637291597</v>
      </c>
      <c r="H90" s="1">
        <f t="shared" si="24"/>
        <v>7</v>
      </c>
      <c r="I90" s="4">
        <f t="shared" si="25"/>
        <v>-2.9783321059986867</v>
      </c>
      <c r="J90" s="1">
        <f t="shared" si="26"/>
        <v>-3.0215125130267828</v>
      </c>
    </row>
    <row r="91" spans="1:10" x14ac:dyDescent="0.25">
      <c r="A91" s="1">
        <f t="shared" si="21"/>
        <v>8</v>
      </c>
      <c r="B91" s="4">
        <f t="shared" si="22"/>
        <v>-6.9494415806636027</v>
      </c>
      <c r="C91" s="1">
        <f t="shared" si="23"/>
        <v>-7.0501958637291597</v>
      </c>
      <c r="H91" s="1">
        <f t="shared" si="24"/>
        <v>8</v>
      </c>
      <c r="I91" s="4">
        <f t="shared" si="25"/>
        <v>-2.9783321059986867</v>
      </c>
      <c r="J91" s="1">
        <f t="shared" si="26"/>
        <v>-3.0215125130267828</v>
      </c>
    </row>
    <row r="92" spans="1:10" x14ac:dyDescent="0.25">
      <c r="A92" s="1">
        <f t="shared" si="21"/>
        <v>9</v>
      </c>
      <c r="B92" s="4">
        <f t="shared" si="22"/>
        <v>-6.9494415806636027</v>
      </c>
      <c r="C92" s="1">
        <f t="shared" si="23"/>
        <v>-7.0501958637291597</v>
      </c>
      <c r="H92" s="1">
        <f t="shared" si="24"/>
        <v>9</v>
      </c>
      <c r="I92" s="4">
        <f t="shared" si="25"/>
        <v>-2.9783321059986867</v>
      </c>
      <c r="J92" s="1">
        <f t="shared" si="26"/>
        <v>-3.0215125130267828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5.5</v>
      </c>
      <c r="C96" s="4">
        <f t="shared" si="29"/>
        <v>-5.5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-5.4602755276642592</v>
      </c>
      <c r="C110" s="1">
        <f>(-1*B95*SIN($B$64))+(C95*COS($B$64))</f>
        <v>-5.5394396072157681</v>
      </c>
      <c r="D110" t="str">
        <f t="shared" ref="D110" si="31">D95</f>
        <v>y</v>
      </c>
      <c r="E110" s="4">
        <f t="shared" ref="E110:E121" si="32">IF($D110="y",$B$125-C110,0)</f>
        <v>0.72219097556517209</v>
      </c>
      <c r="F110" s="1">
        <f>IF($D110="y",B110,NA())</f>
        <v>-5.4602755276642592</v>
      </c>
      <c r="G110" s="1">
        <f>IF($D110="y",C110,NA())</f>
        <v>-5.5394396072157681</v>
      </c>
      <c r="H110">
        <f t="shared" ref="H110:H121" si="33">IF($E$122=0,0,-1*MAX(($B$67/$E$122)*(E110),0))</f>
        <v>-188.23922999999255</v>
      </c>
      <c r="I110">
        <f>H110*C110</f>
        <v>1042.7398462937574</v>
      </c>
      <c r="J110">
        <f>H110*B110*-1</f>
        <v>-1027.8380609153232</v>
      </c>
      <c r="K110">
        <f ca="1">H110/$B$55</f>
        <v>-310.75635021860035</v>
      </c>
      <c r="L110">
        <f ca="1">K110/$B$54</f>
        <v>-1.0715736214434494E-2</v>
      </c>
      <c r="M110">
        <f t="shared" ref="M110:M121" si="34">IFERROR(($D$66/$B$65)*(G110-$B$125),0)</f>
        <v>-8.2523223703785567E-5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5.5394396072157681</v>
      </c>
      <c r="C111" s="1">
        <f t="shared" ref="C111:C121" si="37">(-1*B96*SIN($B$64))+(C96*COS($B$64))</f>
        <v>-5.4602755276642592</v>
      </c>
      <c r="D111" t="str">
        <f t="shared" si="35"/>
        <v>y</v>
      </c>
      <c r="E111" s="4">
        <f t="shared" si="32"/>
        <v>0.64302689601366314</v>
      </c>
      <c r="F111" s="1">
        <f t="shared" ref="F111:G121" si="38">IF($D111="y",B111,NA())</f>
        <v>5.5394396072157681</v>
      </c>
      <c r="G111" s="1">
        <f t="shared" si="38"/>
        <v>-5.4602755276642592</v>
      </c>
      <c r="H111">
        <f t="shared" si="33"/>
        <v>-167.60509597917851</v>
      </c>
      <c r="I111">
        <f t="shared" ref="I111:I121" si="39">H111*C111</f>
        <v>915.17000388692782</v>
      </c>
      <c r="J111">
        <f t="shared" ref="J111:J121" si="40">H111*B111*-1</f>
        <v>928.43830703826177</v>
      </c>
      <c r="K111">
        <f ca="1">H111/$B$55</f>
        <v>-276.69231277948694</v>
      </c>
      <c r="L111">
        <f t="shared" ref="L111:L121" ca="1" si="41">K111/$B$54</f>
        <v>-9.5411142337754121E-3</v>
      </c>
      <c r="M111">
        <f t="shared" si="34"/>
        <v>-7.3477313041414095E-5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-5.5394396072157681</v>
      </c>
      <c r="C112" s="1">
        <f t="shared" si="37"/>
        <v>5.4602755276642592</v>
      </c>
      <c r="D112" t="str">
        <f t="shared" si="35"/>
        <v>y</v>
      </c>
      <c r="E112" s="4">
        <f t="shared" si="32"/>
        <v>-10.277524159314854</v>
      </c>
      <c r="F112" s="1">
        <f t="shared" si="38"/>
        <v>-5.5394396072157681</v>
      </c>
      <c r="G112" s="1">
        <f t="shared" si="38"/>
        <v>5.4602755276642592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1.1743907830701809E-3</v>
      </c>
      <c r="N112">
        <f t="shared" si="42"/>
        <v>4.2423973061061933</v>
      </c>
      <c r="O112">
        <f t="shared" si="43"/>
        <v>23.164658189160427</v>
      </c>
      <c r="P112">
        <f t="shared" si="44"/>
        <v>23.500503666990124</v>
      </c>
    </row>
    <row r="113" spans="1:16" x14ac:dyDescent="0.25">
      <c r="A113">
        <f t="shared" si="35"/>
        <v>4</v>
      </c>
      <c r="B113" s="1">
        <f t="shared" si="36"/>
        <v>5.4602755276642592</v>
      </c>
      <c r="C113" s="1">
        <f t="shared" si="37"/>
        <v>5.5394396072157681</v>
      </c>
      <c r="D113" t="str">
        <f t="shared" si="35"/>
        <v>y</v>
      </c>
      <c r="E113" s="4">
        <f t="shared" si="32"/>
        <v>-10.356688238866365</v>
      </c>
      <c r="F113" s="1">
        <f t="shared" si="38"/>
        <v>5.4602755276642592</v>
      </c>
      <c r="G113" s="1">
        <f t="shared" si="38"/>
        <v>5.5394396072157681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1.1834366937325527E-3</v>
      </c>
      <c r="N113">
        <f t="shared" si="42"/>
        <v>4.275074969775349</v>
      </c>
      <c r="O113">
        <f t="shared" si="43"/>
        <v>23.681519611390321</v>
      </c>
      <c r="P113">
        <f t="shared" si="44"/>
        <v>-23.343087236394361</v>
      </c>
    </row>
    <row r="114" spans="1:16" x14ac:dyDescent="0.25">
      <c r="A114">
        <f t="shared" si="35"/>
        <v>5</v>
      </c>
      <c r="B114" s="1">
        <f t="shared" si="36"/>
        <v>-6.9494415806636027</v>
      </c>
      <c r="C114" s="1">
        <f t="shared" si="37"/>
        <v>-7.0501958637291597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-6.9494415806636027</v>
      </c>
      <c r="C115" s="1">
        <f t="shared" si="37"/>
        <v>-7.0501958637291597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-6.9494415806636027</v>
      </c>
      <c r="C116" s="1">
        <f t="shared" si="37"/>
        <v>-7.0501958637291597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-6.9494415806636027</v>
      </c>
      <c r="C117" s="1">
        <f t="shared" si="37"/>
        <v>-7.0501958637291597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-6.9494415806636027</v>
      </c>
      <c r="C118" s="1">
        <f t="shared" si="37"/>
        <v>-7.0501958637291597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-6.9494415806636027</v>
      </c>
      <c r="C119" s="1">
        <f t="shared" si="37"/>
        <v>-7.0501958637291597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-6.9494415806636027</v>
      </c>
      <c r="C120" s="1">
        <f t="shared" si="37"/>
        <v>-7.0501958637291597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-6.9494415806636027</v>
      </c>
      <c r="C121" s="1">
        <f t="shared" si="37"/>
        <v>-7.0501958637291597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0.72219097556517209</v>
      </c>
      <c r="H122">
        <f>SUM(H110:H121)</f>
        <v>-355.84432597917106</v>
      </c>
      <c r="I122">
        <f t="shared" ref="I122:J122" si="46">SUM(I110:I121)</f>
        <v>1957.9098501806852</v>
      </c>
      <c r="J122">
        <f t="shared" si="46"/>
        <v>-99.399753877061471</v>
      </c>
      <c r="L122">
        <f ca="1">MIN(L110:L121)</f>
        <v>-1.0715736214434494E-2</v>
      </c>
      <c r="M122">
        <f>MIN(M110:M121)</f>
        <v>-8.2523223703785567E-5</v>
      </c>
      <c r="N122">
        <f>SUM(N110:N121)</f>
        <v>8.5174722758815413</v>
      </c>
      <c r="O122">
        <f>SUM(O110:O121)</f>
        <v>46.846177800550748</v>
      </c>
      <c r="P122">
        <f>SUM(P110:P121)</f>
        <v>0.15741643059576305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-4.817248631650596</v>
      </c>
      <c r="F125" s="1" t="s">
        <v>27</v>
      </c>
      <c r="G125" s="1" t="s">
        <v>28</v>
      </c>
    </row>
    <row r="126" spans="1:16" x14ac:dyDescent="0.25">
      <c r="F126" s="4">
        <f>MIN(B84:B90)-1</f>
        <v>-8.0501958637291597</v>
      </c>
      <c r="G126" s="4">
        <f>B125</f>
        <v>-4.817248631650596</v>
      </c>
    </row>
    <row r="127" spans="1:16" x14ac:dyDescent="0.25">
      <c r="F127" s="4">
        <f>MAX(B84:B90)+1</f>
        <v>8.0501958637291597</v>
      </c>
      <c r="G127" s="4">
        <f>G126</f>
        <v>-4.817248631650596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-6.9494415806636027</v>
      </c>
      <c r="C132" s="4">
        <f>C84</f>
        <v>-7.0501958637291597</v>
      </c>
      <c r="D132" s="4">
        <f t="shared" ref="D132:E139" si="47">B85</f>
        <v>7.0501958637291597</v>
      </c>
      <c r="E132" s="4">
        <f t="shared" si="47"/>
        <v>-6.9494415806636027</v>
      </c>
      <c r="F132" s="4">
        <f t="shared" ref="F132:F139" si="48">($B$66/$B$65)*(C132-$B$125)</f>
        <v>-1.0395695098500044</v>
      </c>
      <c r="G132" s="4">
        <f t="shared" ref="G132:G139" si="49">($B$66/$B$65)*(E132-$B$125)</f>
        <v>-0.99266240915499582</v>
      </c>
      <c r="H132" s="4">
        <f>IF(B132=D132,"V",(C132-E132)/(B132-D132))</f>
        <v>7.1969208821126901E-3</v>
      </c>
      <c r="I132" s="4">
        <f>IF(H132="V",0,(-1*B132*H132)+C132)</f>
        <v>-7.0001812824982599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7.0501958637291597</v>
      </c>
      <c r="C133" s="4">
        <f t="shared" si="50"/>
        <v>-6.9494415806636027</v>
      </c>
      <c r="D133" s="4">
        <f t="shared" si="47"/>
        <v>6.9494415806636027</v>
      </c>
      <c r="E133" s="4">
        <f t="shared" si="47"/>
        <v>7.0501958637291597</v>
      </c>
      <c r="F133" s="4">
        <f t="shared" si="48"/>
        <v>-0.99266240915499582</v>
      </c>
      <c r="G133" s="4">
        <f t="shared" si="49"/>
        <v>5.5250000000000004</v>
      </c>
      <c r="H133" s="4">
        <f t="shared" ref="H133:H139" si="51">IF(B133=D133,"V",(C133-E133)/(B133-D133))</f>
        <v>-138.94831086519397</v>
      </c>
      <c r="I133" s="4">
        <f t="shared" ref="I133:I139" si="52">IF(H133="V",0,(-1*B133*H133)+C133)</f>
        <v>972.66336495328039</v>
      </c>
      <c r="J133" s="4">
        <f t="shared" ref="J133:J139" si="53">IF($F133&gt;=0,B133,IF(AND($F133&lt;0,$G133&gt;=0),IF(H133="V",B133,($B$125-I133)/H133),0))</f>
        <v>7.0348506397697141</v>
      </c>
      <c r="K133" s="4">
        <f t="shared" ref="K133:K139" si="54">IF($F133&gt;=0,C133,IF(AND($F133&lt;0,$G133&gt;=0),$B$125,0))</f>
        <v>-4.817248631650596</v>
      </c>
      <c r="L133" s="4">
        <f t="shared" ref="L133:L139" si="55">IF($G133&gt;=0,D133,IF(AND($G133&lt;0,$F133&gt;=0),IF(H133="V",D133,($B$125-I133)/H133),0))</f>
        <v>6.9494415806636027</v>
      </c>
      <c r="M133" s="4">
        <f t="shared" ref="M133:M139" si="56">IF($G133&gt;=0,E133,IF(AND($G133&lt;0,$F133&gt;=0),$B$125,0))</f>
        <v>7.0501958637291597</v>
      </c>
      <c r="N133" s="4">
        <f t="shared" ref="N133:O139" si="57">IF(F133&lt;0,IF($I$54="Linear",0,$B$66),IF($I$54="Linear",F133,$B$66))</f>
        <v>0</v>
      </c>
      <c r="O133" s="4">
        <f t="shared" si="57"/>
        <v>5.5250000000000004</v>
      </c>
      <c r="P133" s="4">
        <f t="shared" ref="P133:P139" si="58">(1/6)*(M133-K133)*((N133*((2*J133)+L133))+(O133*(J133+(2*L133))))</f>
        <v>228.76255498496494</v>
      </c>
      <c r="Q133" s="4">
        <f t="shared" ref="Q133:Q139" si="59">((1/12)*(M133-K133)*(N133*J133*((3*K133)+M133)+N133*L133*(K133+M133)+O133*J133*(K133+M133)+O133*L133*(K133+(3*M133))))</f>
        <v>706.03244107845239</v>
      </c>
      <c r="R133" s="4">
        <f t="shared" ref="R133:R139" si="60">((-1/24)*(M133-K133)*(J133*J133*((3*N133)+O133)+2*J133*L133*(N133+O133)+L133*L133*(N133+(3*O133))))</f>
        <v>-798.14904796179201</v>
      </c>
    </row>
    <row r="134" spans="1:18" x14ac:dyDescent="0.25">
      <c r="A134" t="s">
        <v>71</v>
      </c>
      <c r="B134" s="4">
        <f t="shared" si="50"/>
        <v>6.9494415806636027</v>
      </c>
      <c r="C134" s="4">
        <f t="shared" si="50"/>
        <v>7.0501958637291597</v>
      </c>
      <c r="D134" s="4">
        <f t="shared" si="47"/>
        <v>-7.0501958637291597</v>
      </c>
      <c r="E134" s="4">
        <f t="shared" si="47"/>
        <v>6.9494415806636027</v>
      </c>
      <c r="F134" s="4">
        <f t="shared" si="48"/>
        <v>5.5250000000000004</v>
      </c>
      <c r="G134" s="4">
        <f t="shared" si="49"/>
        <v>5.4780928993049915</v>
      </c>
      <c r="H134" s="4">
        <f t="shared" si="51"/>
        <v>7.1969208821126901E-3</v>
      </c>
      <c r="I134" s="4">
        <f t="shared" si="52"/>
        <v>7.0001812824982599</v>
      </c>
      <c r="J134" s="4">
        <f t="shared" si="53"/>
        <v>6.9494415806636027</v>
      </c>
      <c r="K134" s="4">
        <f t="shared" si="54"/>
        <v>7.0501958637291597</v>
      </c>
      <c r="L134" s="4">
        <f t="shared" si="55"/>
        <v>-7.0501958637291597</v>
      </c>
      <c r="M134" s="4">
        <f t="shared" si="56"/>
        <v>6.9494415806636027</v>
      </c>
      <c r="N134" s="4">
        <f t="shared" si="57"/>
        <v>5.5250000000000004</v>
      </c>
      <c r="O134" s="4">
        <f t="shared" si="57"/>
        <v>5.4780928993049915</v>
      </c>
      <c r="P134" s="4">
        <f t="shared" si="58"/>
        <v>2.24106392179086E-2</v>
      </c>
      <c r="Q134" s="4">
        <f t="shared" si="59"/>
        <v>9.171746924953289E-2</v>
      </c>
      <c r="R134" s="4">
        <f t="shared" si="60"/>
        <v>4.5270101616959249</v>
      </c>
    </row>
    <row r="135" spans="1:18" x14ac:dyDescent="0.25">
      <c r="A135" t="s">
        <v>72</v>
      </c>
      <c r="B135" s="4">
        <f t="shared" si="50"/>
        <v>-7.0501958637291597</v>
      </c>
      <c r="C135" s="4">
        <f t="shared" si="50"/>
        <v>6.9494415806636027</v>
      </c>
      <c r="D135" s="4">
        <f t="shared" si="47"/>
        <v>-6.9494415806636027</v>
      </c>
      <c r="E135" s="4">
        <f t="shared" si="47"/>
        <v>-7.0501958637291597</v>
      </c>
      <c r="F135" s="4">
        <f t="shared" si="48"/>
        <v>5.4780928993049915</v>
      </c>
      <c r="G135" s="4">
        <f t="shared" si="49"/>
        <v>-1.0395695098500044</v>
      </c>
      <c r="H135" s="4">
        <f t="shared" si="51"/>
        <v>-138.94831086519397</v>
      </c>
      <c r="I135" s="4">
        <f t="shared" si="52"/>
        <v>-972.66336495328039</v>
      </c>
      <c r="J135" s="4">
        <f t="shared" si="53"/>
        <v>-7.0501958637291597</v>
      </c>
      <c r="K135" s="4">
        <f t="shared" si="54"/>
        <v>6.9494415806636027</v>
      </c>
      <c r="L135" s="4">
        <f t="shared" si="55"/>
        <v>-6.9655119252268047</v>
      </c>
      <c r="M135" s="4">
        <f t="shared" si="56"/>
        <v>-4.817248631650596</v>
      </c>
      <c r="N135" s="4">
        <f t="shared" si="57"/>
        <v>5.4780928993049915</v>
      </c>
      <c r="O135" s="4">
        <f t="shared" si="57"/>
        <v>0</v>
      </c>
      <c r="P135" s="4">
        <f t="shared" si="58"/>
        <v>226.31459151888774</v>
      </c>
      <c r="Q135" s="4">
        <f t="shared" si="59"/>
        <v>686.88630772810791</v>
      </c>
      <c r="R135" s="4">
        <f t="shared" si="60"/>
        <v>794.59331695924152</v>
      </c>
    </row>
    <row r="136" spans="1:18" x14ac:dyDescent="0.25">
      <c r="A136" t="s">
        <v>73</v>
      </c>
      <c r="B136" s="4">
        <f t="shared" si="50"/>
        <v>-6.9494415806636027</v>
      </c>
      <c r="C136" s="4">
        <f t="shared" si="50"/>
        <v>-7.0501958637291597</v>
      </c>
      <c r="D136" s="4">
        <f t="shared" si="47"/>
        <v>-6.9494415806636027</v>
      </c>
      <c r="E136" s="4">
        <f t="shared" si="47"/>
        <v>-7.0501958637291597</v>
      </c>
      <c r="F136" s="4">
        <f t="shared" si="48"/>
        <v>-1.0395695098500044</v>
      </c>
      <c r="G136" s="4">
        <f t="shared" si="49"/>
        <v>-1.0395695098500044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-6.9494415806636027</v>
      </c>
      <c r="C137" s="4">
        <f t="shared" si="50"/>
        <v>-7.0501958637291597</v>
      </c>
      <c r="D137" s="4">
        <f t="shared" si="47"/>
        <v>-6.9494415806636027</v>
      </c>
      <c r="E137" s="4">
        <f t="shared" si="47"/>
        <v>-7.0501958637291597</v>
      </c>
      <c r="F137" s="4">
        <f t="shared" si="48"/>
        <v>-1.0395695098500044</v>
      </c>
      <c r="G137" s="4">
        <f t="shared" si="49"/>
        <v>-1.0395695098500044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-6.9494415806636027</v>
      </c>
      <c r="C138" s="4">
        <f t="shared" si="50"/>
        <v>-7.0501958637291597</v>
      </c>
      <c r="D138" s="4">
        <f t="shared" si="47"/>
        <v>-6.9494415806636027</v>
      </c>
      <c r="E138" s="4">
        <f t="shared" si="47"/>
        <v>-7.0501958637291597</v>
      </c>
      <c r="F138" s="4">
        <f t="shared" si="48"/>
        <v>-1.0395695098500044</v>
      </c>
      <c r="G138" s="4">
        <f t="shared" si="49"/>
        <v>-1.0395695098500044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-6.9494415806636027</v>
      </c>
      <c r="C139" s="4">
        <f>E138</f>
        <v>-7.0501958637291597</v>
      </c>
      <c r="D139" s="4">
        <f t="shared" si="47"/>
        <v>-6.9494415806636027</v>
      </c>
      <c r="E139" s="4">
        <f t="shared" si="47"/>
        <v>-7.0501958637291597</v>
      </c>
      <c r="F139" s="4">
        <f t="shared" si="48"/>
        <v>-1.0395695098500044</v>
      </c>
      <c r="G139" s="4">
        <f t="shared" si="49"/>
        <v>-1.0395695098500044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455.09955714307057</v>
      </c>
      <c r="Q140" s="4">
        <f>SUM(Q132:Q139)</f>
        <v>1393.0104662758099</v>
      </c>
      <c r="R140" s="4">
        <f>SUM(R132:R139)</f>
        <v>0.97127915914541063</v>
      </c>
    </row>
    <row r="142" spans="1:18" x14ac:dyDescent="0.25">
      <c r="O142" t="s">
        <v>96</v>
      </c>
      <c r="P142" s="1">
        <f>-1*R140/P140</f>
        <v>-2.134212490213581E-3</v>
      </c>
    </row>
    <row r="143" spans="1:18" x14ac:dyDescent="0.25">
      <c r="O143" t="s">
        <v>97</v>
      </c>
      <c r="P143" s="1">
        <f>Q140/P140</f>
        <v>3.0608917200899106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-2.9783321059986867</v>
      </c>
      <c r="C146" s="9">
        <f>J84</f>
        <v>-3.0215125130267828</v>
      </c>
      <c r="D146" s="9">
        <f t="shared" ref="D146:E153" si="61">I85</f>
        <v>-3.0215125130267828</v>
      </c>
      <c r="E146">
        <f t="shared" si="61"/>
        <v>2.9783321059986867</v>
      </c>
      <c r="F146" s="4">
        <f>($B$66/$B$65)*(C146-$B$125)</f>
        <v>0.83602177867856831</v>
      </c>
      <c r="G146" s="4">
        <f>($B$66/$B$65)*(E146-$B$125)</f>
        <v>3.629305668316424</v>
      </c>
      <c r="H146" s="4">
        <f>IF(B146=D146,"V",(C146-E146)/(B146-D146))</f>
        <v>-138.94831086519315</v>
      </c>
      <c r="I146" s="4">
        <f>IF(H146="V",0,(-1*B146*H146)+C146)</f>
        <v>-416.85572783711768</v>
      </c>
      <c r="J146" s="4">
        <f>IF($F146&gt;=0,B146,IF(AND($F146&lt;0,$G146&gt;=0),IF(H146="V",B146,($B$125-I146)/H146),0))</f>
        <v>-2.9783321059986867</v>
      </c>
      <c r="K146" s="4">
        <f>IF($F146&gt;=0,C146,IF(AND($F146&lt;0,$G146&gt;=0),$B$125,0))</f>
        <v>-3.0215125130267828</v>
      </c>
      <c r="L146" s="4">
        <f>IF($G146&gt;=0,D146,IF(AND($G146&lt;0,$F146&gt;=0),IF(H146="V",D146,($B$125-I146)/H146),0))</f>
        <v>-3.0215125130267828</v>
      </c>
      <c r="M146" s="4">
        <f>IF($G146&gt;=0,E146,IF(AND($G146&lt;0,$F146&gt;=0),$B$125,0))</f>
        <v>2.9783321059986867</v>
      </c>
      <c r="N146" s="4">
        <f>IF(F146&lt;0,IF($I$54="Linear",0,$B$66),IF($I$54="Linear",F146,$B$66))</f>
        <v>0.83602177867856831</v>
      </c>
      <c r="O146" s="4">
        <f>IF(G146&lt;0,IF($I$54="Linear",0,$B$66),IF($I$54="Linear",G146,$B$66))</f>
        <v>3.629305668316424</v>
      </c>
      <c r="P146" s="4">
        <f>(1/6)*(M146-K146)*((N146*((2*J146)+L146))+(O146*(J146+(2*L146))))</f>
        <v>-40.246171574990889</v>
      </c>
      <c r="Q146" s="4">
        <f>((1/12)*(M146-K146)*(N146*J146*((3*K146)+M146)+N146*L146*(K146+M146)+O146*J146*(K146+M146)+O146*L146*(K146+(3*M146))))</f>
        <v>-24.557885923417807</v>
      </c>
      <c r="R146" s="4">
        <f>((-1/24)*(M146-K146)*(J146*J146*((3*N146)+O146)+2*J146*L146*(N146+O146)+L146*L146*(N146+(3*O146))))</f>
        <v>-60.459191356325263</v>
      </c>
    </row>
    <row r="147" spans="1:18" x14ac:dyDescent="0.25">
      <c r="A147" t="s">
        <v>70</v>
      </c>
      <c r="B147" s="9">
        <f t="shared" ref="B147:C153" si="62">D146</f>
        <v>-3.0215125130267828</v>
      </c>
      <c r="C147">
        <f t="shared" si="62"/>
        <v>2.9783321059986867</v>
      </c>
      <c r="D147" s="9">
        <f t="shared" si="61"/>
        <v>2.9783321059986867</v>
      </c>
      <c r="E147">
        <f t="shared" si="61"/>
        <v>3.0215125130267828</v>
      </c>
      <c r="F147" s="4">
        <f t="shared" ref="F147:F153" si="63">($B$66/$B$65)*(C147-$B$125)</f>
        <v>3.629305668316424</v>
      </c>
      <c r="G147" s="4">
        <f t="shared" ref="G147:G153" si="64">($B$66/$B$65)*(E147-$B$125)</f>
        <v>3.6494087114714278</v>
      </c>
      <c r="H147" s="4">
        <f t="shared" ref="H147:H153" si="65">IF(B147=D147,"V",(C147-E147)/(B147-D147))</f>
        <v>7.1969208821127326E-3</v>
      </c>
      <c r="I147" s="4">
        <f t="shared" ref="I147:I153" si="66">IF(H147="V",0,(-1*B147*H147)+C147)</f>
        <v>3.000077692499254</v>
      </c>
      <c r="J147" s="4">
        <f t="shared" ref="J147:J153" si="67">IF($F147&gt;=0,B147,IF(AND($F147&lt;0,$G147&gt;=0),IF(H147="V",B147,($B$125-I147)/H147),0))</f>
        <v>-3.0215125130267828</v>
      </c>
      <c r="K147" s="4">
        <f t="shared" ref="K147:K153" si="68">IF($F147&gt;=0,C147,IF(AND($F147&lt;0,$G147&gt;=0),$B$125,0))</f>
        <v>2.9783321059986867</v>
      </c>
      <c r="L147" s="4">
        <f t="shared" ref="L147:L153" si="69">IF($G147&gt;=0,D147,IF(AND($G147&lt;0,$F147&gt;=0),IF(H147="V",D147,($B$125-I147)/H147),0))</f>
        <v>2.9783321059986867</v>
      </c>
      <c r="M147" s="4">
        <f t="shared" ref="M147:M153" si="70">IF($G147&gt;=0,E147,IF(AND($G147&lt;0,$F147&gt;=0),$B$125,0))</f>
        <v>3.0215125130267828</v>
      </c>
      <c r="N147" s="4">
        <f t="shared" ref="N147:O153" si="71">IF(F147&lt;0,IF($I$54="Linear",0,$B$66),IF($I$54="Linear",F147,$B$66))</f>
        <v>3.629305668316424</v>
      </c>
      <c r="O147" s="4">
        <f t="shared" si="71"/>
        <v>3.6494087114714278</v>
      </c>
      <c r="P147" s="4">
        <f t="shared" ref="P147:P153" si="72">(1/6)*(M147-K147)*((N147*((2*J147)+L147))+(O147*(J147+(2*L147))))</f>
        <v>-2.9588597150206329E-3</v>
      </c>
      <c r="Q147" s="4">
        <f t="shared" ref="Q147:Q153" si="73">((1/12)*(M147-K147)*(N147*J147*((3*K147)+M147)+N147*L147*(K147+M147)+O147*J147*(K147+M147)+O147*L147*(K147+(3*M147))))</f>
        <v>-5.4836273054958643E-3</v>
      </c>
      <c r="R147" s="4">
        <f t="shared" ref="R147:R153" si="74">((-1/24)*(M147-K147)*(J147*J147*((3*N147)+O147)+2*J147*L147*(N147+O147)+L147*L147*(N147+(3*O147))))</f>
        <v>-0.23573843427997862</v>
      </c>
    </row>
    <row r="148" spans="1:18" x14ac:dyDescent="0.25">
      <c r="A148" t="s">
        <v>71</v>
      </c>
      <c r="B148" s="9">
        <f t="shared" si="62"/>
        <v>2.9783321059986867</v>
      </c>
      <c r="C148">
        <f t="shared" si="62"/>
        <v>3.0215125130267828</v>
      </c>
      <c r="D148" s="9">
        <f t="shared" si="61"/>
        <v>3.0215125130267828</v>
      </c>
      <c r="E148">
        <f t="shared" si="61"/>
        <v>-2.9783321059986867</v>
      </c>
      <c r="F148" s="4">
        <f t="shared" si="63"/>
        <v>3.6494087114714278</v>
      </c>
      <c r="G148" s="4">
        <f t="shared" si="64"/>
        <v>0.85612482183357208</v>
      </c>
      <c r="H148" s="4">
        <f t="shared" si="65"/>
        <v>-138.94831086519315</v>
      </c>
      <c r="I148" s="4">
        <f t="shared" si="66"/>
        <v>416.85572783711768</v>
      </c>
      <c r="J148" s="4">
        <f t="shared" si="67"/>
        <v>2.9783321059986867</v>
      </c>
      <c r="K148" s="4">
        <f t="shared" si="68"/>
        <v>3.0215125130267828</v>
      </c>
      <c r="L148" s="4">
        <f t="shared" si="69"/>
        <v>3.0215125130267828</v>
      </c>
      <c r="M148" s="4">
        <f t="shared" si="70"/>
        <v>-2.9783321059986867</v>
      </c>
      <c r="N148" s="4">
        <f t="shared" si="71"/>
        <v>3.6494087114714278</v>
      </c>
      <c r="O148" s="4">
        <f t="shared" si="71"/>
        <v>0.85612482183357208</v>
      </c>
      <c r="P148" s="4">
        <f t="shared" si="72"/>
        <v>-40.48739559849097</v>
      </c>
      <c r="Q148" s="4">
        <f t="shared" si="73"/>
        <v>-25.719922020544839</v>
      </c>
      <c r="R148" s="4">
        <f t="shared" si="74"/>
        <v>60.640114059274637</v>
      </c>
    </row>
    <row r="149" spans="1:18" x14ac:dyDescent="0.25">
      <c r="A149" t="s">
        <v>72</v>
      </c>
      <c r="B149" s="9">
        <f t="shared" si="62"/>
        <v>3.0215125130267828</v>
      </c>
      <c r="C149">
        <f t="shared" si="62"/>
        <v>-2.9783321059986867</v>
      </c>
      <c r="D149" s="9">
        <f t="shared" si="61"/>
        <v>-2.9783321059986867</v>
      </c>
      <c r="E149">
        <f t="shared" si="61"/>
        <v>-3.0215125130267828</v>
      </c>
      <c r="F149" s="4">
        <f t="shared" si="63"/>
        <v>0.85612482183357208</v>
      </c>
      <c r="G149" s="4">
        <f t="shared" si="64"/>
        <v>0.83602177867856831</v>
      </c>
      <c r="H149" s="4">
        <f t="shared" si="65"/>
        <v>7.1969208821127326E-3</v>
      </c>
      <c r="I149" s="4">
        <f t="shared" si="66"/>
        <v>-3.000077692499254</v>
      </c>
      <c r="J149" s="4">
        <f t="shared" si="67"/>
        <v>3.0215125130267828</v>
      </c>
      <c r="K149" s="4">
        <f t="shared" si="68"/>
        <v>-2.9783321059986867</v>
      </c>
      <c r="L149" s="4">
        <f t="shared" si="69"/>
        <v>-2.9783321059986867</v>
      </c>
      <c r="M149" s="4">
        <f t="shared" si="70"/>
        <v>-3.0215125130267828</v>
      </c>
      <c r="N149" s="4">
        <f t="shared" si="71"/>
        <v>0.85612482183357208</v>
      </c>
      <c r="O149" s="4">
        <f t="shared" si="71"/>
        <v>0.83602177867856831</v>
      </c>
      <c r="P149" s="4">
        <f t="shared" si="72"/>
        <v>-1.2227895030256259E-3</v>
      </c>
      <c r="Q149" s="4">
        <f t="shared" si="73"/>
        <v>2.8794545476864926E-3</v>
      </c>
      <c r="R149" s="4">
        <f t="shared" si="74"/>
        <v>5.4815731330599513E-2</v>
      </c>
    </row>
    <row r="150" spans="1:18" x14ac:dyDescent="0.25">
      <c r="A150" t="s">
        <v>73</v>
      </c>
      <c r="B150" s="9">
        <f t="shared" si="62"/>
        <v>-2.9783321059986867</v>
      </c>
      <c r="C150">
        <f t="shared" si="62"/>
        <v>-3.0215125130267828</v>
      </c>
      <c r="D150" s="9">
        <f t="shared" si="61"/>
        <v>-2.9783321059986867</v>
      </c>
      <c r="E150">
        <f t="shared" si="61"/>
        <v>-3.0215125130267828</v>
      </c>
      <c r="F150" s="4">
        <f t="shared" si="63"/>
        <v>0.83602177867856831</v>
      </c>
      <c r="G150" s="4">
        <f t="shared" si="64"/>
        <v>0.83602177867856831</v>
      </c>
      <c r="H150" s="4" t="str">
        <f t="shared" si="65"/>
        <v>V</v>
      </c>
      <c r="I150" s="4">
        <f t="shared" si="66"/>
        <v>0</v>
      </c>
      <c r="J150" s="4">
        <f t="shared" si="67"/>
        <v>-2.9783321059986867</v>
      </c>
      <c r="K150" s="4">
        <f t="shared" si="68"/>
        <v>-3.0215125130267828</v>
      </c>
      <c r="L150" s="4">
        <f t="shared" si="69"/>
        <v>-2.9783321059986867</v>
      </c>
      <c r="M150" s="4">
        <f t="shared" si="70"/>
        <v>-3.0215125130267828</v>
      </c>
      <c r="N150" s="4">
        <f t="shared" si="71"/>
        <v>0.83602177867856831</v>
      </c>
      <c r="O150" s="4">
        <f t="shared" si="71"/>
        <v>0.83602177867856831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-2.9783321059986867</v>
      </c>
      <c r="C151">
        <f t="shared" si="62"/>
        <v>-3.0215125130267828</v>
      </c>
      <c r="D151" s="9">
        <f t="shared" si="61"/>
        <v>-2.9783321059986867</v>
      </c>
      <c r="E151">
        <f t="shared" si="61"/>
        <v>-3.0215125130267828</v>
      </c>
      <c r="F151" s="4">
        <f t="shared" si="63"/>
        <v>0.83602177867856831</v>
      </c>
      <c r="G151" s="4">
        <f t="shared" si="64"/>
        <v>0.83602177867856831</v>
      </c>
      <c r="H151" s="4" t="str">
        <f t="shared" si="65"/>
        <v>V</v>
      </c>
      <c r="I151" s="4">
        <f t="shared" si="66"/>
        <v>0</v>
      </c>
      <c r="J151" s="4">
        <f t="shared" si="67"/>
        <v>-2.9783321059986867</v>
      </c>
      <c r="K151" s="4">
        <f t="shared" si="68"/>
        <v>-3.0215125130267828</v>
      </c>
      <c r="L151" s="4">
        <f t="shared" si="69"/>
        <v>-2.9783321059986867</v>
      </c>
      <c r="M151" s="4">
        <f t="shared" si="70"/>
        <v>-3.0215125130267828</v>
      </c>
      <c r="N151" s="4">
        <f t="shared" si="71"/>
        <v>0.83602177867856831</v>
      </c>
      <c r="O151" s="4">
        <f t="shared" si="71"/>
        <v>0.83602177867856831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-2.9783321059986867</v>
      </c>
      <c r="C152">
        <f t="shared" si="62"/>
        <v>-3.0215125130267828</v>
      </c>
      <c r="D152" s="9">
        <f t="shared" si="61"/>
        <v>-2.9783321059986867</v>
      </c>
      <c r="E152">
        <f t="shared" si="61"/>
        <v>-3.0215125130267828</v>
      </c>
      <c r="F152" s="4">
        <f t="shared" si="63"/>
        <v>0.83602177867856831</v>
      </c>
      <c r="G152" s="4">
        <f t="shared" si="64"/>
        <v>0.83602177867856831</v>
      </c>
      <c r="H152" s="4" t="str">
        <f t="shared" si="65"/>
        <v>V</v>
      </c>
      <c r="I152" s="4">
        <f t="shared" si="66"/>
        <v>0</v>
      </c>
      <c r="J152" s="4">
        <f t="shared" si="67"/>
        <v>-2.9783321059986867</v>
      </c>
      <c r="K152" s="4">
        <f t="shared" si="68"/>
        <v>-3.0215125130267828</v>
      </c>
      <c r="L152" s="4">
        <f t="shared" si="69"/>
        <v>-2.9783321059986867</v>
      </c>
      <c r="M152" s="4">
        <f t="shared" si="70"/>
        <v>-3.0215125130267828</v>
      </c>
      <c r="N152" s="4">
        <f t="shared" si="71"/>
        <v>0.83602177867856831</v>
      </c>
      <c r="O152" s="4">
        <f t="shared" si="71"/>
        <v>0.83602177867856831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-2.9783321059986867</v>
      </c>
      <c r="C153">
        <f t="shared" si="62"/>
        <v>-3.0215125130267828</v>
      </c>
      <c r="D153" s="9">
        <f t="shared" si="61"/>
        <v>-2.9783321059986867</v>
      </c>
      <c r="E153">
        <f t="shared" si="61"/>
        <v>-3.0215125130267828</v>
      </c>
      <c r="F153" s="4">
        <f t="shared" si="63"/>
        <v>0.83602177867856831</v>
      </c>
      <c r="G153" s="4">
        <f t="shared" si="64"/>
        <v>0.83602177867856831</v>
      </c>
      <c r="H153" s="4" t="str">
        <f t="shared" si="65"/>
        <v>V</v>
      </c>
      <c r="I153" s="4">
        <f t="shared" si="66"/>
        <v>0</v>
      </c>
      <c r="J153" s="4">
        <f t="shared" si="67"/>
        <v>-2.9783321059986867</v>
      </c>
      <c r="K153" s="4">
        <f t="shared" si="68"/>
        <v>-3.0215125130267828</v>
      </c>
      <c r="L153" s="4">
        <f t="shared" si="69"/>
        <v>-2.9783321059986867</v>
      </c>
      <c r="M153" s="4">
        <f t="shared" si="70"/>
        <v>-3.0215125130267828</v>
      </c>
      <c r="N153" s="4">
        <f t="shared" si="71"/>
        <v>0.83602177867856831</v>
      </c>
      <c r="O153" s="4">
        <f t="shared" si="71"/>
        <v>0.83602177867856831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-80.737748822699913</v>
      </c>
      <c r="Q154" s="4">
        <f t="shared" ref="Q154:R154" si="75">SUM(Q146:Q153)</f>
        <v>-50.280412116720449</v>
      </c>
      <c r="R154" s="4">
        <f t="shared" si="75"/>
        <v>-6.8417493892525272E-15</v>
      </c>
    </row>
    <row r="156" spans="1:18" x14ac:dyDescent="0.25">
      <c r="O156" t="s">
        <v>96</v>
      </c>
      <c r="P156" s="1">
        <f>-1*R154/P154</f>
        <v>-8.4740403206894065E-17</v>
      </c>
    </row>
    <row r="157" spans="1:18" x14ac:dyDescent="0.25">
      <c r="O157" t="s">
        <v>97</v>
      </c>
      <c r="P157" s="1">
        <f>Q154/P154</f>
        <v>0.62276212614171633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10.000010065318055</v>
      </c>
      <c r="C159" t="s">
        <v>36</v>
      </c>
    </row>
    <row r="160" spans="1:18" x14ac:dyDescent="0.25">
      <c r="A160" s="1" t="s">
        <v>106</v>
      </c>
      <c r="B160" s="4">
        <f>Q140+I122+Q154-O122</f>
        <v>3253.7937265392238</v>
      </c>
      <c r="C160" t="s">
        <v>102</v>
      </c>
    </row>
    <row r="161" spans="1:9" x14ac:dyDescent="0.25">
      <c r="A161" s="1" t="s">
        <v>107</v>
      </c>
      <c r="B161" s="4">
        <f>R140+J122+R154-P122</f>
        <v>-98.58589114851182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10.000010065318055</v>
      </c>
      <c r="C164" t="s">
        <v>36</v>
      </c>
      <c r="E164" s="8">
        <f>B2-B164</f>
        <v>-1.0065318054586214E-5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3252.9999671146957</v>
      </c>
      <c r="C165" t="s">
        <v>102</v>
      </c>
      <c r="E165" s="8">
        <f>B3+B165</f>
        <v>-3.2885304335650289E-5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-122.00002766944299</v>
      </c>
      <c r="C166" t="s">
        <v>102</v>
      </c>
      <c r="E166" s="8">
        <f>B4+B166</f>
        <v>-2.7669442985711612E-5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-717.42765160584395</v>
      </c>
      <c r="C169" s="3">
        <f ca="1">A169+B169</f>
        <v>-711.90265160584397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-1.0674574455167157E-10</v>
      </c>
      <c r="C175" s="27">
        <f>B65*SQRT(I175)</f>
        <v>1.7602264782465418E-7</v>
      </c>
      <c r="D175" s="27">
        <f>B66*SQRT(I175)</f>
        <v>8.1948993282407074E-8</v>
      </c>
      <c r="E175" s="27">
        <f>B67*SQRT(I175)</f>
        <v>2.7920389854759944E-6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-7.1967967362730791E-3</v>
      </c>
      <c r="C176" s="3">
        <f>B65+C175</f>
        <v>11.867444671402403</v>
      </c>
      <c r="D176" s="3">
        <f>D175+B66</f>
        <v>5.5250000819489937</v>
      </c>
      <c r="E176" s="3">
        <f>B67+E175</f>
        <v>188.23923279203154</v>
      </c>
      <c r="F176" s="16" t="s">
        <v>125</v>
      </c>
    </row>
    <row r="177" spans="1:13" x14ac:dyDescent="0.25">
      <c r="B177" s="27">
        <f>B176-B64</f>
        <v>-1.0674574418834126E-10</v>
      </c>
      <c r="C177" s="27">
        <f>C176-B65</f>
        <v>1.7602264712479609E-7</v>
      </c>
      <c r="D177" s="27">
        <f>D176-B66</f>
        <v>8.1948993368996526E-8</v>
      </c>
      <c r="E177" s="27">
        <f>E176-B67</f>
        <v>2.7920389982227789E-6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-66.216168527026809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6.949439090756095</v>
      </c>
      <c r="B181" s="25">
        <f>(d_alpha_p!E136-d_alpha_m!E136)/(2*B177)</f>
        <v>6.949439090756095</v>
      </c>
      <c r="C181" s="25">
        <f>(d_alpha_p!E137-d_alpha_m!E137)/(2*B177)</f>
        <v>6.949439090756095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1.0065318054586214E-5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3.2885304335650289E-5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2.7669442985711612E-5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711.90265160584397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-66.216168527026809</v>
      </c>
      <c r="B190" s="25">
        <f>A181</f>
        <v>6.949439090756095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6.949439090756095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6.949439090756095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-66.216168527026809</v>
      </c>
      <c r="B201" s="25">
        <f t="shared" ref="B201:C201" si="77">B190</f>
        <v>6.949439090756095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6.949439090756095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6.949439090756095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18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</v>
      </c>
      <c r="C2" t="s">
        <v>36</v>
      </c>
      <c r="D2" t="s">
        <v>103</v>
      </c>
      <c r="H2" t="s">
        <v>110</v>
      </c>
      <c r="I2">
        <f>B2/D22</f>
        <v>5.1020408163265307E-2</v>
      </c>
      <c r="J2" t="s">
        <v>11</v>
      </c>
    </row>
    <row r="3" spans="1:29" x14ac:dyDescent="0.25">
      <c r="A3" s="10" t="s">
        <v>79</v>
      </c>
      <c r="B3" s="17">
        <f>'Rigid Bearing Plate Analysis'!B3</f>
        <v>-3253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-7.1129737609329435</v>
      </c>
      <c r="J3" t="s">
        <v>11</v>
      </c>
    </row>
    <row r="4" spans="1:29" x14ac:dyDescent="0.25">
      <c r="A4" s="10" t="s">
        <v>80</v>
      </c>
      <c r="B4" s="17">
        <f>'Rigid Bearing Plate Analysis'!B4</f>
        <v>122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0.26676384839650141</v>
      </c>
      <c r="J4" t="s">
        <v>11</v>
      </c>
    </row>
    <row r="5" spans="1:29" x14ac:dyDescent="0.25">
      <c r="A5" s="10" t="s">
        <v>104</v>
      </c>
      <c r="B5" s="20">
        <f>ATAN2(B3,B4)</f>
        <v>3.1041063796879369</v>
      </c>
      <c r="C5" t="s">
        <v>19</v>
      </c>
      <c r="I5">
        <f>SUM(I2:I4)</f>
        <v>-6.7951895043731767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7.1129737609329435</v>
      </c>
      <c r="AB14">
        <f>$B$4/Z14</f>
        <v>0.26676384839650141</v>
      </c>
      <c r="AC14">
        <f>$I$2+AA14+AB14</f>
        <v>7.4307580174927104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-7.1129737609329435</v>
      </c>
      <c r="AB15">
        <f t="shared" ref="AB15:AB21" si="11">$B$4/Z15</f>
        <v>0.26676384839650141</v>
      </c>
      <c r="AC15">
        <f t="shared" ref="AC15:AC20" si="12">$I$2+AA15+AB15</f>
        <v>-6.7951895043731767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-7.1129737609329435</v>
      </c>
      <c r="AB16">
        <f t="shared" si="11"/>
        <v>-0.26676384839650141</v>
      </c>
      <c r="AC16">
        <f t="shared" si="12"/>
        <v>-7.3287172011661799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7.1129737609329435</v>
      </c>
      <c r="AB17">
        <f t="shared" si="11"/>
        <v>-0.26676384839650141</v>
      </c>
      <c r="AC17">
        <f t="shared" si="12"/>
        <v>6.8972303206997072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7.1129737609329435</v>
      </c>
      <c r="AB18">
        <f t="shared" si="11"/>
        <v>-0.26676384839650141</v>
      </c>
      <c r="AC18">
        <f t="shared" si="12"/>
        <v>6.8972303206997072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7.1129737609329435</v>
      </c>
      <c r="AB19">
        <f t="shared" si="11"/>
        <v>-0.26676384839650141</v>
      </c>
      <c r="AC19">
        <f t="shared" si="12"/>
        <v>6.8972303206997072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7.1129737609329435</v>
      </c>
      <c r="AB20">
        <f t="shared" si="11"/>
        <v>-0.26676384839650141</v>
      </c>
      <c r="AC20">
        <f t="shared" si="12"/>
        <v>6.8972303206997072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-0.26676384839650141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10</v>
      </c>
      <c r="D26" s="5">
        <f>((B25*C26)-(B26*C25))*0.5</f>
        <v>12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10</v>
      </c>
      <c r="D27" s="5">
        <f t="shared" ref="D27:D33" si="13">((B26*C27)-(B27*C26))*0.5</f>
        <v>-30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4</v>
      </c>
      <c r="D28" s="5">
        <f t="shared" si="13"/>
        <v>-30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4</v>
      </c>
      <c r="D29" s="5">
        <f t="shared" si="13"/>
        <v>12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4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4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4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4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-36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12.5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12.5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12.5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-6.3948846218409017E-14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-4.8316906031686813E-13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4.8738259691965924E-13</v>
      </c>
      <c r="M57" s="17" t="str">
        <f ca="1">'Rigid Bearing Plate Analysis'!M57</f>
        <v>SOLUTION IF STRAIN IGNORED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ht="15.75" thickBot="1" x14ac:dyDescent="0.3">
      <c r="A64" s="11" t="s">
        <v>39</v>
      </c>
      <c r="B64" s="17">
        <f>'Rigid Bearing Plate Analysis'!B64</f>
        <v>-7.1967966295273349E-3</v>
      </c>
      <c r="C64" t="s">
        <v>19</v>
      </c>
      <c r="D64" t="s">
        <v>34</v>
      </c>
      <c r="H64" s="17">
        <f>DEGREES(B64)</f>
        <v>-0.4123460728858922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11.867444143334465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188.23922999999255</v>
      </c>
      <c r="C67" t="s">
        <v>36</v>
      </c>
      <c r="D67" t="s">
        <v>122</v>
      </c>
      <c r="G67" s="20">
        <f ca="1">($B$56*$B$66*$B$55*$E$122)/$B$65</f>
        <v>1.4496545836389758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-3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3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3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-3</v>
      </c>
      <c r="Q76" cm="1">
        <f t="array" ref="Q76">(-1*MAX(ABS(B84:C91)))-1</f>
        <v>-8.0501958637291597</v>
      </c>
      <c r="R76">
        <f>Q76</f>
        <v>-8.0501958637291597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-3</v>
      </c>
      <c r="Q77">
        <f>-1*Q76</f>
        <v>8.0501958637291597</v>
      </c>
      <c r="R77">
        <f>Q77</f>
        <v>8.0501958637291597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-3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-3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-3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-3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-6.9494415806636027</v>
      </c>
      <c r="C84" s="1">
        <f t="shared" ref="C84:C92" si="23">(-1*B73*SIN($B$64))+(C73*COS($B$64))</f>
        <v>-7.0501958637291597</v>
      </c>
      <c r="H84" s="1">
        <f t="shared" ref="H84:H92" si="24">H73</f>
        <v>1</v>
      </c>
      <c r="I84" s="4">
        <f>(I73*COS($B$64))+(J73*SIN($B$64))</f>
        <v>-2.9783321059986867</v>
      </c>
      <c r="J84" s="1">
        <f>(-1*I73*SIN($B$64))+(J73*COS($B$64))</f>
        <v>-3.0215125130267828</v>
      </c>
    </row>
    <row r="85" spans="1:10" x14ac:dyDescent="0.25">
      <c r="A85" s="1">
        <f t="shared" si="21"/>
        <v>2</v>
      </c>
      <c r="B85" s="4">
        <f t="shared" si="22"/>
        <v>7.0501958637291597</v>
      </c>
      <c r="C85" s="1">
        <f t="shared" si="23"/>
        <v>-6.9494415806636027</v>
      </c>
      <c r="H85" s="1">
        <f t="shared" si="24"/>
        <v>2</v>
      </c>
      <c r="I85" s="4">
        <f t="shared" ref="I85:I92" si="25">(I74*COS($B$64))+(J74*SIN($B$64))</f>
        <v>-3.0215125130267828</v>
      </c>
      <c r="J85" s="1">
        <f t="shared" ref="J85:J92" si="26">(-1*I74*SIN($B$64))+(J74*COS($B$64))</f>
        <v>2.9783321059986867</v>
      </c>
    </row>
    <row r="86" spans="1:10" x14ac:dyDescent="0.25">
      <c r="A86" s="1">
        <f t="shared" si="21"/>
        <v>3</v>
      </c>
      <c r="B86" s="4">
        <f t="shared" si="22"/>
        <v>6.9494415806636027</v>
      </c>
      <c r="C86" s="1">
        <f t="shared" si="23"/>
        <v>7.0501958637291597</v>
      </c>
      <c r="H86" s="1">
        <f t="shared" si="24"/>
        <v>3</v>
      </c>
      <c r="I86" s="4">
        <f t="shared" si="25"/>
        <v>2.9783321059986867</v>
      </c>
      <c r="J86" s="1">
        <f t="shared" si="26"/>
        <v>3.0215125130267828</v>
      </c>
    </row>
    <row r="87" spans="1:10" x14ac:dyDescent="0.25">
      <c r="A87" s="1">
        <f t="shared" si="21"/>
        <v>4</v>
      </c>
      <c r="B87" s="4">
        <f t="shared" si="22"/>
        <v>-7.0501958637291597</v>
      </c>
      <c r="C87" s="1">
        <f t="shared" si="23"/>
        <v>6.9494415806636027</v>
      </c>
      <c r="H87" s="1">
        <f t="shared" si="24"/>
        <v>4</v>
      </c>
      <c r="I87" s="4">
        <f t="shared" si="25"/>
        <v>3.0215125130267828</v>
      </c>
      <c r="J87" s="1">
        <f t="shared" si="26"/>
        <v>-2.9783321059986867</v>
      </c>
    </row>
    <row r="88" spans="1:10" x14ac:dyDescent="0.25">
      <c r="A88" s="1">
        <f t="shared" si="21"/>
        <v>5</v>
      </c>
      <c r="B88" s="4">
        <f t="shared" si="22"/>
        <v>-6.9494415806636027</v>
      </c>
      <c r="C88" s="1">
        <f t="shared" si="23"/>
        <v>-7.0501958637291597</v>
      </c>
      <c r="H88" s="1">
        <f t="shared" si="24"/>
        <v>5</v>
      </c>
      <c r="I88" s="4">
        <f t="shared" si="25"/>
        <v>-2.9783321059986867</v>
      </c>
      <c r="J88" s="1">
        <f t="shared" si="26"/>
        <v>-3.0215125130267828</v>
      </c>
    </row>
    <row r="89" spans="1:10" x14ac:dyDescent="0.25">
      <c r="A89" s="1">
        <f t="shared" si="21"/>
        <v>6</v>
      </c>
      <c r="B89" s="4">
        <f t="shared" si="22"/>
        <v>-6.9494415806636027</v>
      </c>
      <c r="C89" s="1">
        <f t="shared" si="23"/>
        <v>-7.0501958637291597</v>
      </c>
      <c r="H89" s="1">
        <f t="shared" si="24"/>
        <v>6</v>
      </c>
      <c r="I89" s="4">
        <f t="shared" si="25"/>
        <v>-2.9783321059986867</v>
      </c>
      <c r="J89" s="1">
        <f t="shared" si="26"/>
        <v>-3.0215125130267828</v>
      </c>
    </row>
    <row r="90" spans="1:10" x14ac:dyDescent="0.25">
      <c r="A90" s="1">
        <f t="shared" si="21"/>
        <v>7</v>
      </c>
      <c r="B90" s="4">
        <f t="shared" si="22"/>
        <v>-6.9494415806636027</v>
      </c>
      <c r="C90" s="1">
        <f t="shared" si="23"/>
        <v>-7.0501958637291597</v>
      </c>
      <c r="H90" s="1">
        <f t="shared" si="24"/>
        <v>7</v>
      </c>
      <c r="I90" s="4">
        <f t="shared" si="25"/>
        <v>-2.9783321059986867</v>
      </c>
      <c r="J90" s="1">
        <f t="shared" si="26"/>
        <v>-3.0215125130267828</v>
      </c>
    </row>
    <row r="91" spans="1:10" x14ac:dyDescent="0.25">
      <c r="A91" s="1">
        <f t="shared" si="21"/>
        <v>8</v>
      </c>
      <c r="B91" s="4">
        <f t="shared" si="22"/>
        <v>-6.9494415806636027</v>
      </c>
      <c r="C91" s="1">
        <f t="shared" si="23"/>
        <v>-7.0501958637291597</v>
      </c>
      <c r="H91" s="1">
        <f t="shared" si="24"/>
        <v>8</v>
      </c>
      <c r="I91" s="4">
        <f t="shared" si="25"/>
        <v>-2.9783321059986867</v>
      </c>
      <c r="J91" s="1">
        <f t="shared" si="26"/>
        <v>-3.0215125130267828</v>
      </c>
    </row>
    <row r="92" spans="1:10" x14ac:dyDescent="0.25">
      <c r="A92" s="1">
        <f t="shared" si="21"/>
        <v>9</v>
      </c>
      <c r="B92" s="4">
        <f t="shared" si="22"/>
        <v>-6.9494415806636027</v>
      </c>
      <c r="C92" s="1">
        <f t="shared" si="23"/>
        <v>-7.0501958637291597</v>
      </c>
      <c r="H92" s="1">
        <f t="shared" si="24"/>
        <v>9</v>
      </c>
      <c r="I92" s="4">
        <f t="shared" si="25"/>
        <v>-2.9783321059986867</v>
      </c>
      <c r="J92" s="1">
        <f t="shared" si="26"/>
        <v>-3.0215125130267828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5.5</v>
      </c>
      <c r="C96" s="4">
        <f t="shared" si="29"/>
        <v>-5.5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-5.4602755276642592</v>
      </c>
      <c r="C110" s="1">
        <f>(-1*B95*SIN($B$64))+(C95*COS($B$64))</f>
        <v>-5.5394396072157681</v>
      </c>
      <c r="D110" t="str">
        <f t="shared" ref="D110" si="31">D95</f>
        <v>y</v>
      </c>
      <c r="E110" s="4">
        <f t="shared" ref="E110:E121" si="32">IF($D110="y",$B$125-C110,0)</f>
        <v>0.72219132761046279</v>
      </c>
      <c r="F110" s="1">
        <f>IF($D110="y",B110,NA())</f>
        <v>-5.4602755276642592</v>
      </c>
      <c r="G110" s="1">
        <f>IF($D110="y",C110,NA())</f>
        <v>-5.5394396072157681</v>
      </c>
      <c r="H110">
        <f t="shared" ref="H110:H121" si="33">IF($E$122=0,0,-1*MAX(($B$67/$E$122)*(E110),0))</f>
        <v>-188.23922999999257</v>
      </c>
      <c r="I110">
        <f>H110*C110</f>
        <v>1042.7398462937574</v>
      </c>
      <c r="J110">
        <f>H110*B110*-1</f>
        <v>-1027.8380609153232</v>
      </c>
      <c r="K110">
        <f ca="1">H110/$B$55</f>
        <v>-310.7563502186004</v>
      </c>
      <c r="L110">
        <f ca="1">K110/$B$54</f>
        <v>-1.0715736214434496E-2</v>
      </c>
      <c r="M110">
        <f t="shared" ref="M110:M121" si="34">IFERROR(($D$66/$B$65)*(G110-$B$125),0)</f>
        <v>-8.2523266379286341E-5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5.5394396072157681</v>
      </c>
      <c r="C111" s="1">
        <f t="shared" ref="C111:C121" si="37">(-1*B96*SIN($B$64))+(C96*COS($B$64))</f>
        <v>-5.4602755276642592</v>
      </c>
      <c r="D111" t="str">
        <f t="shared" si="35"/>
        <v>y</v>
      </c>
      <c r="E111" s="4">
        <f t="shared" si="32"/>
        <v>0.64302724805895384</v>
      </c>
      <c r="F111" s="1">
        <f t="shared" ref="F111:G121" si="38">IF($D111="y",B111,NA())</f>
        <v>5.5394396072157681</v>
      </c>
      <c r="G111" s="1">
        <f t="shared" si="38"/>
        <v>-5.4602755276642592</v>
      </c>
      <c r="H111">
        <f t="shared" si="33"/>
        <v>-167.60510603766224</v>
      </c>
      <c r="I111">
        <f t="shared" ref="I111:I121" si="39">H111*C111</f>
        <v>915.17005880902025</v>
      </c>
      <c r="J111">
        <f t="shared" ref="J111:J121" si="40">H111*B111*-1</f>
        <v>928.43836275662488</v>
      </c>
      <c r="K111">
        <f ca="1">H111/$B$55</f>
        <v>-276.69232938462125</v>
      </c>
      <c r="L111">
        <f t="shared" ref="L111:L121" ca="1" si="41">K111/$B$54</f>
        <v>-9.5411148063662497E-3</v>
      </c>
      <c r="M111">
        <f t="shared" si="34"/>
        <v>-7.347735544856979E-5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-5.5394396072157681</v>
      </c>
      <c r="C112" s="1">
        <f t="shared" si="37"/>
        <v>5.4602755276642592</v>
      </c>
      <c r="D112" t="str">
        <f t="shared" si="35"/>
        <v>y</v>
      </c>
      <c r="E112" s="4">
        <f t="shared" si="32"/>
        <v>-10.277523807269564</v>
      </c>
      <c r="F112" s="1">
        <f t="shared" si="38"/>
        <v>-5.5394396072157681</v>
      </c>
      <c r="G112" s="1">
        <f t="shared" si="38"/>
        <v>5.4602755276642592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1.1743907776807759E-3</v>
      </c>
      <c r="N112">
        <f t="shared" si="42"/>
        <v>4.2423972866373783</v>
      </c>
      <c r="O112">
        <f t="shared" si="43"/>
        <v>23.164658082855333</v>
      </c>
      <c r="P112">
        <f t="shared" si="44"/>
        <v>23.500503559143798</v>
      </c>
    </row>
    <row r="113" spans="1:16" x14ac:dyDescent="0.25">
      <c r="A113">
        <f t="shared" si="35"/>
        <v>4</v>
      </c>
      <c r="B113" s="1">
        <f t="shared" si="36"/>
        <v>5.4602755276642592</v>
      </c>
      <c r="C113" s="1">
        <f t="shared" si="37"/>
        <v>5.5394396072157681</v>
      </c>
      <c r="D113" t="str">
        <f t="shared" si="35"/>
        <v>y</v>
      </c>
      <c r="E113" s="4">
        <f t="shared" si="32"/>
        <v>-10.356687886821074</v>
      </c>
      <c r="F113" s="1">
        <f t="shared" si="38"/>
        <v>5.4602755276642592</v>
      </c>
      <c r="G113" s="1">
        <f t="shared" si="38"/>
        <v>5.5394396072157681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1.1834366886114926E-3</v>
      </c>
      <c r="N113">
        <f t="shared" si="42"/>
        <v>4.2750749512759088</v>
      </c>
      <c r="O113">
        <f t="shared" si="43"/>
        <v>23.681519508913787</v>
      </c>
      <c r="P113">
        <f t="shared" si="44"/>
        <v>-23.343087135382319</v>
      </c>
    </row>
    <row r="114" spans="1:16" x14ac:dyDescent="0.25">
      <c r="A114">
        <f t="shared" si="35"/>
        <v>5</v>
      </c>
      <c r="B114" s="1">
        <f t="shared" si="36"/>
        <v>-6.9494415806636027</v>
      </c>
      <c r="C114" s="1">
        <f t="shared" si="37"/>
        <v>-7.0501958637291597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-6.9494415806636027</v>
      </c>
      <c r="C115" s="1">
        <f t="shared" si="37"/>
        <v>-7.0501958637291597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-6.9494415806636027</v>
      </c>
      <c r="C116" s="1">
        <f t="shared" si="37"/>
        <v>-7.0501958637291597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-6.9494415806636027</v>
      </c>
      <c r="C117" s="1">
        <f t="shared" si="37"/>
        <v>-7.0501958637291597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-6.9494415806636027</v>
      </c>
      <c r="C118" s="1">
        <f t="shared" si="37"/>
        <v>-7.0501958637291597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-6.9494415806636027</v>
      </c>
      <c r="C119" s="1">
        <f t="shared" si="37"/>
        <v>-7.0501958637291597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-6.9494415806636027</v>
      </c>
      <c r="C120" s="1">
        <f t="shared" si="37"/>
        <v>-7.0501958637291597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-6.9494415806636027</v>
      </c>
      <c r="C121" s="1">
        <f t="shared" si="37"/>
        <v>-7.0501958637291597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0.72219132761046279</v>
      </c>
      <c r="H122">
        <f>SUM(H110:H121)</f>
        <v>-355.84433603765478</v>
      </c>
      <c r="I122">
        <f t="shared" ref="I122:J122" si="46">SUM(I110:I121)</f>
        <v>1957.9099051027777</v>
      </c>
      <c r="J122">
        <f t="shared" si="46"/>
        <v>-99.399698158698357</v>
      </c>
      <c r="L122">
        <f ca="1">MIN(L110:L121)</f>
        <v>-1.0715736214434496E-2</v>
      </c>
      <c r="M122">
        <f>MIN(M110:M121)</f>
        <v>-8.2523266379286341E-5</v>
      </c>
      <c r="N122">
        <f>SUM(N110:N121)</f>
        <v>8.517472237913287</v>
      </c>
      <c r="O122">
        <f>SUM(O110:O121)</f>
        <v>46.84617759176912</v>
      </c>
      <c r="P122">
        <f>SUM(P110:P121)</f>
        <v>0.1574164237614788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-4.8172482796053053</v>
      </c>
      <c r="F125" s="1" t="s">
        <v>27</v>
      </c>
      <c r="G125" s="1" t="s">
        <v>28</v>
      </c>
    </row>
    <row r="126" spans="1:16" x14ac:dyDescent="0.25">
      <c r="F126" s="4">
        <f>MIN(B84:B90)-1</f>
        <v>-8.0501958637291597</v>
      </c>
      <c r="G126" s="4">
        <f>B125</f>
        <v>-4.8172482796053053</v>
      </c>
    </row>
    <row r="127" spans="1:16" x14ac:dyDescent="0.25">
      <c r="F127" s="4">
        <f>MAX(B84:B90)+1</f>
        <v>8.0501958637291597</v>
      </c>
      <c r="G127" s="4">
        <f>G126</f>
        <v>-4.8172482796053053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-6.9494415806636027</v>
      </c>
      <c r="C132" s="4">
        <f>C84</f>
        <v>-7.0501958637291597</v>
      </c>
      <c r="D132" s="4">
        <f t="shared" ref="D132:E139" si="47">B85</f>
        <v>7.0501958637291597</v>
      </c>
      <c r="E132" s="4">
        <f t="shared" si="47"/>
        <v>-6.9494415806636027</v>
      </c>
      <c r="F132" s="4">
        <f t="shared" ref="F132:F139" si="48">($B$66/$B$65)*(C132-$B$125)</f>
        <v>-1.0395697045866092</v>
      </c>
      <c r="G132" s="4">
        <f t="shared" ref="G132:G139" si="49">($B$66/$B$65)*(E132-$B$125)</f>
        <v>-0.99266260250011129</v>
      </c>
      <c r="H132" s="4">
        <f>IF(B132=D132,"V",(C132-E132)/(B132-D132))</f>
        <v>7.1969208821126901E-3</v>
      </c>
      <c r="I132" s="4">
        <f>IF(H132="V",0,(-1*B132*H132)+C132)</f>
        <v>-7.0001812824982599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7.0501958637291597</v>
      </c>
      <c r="C133" s="4">
        <f t="shared" si="50"/>
        <v>-6.9494415806636027</v>
      </c>
      <c r="D133" s="4">
        <f t="shared" si="47"/>
        <v>6.9494415806636027</v>
      </c>
      <c r="E133" s="4">
        <f t="shared" si="47"/>
        <v>7.0501958637291597</v>
      </c>
      <c r="F133" s="4">
        <f t="shared" si="48"/>
        <v>-0.99266260250011129</v>
      </c>
      <c r="G133" s="4">
        <f t="shared" si="49"/>
        <v>5.5250000000000004</v>
      </c>
      <c r="H133" s="4">
        <f t="shared" ref="H133:H139" si="51">IF(B133=D133,"V",(C133-E133)/(B133-D133))</f>
        <v>-138.94831086519397</v>
      </c>
      <c r="I133" s="4">
        <f t="shared" ref="I133:I139" si="52">IF(H133="V",0,(-1*B133*H133)+C133)</f>
        <v>972.66336495328039</v>
      </c>
      <c r="J133" s="4">
        <f t="shared" ref="J133:J139" si="53">IF($F133&gt;=0,B133,IF(AND($F133&lt;0,$G133&gt;=0),IF(H133="V",B133,($B$125-I133)/H133),0))</f>
        <v>7.0348506372360724</v>
      </c>
      <c r="K133" s="4">
        <f t="shared" ref="K133:K139" si="54">IF($F133&gt;=0,C133,IF(AND($F133&lt;0,$G133&gt;=0),$B$125,0))</f>
        <v>-4.8172482796053053</v>
      </c>
      <c r="L133" s="4">
        <f t="shared" ref="L133:L139" si="55">IF($G133&gt;=0,D133,IF(AND($G133&lt;0,$F133&gt;=0),IF(H133="V",D133,($B$125-I133)/H133),0))</f>
        <v>6.9494415806636027</v>
      </c>
      <c r="M133" s="4">
        <f t="shared" ref="M133:M139" si="56">IF($G133&gt;=0,E133,IF(AND($G133&lt;0,$F133&gt;=0),$B$125,0))</f>
        <v>7.0501958637291597</v>
      </c>
      <c r="N133" s="4">
        <f t="shared" ref="N133:O139" si="57">IF(F133&lt;0,IF($I$54="Linear",0,$B$66),IF($I$54="Linear",F133,$B$66))</f>
        <v>0</v>
      </c>
      <c r="O133" s="4">
        <f t="shared" si="57"/>
        <v>5.5250000000000004</v>
      </c>
      <c r="P133" s="4">
        <f t="shared" ref="P133:P139" si="58">(1/6)*(M133-K133)*((N133*((2*J133)+L133))+(O133*(J133+(2*L133))))</f>
        <v>228.76254817108352</v>
      </c>
      <c r="Q133" s="4">
        <f t="shared" ref="Q133:Q139" si="59">((1/12)*(M133-K133)*(N133*J133*((3*K133)+M133)+N133*L133*(K133+M133)+O133*J133*(K133+M133)+O133*L133*(K133+(3*M133))))</f>
        <v>706.03244700292259</v>
      </c>
      <c r="R133" s="4">
        <f t="shared" ref="R133:R139" si="60">((-1/24)*(M133-K133)*(J133*J133*((3*N133)+O133)+2*J133*L133*(N133+O133)+L133*L133*(N133+(3*O133))))</f>
        <v>-798.14902409127035</v>
      </c>
    </row>
    <row r="134" spans="1:18" x14ac:dyDescent="0.25">
      <c r="A134" t="s">
        <v>71</v>
      </c>
      <c r="B134" s="4">
        <f t="shared" si="50"/>
        <v>6.9494415806636027</v>
      </c>
      <c r="C134" s="4">
        <f t="shared" si="50"/>
        <v>7.0501958637291597</v>
      </c>
      <c r="D134" s="4">
        <f t="shared" si="47"/>
        <v>-7.0501958637291597</v>
      </c>
      <c r="E134" s="4">
        <f t="shared" si="47"/>
        <v>6.9494415806636027</v>
      </c>
      <c r="F134" s="4">
        <f t="shared" si="48"/>
        <v>5.5250000000000004</v>
      </c>
      <c r="G134" s="4">
        <f t="shared" si="49"/>
        <v>5.478092897913502</v>
      </c>
      <c r="H134" s="4">
        <f t="shared" si="51"/>
        <v>7.1969208821126901E-3</v>
      </c>
      <c r="I134" s="4">
        <f t="shared" si="52"/>
        <v>7.0001812824982599</v>
      </c>
      <c r="J134" s="4">
        <f t="shared" si="53"/>
        <v>6.9494415806636027</v>
      </c>
      <c r="K134" s="4">
        <f t="shared" si="54"/>
        <v>7.0501958637291597</v>
      </c>
      <c r="L134" s="4">
        <f t="shared" si="55"/>
        <v>-7.0501958637291597</v>
      </c>
      <c r="M134" s="4">
        <f t="shared" si="56"/>
        <v>6.9494415806636027</v>
      </c>
      <c r="N134" s="4">
        <f t="shared" si="57"/>
        <v>5.5250000000000004</v>
      </c>
      <c r="O134" s="4">
        <f t="shared" si="57"/>
        <v>5.478092897913502</v>
      </c>
      <c r="P134" s="4">
        <f t="shared" si="58"/>
        <v>2.2410639050816542E-2</v>
      </c>
      <c r="Q134" s="4">
        <f t="shared" si="59"/>
        <v>9.1717468088219192E-2</v>
      </c>
      <c r="R134" s="4">
        <f t="shared" si="60"/>
        <v>4.5270101611151494</v>
      </c>
    </row>
    <row r="135" spans="1:18" x14ac:dyDescent="0.25">
      <c r="A135" t="s">
        <v>72</v>
      </c>
      <c r="B135" s="4">
        <f t="shared" si="50"/>
        <v>-7.0501958637291597</v>
      </c>
      <c r="C135" s="4">
        <f t="shared" si="50"/>
        <v>6.9494415806636027</v>
      </c>
      <c r="D135" s="4">
        <f t="shared" si="47"/>
        <v>-6.9494415806636027</v>
      </c>
      <c r="E135" s="4">
        <f t="shared" si="47"/>
        <v>-7.0501958637291597</v>
      </c>
      <c r="F135" s="4">
        <f t="shared" si="48"/>
        <v>5.478092897913502</v>
      </c>
      <c r="G135" s="4">
        <f t="shared" si="49"/>
        <v>-1.0395697045866092</v>
      </c>
      <c r="H135" s="4">
        <f t="shared" si="51"/>
        <v>-138.94831086519397</v>
      </c>
      <c r="I135" s="4">
        <f t="shared" si="52"/>
        <v>-972.66336495328039</v>
      </c>
      <c r="J135" s="4">
        <f t="shared" si="53"/>
        <v>-7.0501958637291597</v>
      </c>
      <c r="K135" s="4">
        <f t="shared" si="54"/>
        <v>6.9494415806636027</v>
      </c>
      <c r="L135" s="4">
        <f t="shared" si="55"/>
        <v>-6.9655119277604465</v>
      </c>
      <c r="M135" s="4">
        <f t="shared" si="56"/>
        <v>-4.8172482796053053</v>
      </c>
      <c r="N135" s="4">
        <f t="shared" si="57"/>
        <v>5.478092897913502</v>
      </c>
      <c r="O135" s="4">
        <f t="shared" si="57"/>
        <v>0</v>
      </c>
      <c r="P135" s="4">
        <f t="shared" si="58"/>
        <v>226.3145847175592</v>
      </c>
      <c r="Q135" s="4">
        <f t="shared" si="59"/>
        <v>686.88631353611515</v>
      </c>
      <c r="R135" s="4">
        <f t="shared" si="60"/>
        <v>794.59329317487493</v>
      </c>
    </row>
    <row r="136" spans="1:18" x14ac:dyDescent="0.25">
      <c r="A136" t="s">
        <v>73</v>
      </c>
      <c r="B136" s="4">
        <f t="shared" si="50"/>
        <v>-6.9494415806636027</v>
      </c>
      <c r="C136" s="4">
        <f t="shared" si="50"/>
        <v>-7.0501958637291597</v>
      </c>
      <c r="D136" s="4">
        <f t="shared" si="47"/>
        <v>-6.9494415806636027</v>
      </c>
      <c r="E136" s="4">
        <f t="shared" si="47"/>
        <v>-7.0501958637291597</v>
      </c>
      <c r="F136" s="4">
        <f t="shared" si="48"/>
        <v>-1.0395697045866092</v>
      </c>
      <c r="G136" s="4">
        <f t="shared" si="49"/>
        <v>-1.0395697045866092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-6.9494415806636027</v>
      </c>
      <c r="C137" s="4">
        <f t="shared" si="50"/>
        <v>-7.0501958637291597</v>
      </c>
      <c r="D137" s="4">
        <f t="shared" si="47"/>
        <v>-6.9494415806636027</v>
      </c>
      <c r="E137" s="4">
        <f t="shared" si="47"/>
        <v>-7.0501958637291597</v>
      </c>
      <c r="F137" s="4">
        <f t="shared" si="48"/>
        <v>-1.0395697045866092</v>
      </c>
      <c r="G137" s="4">
        <f t="shared" si="49"/>
        <v>-1.0395697045866092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-6.9494415806636027</v>
      </c>
      <c r="C138" s="4">
        <f t="shared" si="50"/>
        <v>-7.0501958637291597</v>
      </c>
      <c r="D138" s="4">
        <f t="shared" si="47"/>
        <v>-6.9494415806636027</v>
      </c>
      <c r="E138" s="4">
        <f t="shared" si="47"/>
        <v>-7.0501958637291597</v>
      </c>
      <c r="F138" s="4">
        <f t="shared" si="48"/>
        <v>-1.0395697045866092</v>
      </c>
      <c r="G138" s="4">
        <f t="shared" si="49"/>
        <v>-1.0395697045866092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-6.9494415806636027</v>
      </c>
      <c r="C139" s="4">
        <f>E138</f>
        <v>-7.0501958637291597</v>
      </c>
      <c r="D139" s="4">
        <f t="shared" si="47"/>
        <v>-6.9494415806636027</v>
      </c>
      <c r="E139" s="4">
        <f t="shared" si="47"/>
        <v>-7.0501958637291597</v>
      </c>
      <c r="F139" s="4">
        <f t="shared" si="48"/>
        <v>-1.0395697045866092</v>
      </c>
      <c r="G139" s="4">
        <f t="shared" si="49"/>
        <v>-1.0395697045866092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455.09954352769353</v>
      </c>
      <c r="Q140" s="4">
        <f>SUM(Q132:Q139)</f>
        <v>1393.010478007126</v>
      </c>
      <c r="R140" s="4">
        <f>SUM(R132:R139)</f>
        <v>0.97127924471976712</v>
      </c>
    </row>
    <row r="142" spans="1:18" x14ac:dyDescent="0.25">
      <c r="O142" t="s">
        <v>96</v>
      </c>
      <c r="P142" s="1">
        <f>-1*R140/P140</f>
        <v>-2.1342127420979564E-3</v>
      </c>
    </row>
    <row r="143" spans="1:18" x14ac:dyDescent="0.25">
      <c r="O143" t="s">
        <v>97</v>
      </c>
      <c r="P143" s="1">
        <f>Q140/P140</f>
        <v>3.0608918374411842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-2.9783321059986867</v>
      </c>
      <c r="C146" s="9">
        <f>J84</f>
        <v>-3.0215125130267828</v>
      </c>
      <c r="D146" s="9">
        <f t="shared" ref="D146:E153" si="61">I85</f>
        <v>-3.0215125130267828</v>
      </c>
      <c r="E146">
        <f t="shared" si="61"/>
        <v>2.9783321059986867</v>
      </c>
      <c r="F146" s="4">
        <f>($B$66/$B$65)*(C146-$B$125)</f>
        <v>0.8360216395809934</v>
      </c>
      <c r="G146" s="4">
        <f>($B$66/$B$65)*(E146-$B$125)</f>
        <v>3.6293056120810414</v>
      </c>
      <c r="H146" s="4">
        <f>IF(B146=D146,"V",(C146-E146)/(B146-D146))</f>
        <v>-138.94831086519315</v>
      </c>
      <c r="I146" s="4">
        <f>IF(H146="V",0,(-1*B146*H146)+C146)</f>
        <v>-416.85572783711768</v>
      </c>
      <c r="J146" s="4">
        <f>IF($F146&gt;=0,B146,IF(AND($F146&lt;0,$G146&gt;=0),IF(H146="V",B146,($B$125-I146)/H146),0))</f>
        <v>-2.9783321059986867</v>
      </c>
      <c r="K146" s="4">
        <f>IF($F146&gt;=0,C146,IF(AND($F146&lt;0,$G146&gt;=0),$B$125,0))</f>
        <v>-3.0215125130267828</v>
      </c>
      <c r="L146" s="4">
        <f>IF($G146&gt;=0,D146,IF(AND($G146&lt;0,$F146&gt;=0),IF(H146="V",D146,($B$125-I146)/H146),0))</f>
        <v>-3.0215125130267828</v>
      </c>
      <c r="M146" s="4">
        <f>IF($G146&gt;=0,E146,IF(AND($G146&lt;0,$F146&gt;=0),$B$125,0))</f>
        <v>2.9783321059986867</v>
      </c>
      <c r="N146" s="4">
        <f>IF(F146&lt;0,IF($I$54="Linear",0,$B$66),IF($I$54="Linear",F146,$B$66))</f>
        <v>0.8360216395809934</v>
      </c>
      <c r="O146" s="4">
        <f>IF(G146&lt;0,IF($I$54="Linear",0,$B$66),IF($I$54="Linear",G146,$B$66))</f>
        <v>3.6293056120810414</v>
      </c>
      <c r="P146" s="4">
        <f>(1/6)*(M146-K146)*((N146*((2*J146)+L146))+(O146*(J146+(2*L146))))</f>
        <v>-40.246169818874293</v>
      </c>
      <c r="Q146" s="4">
        <f>((1/12)*(M146-K146)*(N146*J146*((3*K146)+M146)+N146*L146*(K146+M146)+O146*J146*(K146+M146)+O146*L146*(K146+(3*M146))))</f>
        <v>-24.557886694383335</v>
      </c>
      <c r="R146" s="4">
        <f>((-1/24)*(M146-K146)*(J146*J146*((3*N146)+O146)+2*J146*L146*(N146+O146)+L146*L146*(N146+(3*O146))))</f>
        <v>-60.459188724856439</v>
      </c>
    </row>
    <row r="147" spans="1:18" x14ac:dyDescent="0.25">
      <c r="A147" t="s">
        <v>70</v>
      </c>
      <c r="B147" s="9">
        <f t="shared" ref="B147:C153" si="62">D146</f>
        <v>-3.0215125130267828</v>
      </c>
      <c r="C147">
        <f t="shared" si="62"/>
        <v>2.9783321059986867</v>
      </c>
      <c r="D147" s="9">
        <f t="shared" si="61"/>
        <v>2.9783321059986867</v>
      </c>
      <c r="E147">
        <f t="shared" si="61"/>
        <v>3.0215125130267828</v>
      </c>
      <c r="F147" s="4">
        <f t="shared" ref="F147:F153" si="63">($B$66/$B$65)*(C147-$B$125)</f>
        <v>3.6293056120810414</v>
      </c>
      <c r="G147" s="4">
        <f t="shared" ref="G147:G153" si="64">($B$66/$B$65)*(E147-$B$125)</f>
        <v>3.6494086558323979</v>
      </c>
      <c r="H147" s="4">
        <f t="shared" ref="H147:H153" si="65">IF(B147=D147,"V",(C147-E147)/(B147-D147))</f>
        <v>7.1969208821127326E-3</v>
      </c>
      <c r="I147" s="4">
        <f t="shared" ref="I147:I153" si="66">IF(H147="V",0,(-1*B147*H147)+C147)</f>
        <v>3.000077692499254</v>
      </c>
      <c r="J147" s="4">
        <f t="shared" ref="J147:J153" si="67">IF($F147&gt;=0,B147,IF(AND($F147&lt;0,$G147&gt;=0),IF(H147="V",B147,($B$125-I147)/H147),0))</f>
        <v>-3.0215125130267828</v>
      </c>
      <c r="K147" s="4">
        <f t="shared" ref="K147:K153" si="68">IF($F147&gt;=0,C147,IF(AND($F147&lt;0,$G147&gt;=0),$B$125,0))</f>
        <v>2.9783321059986867</v>
      </c>
      <c r="L147" s="4">
        <f t="shared" ref="L147:L153" si="69">IF($G147&gt;=0,D147,IF(AND($G147&lt;0,$F147&gt;=0),IF(H147="V",D147,($B$125-I147)/H147),0))</f>
        <v>2.9783321059986867</v>
      </c>
      <c r="M147" s="4">
        <f t="shared" ref="M147:M153" si="70">IF($G147&gt;=0,E147,IF(AND($G147&lt;0,$F147&gt;=0),$B$125,0))</f>
        <v>3.0215125130267828</v>
      </c>
      <c r="N147" s="4">
        <f t="shared" ref="N147:O153" si="71">IF(F147&lt;0,IF($I$54="Linear",0,$B$66),IF($I$54="Linear",F147,$B$66))</f>
        <v>3.6293056120810414</v>
      </c>
      <c r="O147" s="4">
        <f t="shared" si="71"/>
        <v>3.6494086558323979</v>
      </c>
      <c r="P147" s="4">
        <f t="shared" ref="P147:P153" si="72">(1/6)*(M147-K147)*((N147*((2*J147)+L147))+(O147*(J147+(2*L147))))</f>
        <v>-2.9588596499967924E-3</v>
      </c>
      <c r="Q147" s="4">
        <f t="shared" ref="Q147:Q153" si="73">((1/12)*(M147-K147)*(N147*J147*((3*K147)+M147)+N147*L147*(K147+M147)+O147*J147*(K147+M147)+O147*L147*(K147+(3*M147))))</f>
        <v>-5.4836271625786637E-3</v>
      </c>
      <c r="R147" s="4">
        <f t="shared" ref="R147:R153" si="74">((-1/24)*(M147-K147)*(J147*J147*((3*N147)+O147)+2*J147*L147*(N147+O147)+L147*L147*(N147+(3*O147))))</f>
        <v>-0.23573843065623837</v>
      </c>
    </row>
    <row r="148" spans="1:18" x14ac:dyDescent="0.25">
      <c r="A148" t="s">
        <v>71</v>
      </c>
      <c r="B148" s="9">
        <f t="shared" si="62"/>
        <v>2.9783321059986867</v>
      </c>
      <c r="C148">
        <f t="shared" si="62"/>
        <v>3.0215125130267828</v>
      </c>
      <c r="D148" s="9">
        <f t="shared" si="61"/>
        <v>3.0215125130267828</v>
      </c>
      <c r="E148">
        <f t="shared" si="61"/>
        <v>-2.9783321059986867</v>
      </c>
      <c r="F148" s="4">
        <f t="shared" si="63"/>
        <v>3.6494086558323979</v>
      </c>
      <c r="G148" s="4">
        <f t="shared" si="64"/>
        <v>0.85612468333234981</v>
      </c>
      <c r="H148" s="4">
        <f t="shared" si="65"/>
        <v>-138.94831086519315</v>
      </c>
      <c r="I148" s="4">
        <f t="shared" si="66"/>
        <v>416.85572783711768</v>
      </c>
      <c r="J148" s="4">
        <f t="shared" si="67"/>
        <v>2.9783321059986867</v>
      </c>
      <c r="K148" s="4">
        <f t="shared" si="68"/>
        <v>3.0215125130267828</v>
      </c>
      <c r="L148" s="4">
        <f t="shared" si="69"/>
        <v>3.0215125130267828</v>
      </c>
      <c r="M148" s="4">
        <f t="shared" si="70"/>
        <v>-2.9783321059986867</v>
      </c>
      <c r="N148" s="4">
        <f t="shared" si="71"/>
        <v>3.6494086558323979</v>
      </c>
      <c r="O148" s="4">
        <f t="shared" si="71"/>
        <v>0.85612468333234981</v>
      </c>
      <c r="P148" s="4">
        <f t="shared" si="72"/>
        <v>-40.487393849530228</v>
      </c>
      <c r="Q148" s="4">
        <f t="shared" si="73"/>
        <v>-25.719922741060149</v>
      </c>
      <c r="R148" s="4">
        <f t="shared" si="74"/>
        <v>60.640111433172855</v>
      </c>
    </row>
    <row r="149" spans="1:18" x14ac:dyDescent="0.25">
      <c r="A149" t="s">
        <v>72</v>
      </c>
      <c r="B149" s="9">
        <f t="shared" si="62"/>
        <v>3.0215125130267828</v>
      </c>
      <c r="C149">
        <f t="shared" si="62"/>
        <v>-2.9783321059986867</v>
      </c>
      <c r="D149" s="9">
        <f t="shared" si="61"/>
        <v>-2.9783321059986867</v>
      </c>
      <c r="E149">
        <f t="shared" si="61"/>
        <v>-3.0215125130267828</v>
      </c>
      <c r="F149" s="4">
        <f t="shared" si="63"/>
        <v>0.85612468333234981</v>
      </c>
      <c r="G149" s="4">
        <f t="shared" si="64"/>
        <v>0.8360216395809934</v>
      </c>
      <c r="H149" s="4">
        <f t="shared" si="65"/>
        <v>7.1969208821127326E-3</v>
      </c>
      <c r="I149" s="4">
        <f t="shared" si="66"/>
        <v>-3.000077692499254</v>
      </c>
      <c r="J149" s="4">
        <f t="shared" si="67"/>
        <v>3.0215125130267828</v>
      </c>
      <c r="K149" s="4">
        <f t="shared" si="68"/>
        <v>-2.9783321059986867</v>
      </c>
      <c r="L149" s="4">
        <f t="shared" si="69"/>
        <v>-2.9783321059986867</v>
      </c>
      <c r="M149" s="4">
        <f t="shared" si="70"/>
        <v>-3.0215125130267828</v>
      </c>
      <c r="N149" s="4">
        <f t="shared" si="71"/>
        <v>0.85612468333234981</v>
      </c>
      <c r="O149" s="4">
        <f t="shared" si="71"/>
        <v>0.8360216395809934</v>
      </c>
      <c r="P149" s="4">
        <f t="shared" si="72"/>
        <v>-1.2227893865016284E-3</v>
      </c>
      <c r="Q149" s="4">
        <f t="shared" si="73"/>
        <v>2.8794543275172148E-3</v>
      </c>
      <c r="R149" s="4">
        <f t="shared" si="74"/>
        <v>5.4815722339824444E-2</v>
      </c>
    </row>
    <row r="150" spans="1:18" x14ac:dyDescent="0.25">
      <c r="A150" t="s">
        <v>73</v>
      </c>
      <c r="B150" s="9">
        <f t="shared" si="62"/>
        <v>-2.9783321059986867</v>
      </c>
      <c r="C150">
        <f t="shared" si="62"/>
        <v>-3.0215125130267828</v>
      </c>
      <c r="D150" s="9">
        <f t="shared" si="61"/>
        <v>-2.9783321059986867</v>
      </c>
      <c r="E150">
        <f t="shared" si="61"/>
        <v>-3.0215125130267828</v>
      </c>
      <c r="F150" s="4">
        <f t="shared" si="63"/>
        <v>0.8360216395809934</v>
      </c>
      <c r="G150" s="4">
        <f t="shared" si="64"/>
        <v>0.8360216395809934</v>
      </c>
      <c r="H150" s="4" t="str">
        <f t="shared" si="65"/>
        <v>V</v>
      </c>
      <c r="I150" s="4">
        <f t="shared" si="66"/>
        <v>0</v>
      </c>
      <c r="J150" s="4">
        <f t="shared" si="67"/>
        <v>-2.9783321059986867</v>
      </c>
      <c r="K150" s="4">
        <f t="shared" si="68"/>
        <v>-3.0215125130267828</v>
      </c>
      <c r="L150" s="4">
        <f t="shared" si="69"/>
        <v>-2.9783321059986867</v>
      </c>
      <c r="M150" s="4">
        <f t="shared" si="70"/>
        <v>-3.0215125130267828</v>
      </c>
      <c r="N150" s="4">
        <f t="shared" si="71"/>
        <v>0.8360216395809934</v>
      </c>
      <c r="O150" s="4">
        <f t="shared" si="71"/>
        <v>0.8360216395809934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-2.9783321059986867</v>
      </c>
      <c r="C151">
        <f t="shared" si="62"/>
        <v>-3.0215125130267828</v>
      </c>
      <c r="D151" s="9">
        <f t="shared" si="61"/>
        <v>-2.9783321059986867</v>
      </c>
      <c r="E151">
        <f t="shared" si="61"/>
        <v>-3.0215125130267828</v>
      </c>
      <c r="F151" s="4">
        <f t="shared" si="63"/>
        <v>0.8360216395809934</v>
      </c>
      <c r="G151" s="4">
        <f t="shared" si="64"/>
        <v>0.8360216395809934</v>
      </c>
      <c r="H151" s="4" t="str">
        <f t="shared" si="65"/>
        <v>V</v>
      </c>
      <c r="I151" s="4">
        <f t="shared" si="66"/>
        <v>0</v>
      </c>
      <c r="J151" s="4">
        <f t="shared" si="67"/>
        <v>-2.9783321059986867</v>
      </c>
      <c r="K151" s="4">
        <f t="shared" si="68"/>
        <v>-3.0215125130267828</v>
      </c>
      <c r="L151" s="4">
        <f t="shared" si="69"/>
        <v>-2.9783321059986867</v>
      </c>
      <c r="M151" s="4">
        <f t="shared" si="70"/>
        <v>-3.0215125130267828</v>
      </c>
      <c r="N151" s="4">
        <f t="shared" si="71"/>
        <v>0.8360216395809934</v>
      </c>
      <c r="O151" s="4">
        <f t="shared" si="71"/>
        <v>0.8360216395809934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-2.9783321059986867</v>
      </c>
      <c r="C152">
        <f t="shared" si="62"/>
        <v>-3.0215125130267828</v>
      </c>
      <c r="D152" s="9">
        <f t="shared" si="61"/>
        <v>-2.9783321059986867</v>
      </c>
      <c r="E152">
        <f t="shared" si="61"/>
        <v>-3.0215125130267828</v>
      </c>
      <c r="F152" s="4">
        <f t="shared" si="63"/>
        <v>0.8360216395809934</v>
      </c>
      <c r="G152" s="4">
        <f t="shared" si="64"/>
        <v>0.8360216395809934</v>
      </c>
      <c r="H152" s="4" t="str">
        <f t="shared" si="65"/>
        <v>V</v>
      </c>
      <c r="I152" s="4">
        <f t="shared" si="66"/>
        <v>0</v>
      </c>
      <c r="J152" s="4">
        <f t="shared" si="67"/>
        <v>-2.9783321059986867</v>
      </c>
      <c r="K152" s="4">
        <f t="shared" si="68"/>
        <v>-3.0215125130267828</v>
      </c>
      <c r="L152" s="4">
        <f t="shared" si="69"/>
        <v>-2.9783321059986867</v>
      </c>
      <c r="M152" s="4">
        <f t="shared" si="70"/>
        <v>-3.0215125130267828</v>
      </c>
      <c r="N152" s="4">
        <f t="shared" si="71"/>
        <v>0.8360216395809934</v>
      </c>
      <c r="O152" s="4">
        <f t="shared" si="71"/>
        <v>0.8360216395809934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-2.9783321059986867</v>
      </c>
      <c r="C153">
        <f t="shared" si="62"/>
        <v>-3.0215125130267828</v>
      </c>
      <c r="D153" s="9">
        <f t="shared" si="61"/>
        <v>-2.9783321059986867</v>
      </c>
      <c r="E153">
        <f t="shared" si="61"/>
        <v>-3.0215125130267828</v>
      </c>
      <c r="F153" s="4">
        <f t="shared" si="63"/>
        <v>0.8360216395809934</v>
      </c>
      <c r="G153" s="4">
        <f t="shared" si="64"/>
        <v>0.8360216395809934</v>
      </c>
      <c r="H153" s="4" t="str">
        <f t="shared" si="65"/>
        <v>V</v>
      </c>
      <c r="I153" s="4">
        <f t="shared" si="66"/>
        <v>0</v>
      </c>
      <c r="J153" s="4">
        <f t="shared" si="67"/>
        <v>-2.9783321059986867</v>
      </c>
      <c r="K153" s="4">
        <f t="shared" si="68"/>
        <v>-3.0215125130267828</v>
      </c>
      <c r="L153" s="4">
        <f t="shared" si="69"/>
        <v>-2.9783321059986867</v>
      </c>
      <c r="M153" s="4">
        <f t="shared" si="70"/>
        <v>-3.0215125130267828</v>
      </c>
      <c r="N153" s="4">
        <f t="shared" si="71"/>
        <v>0.8360216395809934</v>
      </c>
      <c r="O153" s="4">
        <f t="shared" si="71"/>
        <v>0.8360216395809934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-80.737745317441011</v>
      </c>
      <c r="Q154" s="4">
        <f t="shared" ref="Q154:R154" si="75">SUM(Q146:Q153)</f>
        <v>-50.280413608278543</v>
      </c>
      <c r="R154" s="4">
        <f t="shared" si="75"/>
        <v>-4.5796699765787707E-16</v>
      </c>
    </row>
    <row r="156" spans="1:18" x14ac:dyDescent="0.25">
      <c r="O156" t="s">
        <v>96</v>
      </c>
      <c r="P156" s="1">
        <f>-1*R154/P154</f>
        <v>-5.672278757070354E-18</v>
      </c>
    </row>
    <row r="157" spans="1:18" x14ac:dyDescent="0.25">
      <c r="O157" t="s">
        <v>97</v>
      </c>
      <c r="P157" s="1">
        <f>Q154/P154</f>
        <v>0.6227621716532743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9.9999899346844447</v>
      </c>
      <c r="C159" t="s">
        <v>36</v>
      </c>
    </row>
    <row r="160" spans="1:18" x14ac:dyDescent="0.25">
      <c r="A160" s="1" t="s">
        <v>106</v>
      </c>
      <c r="B160" s="4">
        <f>Q140+I122+Q154-O122</f>
        <v>3253.7937919098563</v>
      </c>
      <c r="C160" t="s">
        <v>102</v>
      </c>
    </row>
    <row r="161" spans="1:9" x14ac:dyDescent="0.25">
      <c r="A161" s="1" t="s">
        <v>107</v>
      </c>
      <c r="B161" s="4">
        <f>R140+J122+R154-P122</f>
        <v>-98.585835337740065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9.9999899346844447</v>
      </c>
      <c r="C164" t="s">
        <v>36</v>
      </c>
      <c r="E164" s="8">
        <f>B2-B164</f>
        <v>1.0065315555252141E-5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3253.0000328852902</v>
      </c>
      <c r="C165" t="s">
        <v>102</v>
      </c>
      <c r="E165" s="8">
        <f>B3+B165</f>
        <v>3.2885290238482412E-5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-121.99997233057164</v>
      </c>
      <c r="C166" t="s">
        <v>102</v>
      </c>
      <c r="E166" s="8">
        <f>B4+B166</f>
        <v>2.766942836274211E-5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-717.42728060036109</v>
      </c>
      <c r="C169" s="3">
        <f ca="1">A169+B169</f>
        <v>-711.90228060036111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-1.0674574455167157E-10</v>
      </c>
      <c r="C175" s="27">
        <f>B65*SQRT(I175)</f>
        <v>1.7602264260297868E-7</v>
      </c>
      <c r="D175" s="27">
        <f>B66*SQRT(I175)</f>
        <v>8.1948993282407074E-8</v>
      </c>
      <c r="E175" s="27">
        <f>B67*SQRT(I175)</f>
        <v>2.7920389854759944E-6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-7.1967967362730791E-3</v>
      </c>
      <c r="C176" s="3">
        <f>B65+C175</f>
        <v>11.867444319357107</v>
      </c>
      <c r="D176" s="3">
        <f>D175+B66</f>
        <v>5.5250000819489937</v>
      </c>
      <c r="E176" s="3">
        <f>B67+E175</f>
        <v>188.23923279203154</v>
      </c>
      <c r="F176" s="16" t="s">
        <v>125</v>
      </c>
    </row>
    <row r="177" spans="1:13" x14ac:dyDescent="0.25">
      <c r="B177" s="27">
        <f>B176-B64</f>
        <v>-1.0674574418834126E-10</v>
      </c>
      <c r="C177" s="27">
        <f>C176-B65</f>
        <v>1.7602264179572558E-7</v>
      </c>
      <c r="D177" s="27">
        <f>D176-B66</f>
        <v>8.1948993368996526E-8</v>
      </c>
      <c r="E177" s="27">
        <f>E176-B67</f>
        <v>2.7920389982227789E-6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-66.216168527026809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6.949439090756095</v>
      </c>
      <c r="B181" s="25">
        <f>(d_alpha_p!E136-d_alpha_m!E136)/(2*B177)</f>
        <v>6.949439090756095</v>
      </c>
      <c r="C181" s="25">
        <f>(d_alpha_p!E137-d_alpha_m!E137)/(2*B177)</f>
        <v>6.949439090756095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-1.0065315555252141E-5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-3.2885290238482412E-5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-2.766942836274211E-5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711.90228060036111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-66.216168527026809</v>
      </c>
      <c r="B190" s="25">
        <f>A181</f>
        <v>6.949439090756095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6.949439090756095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6.949439090756095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-66.216168527026809</v>
      </c>
      <c r="B201" s="25">
        <f t="shared" ref="B201:C201" si="77">B190</f>
        <v>6.949439090756095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6.949439090756095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6.949439090756095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42" workbookViewId="0">
      <selection activeCell="B67" sqref="B67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</v>
      </c>
      <c r="C2" t="s">
        <v>36</v>
      </c>
      <c r="D2" t="s">
        <v>103</v>
      </c>
      <c r="H2" t="s">
        <v>110</v>
      </c>
      <c r="I2">
        <f>B2/D22</f>
        <v>5.1020408163265307E-2</v>
      </c>
      <c r="J2" t="s">
        <v>11</v>
      </c>
    </row>
    <row r="3" spans="1:29" x14ac:dyDescent="0.25">
      <c r="A3" s="10" t="s">
        <v>79</v>
      </c>
      <c r="B3" s="17">
        <f>'Rigid Bearing Plate Analysis'!B3</f>
        <v>-3253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-7.1129737609329435</v>
      </c>
      <c r="J3" t="s">
        <v>11</v>
      </c>
    </row>
    <row r="4" spans="1:29" x14ac:dyDescent="0.25">
      <c r="A4" s="10" t="s">
        <v>80</v>
      </c>
      <c r="B4" s="17">
        <f>'Rigid Bearing Plate Analysis'!B4</f>
        <v>122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0.26676384839650141</v>
      </c>
      <c r="J4" t="s">
        <v>11</v>
      </c>
    </row>
    <row r="5" spans="1:29" x14ac:dyDescent="0.25">
      <c r="A5" s="10" t="s">
        <v>104</v>
      </c>
      <c r="B5" s="20">
        <f>ATAN2(B3,B4)</f>
        <v>3.1041063796879369</v>
      </c>
      <c r="C5" t="s">
        <v>19</v>
      </c>
      <c r="I5">
        <f>SUM(I2:I4)</f>
        <v>-6.7951895043731767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7.1129737609329435</v>
      </c>
      <c r="AB14">
        <f>$B$4/Z14</f>
        <v>0.26676384839650141</v>
      </c>
      <c r="AC14">
        <f>$I$2+AA14+AB14</f>
        <v>7.4307580174927104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-7.1129737609329435</v>
      </c>
      <c r="AB15">
        <f t="shared" ref="AB15:AB21" si="11">$B$4/Z15</f>
        <v>0.26676384839650141</v>
      </c>
      <c r="AC15">
        <f t="shared" ref="AC15:AC20" si="12">$I$2+AA15+AB15</f>
        <v>-6.7951895043731767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-7.1129737609329435</v>
      </c>
      <c r="AB16">
        <f t="shared" si="11"/>
        <v>-0.26676384839650141</v>
      </c>
      <c r="AC16">
        <f t="shared" si="12"/>
        <v>-7.3287172011661799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7.1129737609329435</v>
      </c>
      <c r="AB17">
        <f t="shared" si="11"/>
        <v>-0.26676384839650141</v>
      </c>
      <c r="AC17">
        <f t="shared" si="12"/>
        <v>6.8972303206997072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7.1129737609329435</v>
      </c>
      <c r="AB18">
        <f t="shared" si="11"/>
        <v>-0.26676384839650141</v>
      </c>
      <c r="AC18">
        <f t="shared" si="12"/>
        <v>6.8972303206997072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7.1129737609329435</v>
      </c>
      <c r="AB19">
        <f t="shared" si="11"/>
        <v>-0.26676384839650141</v>
      </c>
      <c r="AC19">
        <f t="shared" si="12"/>
        <v>6.8972303206997072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7.1129737609329435</v>
      </c>
      <c r="AB20">
        <f t="shared" si="11"/>
        <v>-0.26676384839650141</v>
      </c>
      <c r="AC20">
        <f t="shared" si="12"/>
        <v>6.8972303206997072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-0.26676384839650141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10</v>
      </c>
      <c r="D26" s="5">
        <f>((B25*C26)-(B26*C25))*0.5</f>
        <v>12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10</v>
      </c>
      <c r="D27" s="5">
        <f t="shared" ref="D27:D33" si="13">((B26*C27)-(B27*C26))*0.5</f>
        <v>-30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4</v>
      </c>
      <c r="D28" s="5">
        <f t="shared" si="13"/>
        <v>-30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4</v>
      </c>
      <c r="D29" s="5">
        <f t="shared" si="13"/>
        <v>12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4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4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4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4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-36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12.5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12.5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12.5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13" x14ac:dyDescent="0.25">
      <c r="A51" s="10" t="s">
        <v>8</v>
      </c>
      <c r="B51" s="17">
        <f>'Rigid Bearing Plate Analysis'!B51</f>
        <v>5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-6.3948846218409017E-14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-4.8316906031686813E-13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4.8738259691965924E-13</v>
      </c>
      <c r="M57" s="17" t="str">
        <f ca="1">'Rigid Bearing Plate Analysis'!M57</f>
        <v>SOLUTION IF STRAIN IGNORED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</row>
    <row r="61" spans="1:13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3" x14ac:dyDescent="0.25">
      <c r="A63" s="16" t="s">
        <v>38</v>
      </c>
    </row>
    <row r="64" spans="1:13" x14ac:dyDescent="0.25">
      <c r="A64" s="11" t="s">
        <v>39</v>
      </c>
      <c r="B64" s="17">
        <f>'Rigid Bearing Plate Analysis'!B64</f>
        <v>-7.1967966295273349E-3</v>
      </c>
      <c r="C64" t="s">
        <v>19</v>
      </c>
      <c r="D64" t="s">
        <v>34</v>
      </c>
      <c r="H64" s="17">
        <f>DEGREES(B64)</f>
        <v>-0.4123460728858922</v>
      </c>
      <c r="I64" t="s">
        <v>41</v>
      </c>
    </row>
    <row r="65" spans="1:18" x14ac:dyDescent="0.25">
      <c r="A65" s="1" t="s">
        <v>40</v>
      </c>
      <c r="B65" s="17">
        <f>'Rigid Bearing Plate Analysis'!B65</f>
        <v>11.86744431935711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188.23923279203154</v>
      </c>
      <c r="C67" t="s">
        <v>36</v>
      </c>
      <c r="D67" t="s">
        <v>122</v>
      </c>
      <c r="G67" s="20">
        <f ca="1">($B$56*$B$66*$B$55*$E$122)/$B$65</f>
        <v>1.4496542088068893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-3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3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3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-3</v>
      </c>
      <c r="Q76" cm="1">
        <f t="array" ref="Q76">(-1*MAX(ABS(B84:C91)))-1</f>
        <v>-8.0501958637291597</v>
      </c>
      <c r="R76">
        <f>Q76</f>
        <v>-8.0501958637291597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-3</v>
      </c>
      <c r="Q77">
        <f>-1*Q76</f>
        <v>8.0501958637291597</v>
      </c>
      <c r="R77">
        <f>Q77</f>
        <v>8.0501958637291597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-3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-3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-3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-3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-6.9494415806636027</v>
      </c>
      <c r="C84" s="1">
        <f t="shared" ref="C84:C92" si="23">(-1*B73*SIN($B$64))+(C73*COS($B$64))</f>
        <v>-7.0501958637291597</v>
      </c>
      <c r="H84" s="1">
        <f t="shared" ref="H84:H92" si="24">H73</f>
        <v>1</v>
      </c>
      <c r="I84" s="4">
        <f>(I73*COS($B$64))+(J73*SIN($B$64))</f>
        <v>-2.9783321059986867</v>
      </c>
      <c r="J84" s="1">
        <f>(-1*I73*SIN($B$64))+(J73*COS($B$64))</f>
        <v>-3.0215125130267828</v>
      </c>
    </row>
    <row r="85" spans="1:10" x14ac:dyDescent="0.25">
      <c r="A85" s="1">
        <f t="shared" si="21"/>
        <v>2</v>
      </c>
      <c r="B85" s="4">
        <f t="shared" si="22"/>
        <v>7.0501958637291597</v>
      </c>
      <c r="C85" s="1">
        <f t="shared" si="23"/>
        <v>-6.9494415806636027</v>
      </c>
      <c r="H85" s="1">
        <f t="shared" si="24"/>
        <v>2</v>
      </c>
      <c r="I85" s="4">
        <f t="shared" ref="I85:I92" si="25">(I74*COS($B$64))+(J74*SIN($B$64))</f>
        <v>-3.0215125130267828</v>
      </c>
      <c r="J85" s="1">
        <f t="shared" ref="J85:J92" si="26">(-1*I74*SIN($B$64))+(J74*COS($B$64))</f>
        <v>2.9783321059986867</v>
      </c>
    </row>
    <row r="86" spans="1:10" x14ac:dyDescent="0.25">
      <c r="A86" s="1">
        <f t="shared" si="21"/>
        <v>3</v>
      </c>
      <c r="B86" s="4">
        <f t="shared" si="22"/>
        <v>6.9494415806636027</v>
      </c>
      <c r="C86" s="1">
        <f t="shared" si="23"/>
        <v>7.0501958637291597</v>
      </c>
      <c r="H86" s="1">
        <f t="shared" si="24"/>
        <v>3</v>
      </c>
      <c r="I86" s="4">
        <f t="shared" si="25"/>
        <v>2.9783321059986867</v>
      </c>
      <c r="J86" s="1">
        <f t="shared" si="26"/>
        <v>3.0215125130267828</v>
      </c>
    </row>
    <row r="87" spans="1:10" x14ac:dyDescent="0.25">
      <c r="A87" s="1">
        <f t="shared" si="21"/>
        <v>4</v>
      </c>
      <c r="B87" s="4">
        <f t="shared" si="22"/>
        <v>-7.0501958637291597</v>
      </c>
      <c r="C87" s="1">
        <f t="shared" si="23"/>
        <v>6.9494415806636027</v>
      </c>
      <c r="H87" s="1">
        <f t="shared" si="24"/>
        <v>4</v>
      </c>
      <c r="I87" s="4">
        <f t="shared" si="25"/>
        <v>3.0215125130267828</v>
      </c>
      <c r="J87" s="1">
        <f t="shared" si="26"/>
        <v>-2.9783321059986867</v>
      </c>
    </row>
    <row r="88" spans="1:10" x14ac:dyDescent="0.25">
      <c r="A88" s="1">
        <f t="shared" si="21"/>
        <v>5</v>
      </c>
      <c r="B88" s="4">
        <f t="shared" si="22"/>
        <v>-6.9494415806636027</v>
      </c>
      <c r="C88" s="1">
        <f t="shared" si="23"/>
        <v>-7.0501958637291597</v>
      </c>
      <c r="H88" s="1">
        <f t="shared" si="24"/>
        <v>5</v>
      </c>
      <c r="I88" s="4">
        <f t="shared" si="25"/>
        <v>-2.9783321059986867</v>
      </c>
      <c r="J88" s="1">
        <f t="shared" si="26"/>
        <v>-3.0215125130267828</v>
      </c>
    </row>
    <row r="89" spans="1:10" x14ac:dyDescent="0.25">
      <c r="A89" s="1">
        <f t="shared" si="21"/>
        <v>6</v>
      </c>
      <c r="B89" s="4">
        <f t="shared" si="22"/>
        <v>-6.9494415806636027</v>
      </c>
      <c r="C89" s="1">
        <f t="shared" si="23"/>
        <v>-7.0501958637291597</v>
      </c>
      <c r="H89" s="1">
        <f t="shared" si="24"/>
        <v>6</v>
      </c>
      <c r="I89" s="4">
        <f t="shared" si="25"/>
        <v>-2.9783321059986867</v>
      </c>
      <c r="J89" s="1">
        <f t="shared" si="26"/>
        <v>-3.0215125130267828</v>
      </c>
    </row>
    <row r="90" spans="1:10" x14ac:dyDescent="0.25">
      <c r="A90" s="1">
        <f t="shared" si="21"/>
        <v>7</v>
      </c>
      <c r="B90" s="4">
        <f t="shared" si="22"/>
        <v>-6.9494415806636027</v>
      </c>
      <c r="C90" s="1">
        <f t="shared" si="23"/>
        <v>-7.0501958637291597</v>
      </c>
      <c r="H90" s="1">
        <f t="shared" si="24"/>
        <v>7</v>
      </c>
      <c r="I90" s="4">
        <f t="shared" si="25"/>
        <v>-2.9783321059986867</v>
      </c>
      <c r="J90" s="1">
        <f t="shared" si="26"/>
        <v>-3.0215125130267828</v>
      </c>
    </row>
    <row r="91" spans="1:10" x14ac:dyDescent="0.25">
      <c r="A91" s="1">
        <f t="shared" si="21"/>
        <v>8</v>
      </c>
      <c r="B91" s="4">
        <f t="shared" si="22"/>
        <v>-6.9494415806636027</v>
      </c>
      <c r="C91" s="1">
        <f t="shared" si="23"/>
        <v>-7.0501958637291597</v>
      </c>
      <c r="H91" s="1">
        <f t="shared" si="24"/>
        <v>8</v>
      </c>
      <c r="I91" s="4">
        <f t="shared" si="25"/>
        <v>-2.9783321059986867</v>
      </c>
      <c r="J91" s="1">
        <f t="shared" si="26"/>
        <v>-3.0215125130267828</v>
      </c>
    </row>
    <row r="92" spans="1:10" x14ac:dyDescent="0.25">
      <c r="A92" s="1">
        <f t="shared" si="21"/>
        <v>9</v>
      </c>
      <c r="B92" s="4">
        <f t="shared" si="22"/>
        <v>-6.9494415806636027</v>
      </c>
      <c r="C92" s="1">
        <f t="shared" si="23"/>
        <v>-7.0501958637291597</v>
      </c>
      <c r="H92" s="1">
        <f t="shared" si="24"/>
        <v>9</v>
      </c>
      <c r="I92" s="4">
        <f t="shared" si="25"/>
        <v>-2.9783321059986867</v>
      </c>
      <c r="J92" s="1">
        <f t="shared" si="26"/>
        <v>-3.0215125130267828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5.5</v>
      </c>
      <c r="C96" s="4">
        <f t="shared" si="29"/>
        <v>-5.5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-5.4602755276642592</v>
      </c>
      <c r="C110" s="1">
        <f>(-1*B95*SIN($B$64))+(C95*COS($B$64))</f>
        <v>-5.5394396072157681</v>
      </c>
      <c r="D110" t="str">
        <f t="shared" ref="D110" si="31">D95</f>
        <v>y</v>
      </c>
      <c r="E110" s="4">
        <f t="shared" ref="E110:E121" si="32">IF($D110="y",$B$125-C110,0)</f>
        <v>0.72219115158781744</v>
      </c>
      <c r="F110" s="1">
        <f>IF($D110="y",B110,NA())</f>
        <v>-5.4602755276642592</v>
      </c>
      <c r="G110" s="1">
        <f>IF($D110="y",C110,NA())</f>
        <v>-5.5394396072157681</v>
      </c>
      <c r="H110">
        <f t="shared" ref="H110:H121" si="33">IF($E$122=0,0,-1*MAX(($B$67/$E$122)*(E110),0))</f>
        <v>-188.23923279203154</v>
      </c>
      <c r="I110">
        <f>H110*C110</f>
        <v>1042.7398617600888</v>
      </c>
      <c r="J110">
        <f>H110*B110*-1</f>
        <v>-1027.8380761606254</v>
      </c>
      <c r="K110">
        <f ca="1">H110/$B$55</f>
        <v>-310.75635482786191</v>
      </c>
      <c r="L110">
        <f ca="1">K110/$B$54</f>
        <v>-1.0715736373374548E-2</v>
      </c>
      <c r="M110">
        <f t="shared" ref="M110:M121" si="34">IFERROR(($D$66/$B$65)*(G110-$B$125),0)</f>
        <v>-8.2523245041535642E-5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5.5394396072157681</v>
      </c>
      <c r="C111" s="1">
        <f t="shared" ref="C111:C121" si="37">(-1*B96*SIN($B$64))+(C96*COS($B$64))</f>
        <v>-5.4602755276642592</v>
      </c>
      <c r="D111" t="str">
        <f t="shared" si="35"/>
        <v>y</v>
      </c>
      <c r="E111" s="4">
        <f t="shared" si="32"/>
        <v>0.64302707203630849</v>
      </c>
      <c r="F111" s="1">
        <f t="shared" ref="F111:G121" si="38">IF($D111="y",B111,NA())</f>
        <v>5.5394396072157681</v>
      </c>
      <c r="G111" s="1">
        <f t="shared" si="38"/>
        <v>-5.4602755276642592</v>
      </c>
      <c r="H111">
        <f t="shared" si="33"/>
        <v>-167.60510349440699</v>
      </c>
      <c r="I111">
        <f t="shared" ref="I111:I121" si="39">H111*C111</f>
        <v>915.17004492214585</v>
      </c>
      <c r="J111">
        <f t="shared" ref="J111:J121" si="40">H111*B111*-1</f>
        <v>928.43834866841598</v>
      </c>
      <c r="K111">
        <f ca="1">H111/$B$55</f>
        <v>-276.69232518606645</v>
      </c>
      <c r="L111">
        <f t="shared" ref="L111:L121" ca="1" si="41">K111/$B$54</f>
        <v>-9.5411146615884991E-3</v>
      </c>
      <c r="M111">
        <f t="shared" si="34"/>
        <v>-7.3477334244991617E-5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-5.5394396072157681</v>
      </c>
      <c r="C112" s="1">
        <f t="shared" si="37"/>
        <v>5.4602755276642592</v>
      </c>
      <c r="D112" t="str">
        <f t="shared" si="35"/>
        <v>y</v>
      </c>
      <c r="E112" s="4">
        <f t="shared" si="32"/>
        <v>-10.277523983292209</v>
      </c>
      <c r="F112" s="1">
        <f t="shared" si="38"/>
        <v>-5.5394396072157681</v>
      </c>
      <c r="G112" s="1">
        <f t="shared" si="38"/>
        <v>5.4602755276642592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1.1743907803754784E-3</v>
      </c>
      <c r="N112">
        <f t="shared" si="42"/>
        <v>4.2423972963717853</v>
      </c>
      <c r="O112">
        <f t="shared" si="43"/>
        <v>23.164658136007876</v>
      </c>
      <c r="P112">
        <f t="shared" si="44"/>
        <v>23.500503613066957</v>
      </c>
    </row>
    <row r="113" spans="1:16" x14ac:dyDescent="0.25">
      <c r="A113">
        <f t="shared" si="35"/>
        <v>4</v>
      </c>
      <c r="B113" s="1">
        <f t="shared" si="36"/>
        <v>5.4602755276642592</v>
      </c>
      <c r="C113" s="1">
        <f t="shared" si="37"/>
        <v>5.5394396072157681</v>
      </c>
      <c r="D113" t="str">
        <f t="shared" si="35"/>
        <v>y</v>
      </c>
      <c r="E113" s="4">
        <f t="shared" si="32"/>
        <v>-10.35668806284372</v>
      </c>
      <c r="F113" s="1">
        <f t="shared" si="38"/>
        <v>5.4602755276642592</v>
      </c>
      <c r="G113" s="1">
        <f t="shared" si="38"/>
        <v>5.5394396072157681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1.1834366911720226E-3</v>
      </c>
      <c r="N113">
        <f t="shared" si="42"/>
        <v>4.275074960525628</v>
      </c>
      <c r="O113">
        <f t="shared" si="43"/>
        <v>23.681519560152051</v>
      </c>
      <c r="P113">
        <f t="shared" si="44"/>
        <v>-23.343087185888336</v>
      </c>
    </row>
    <row r="114" spans="1:16" x14ac:dyDescent="0.25">
      <c r="A114">
        <f t="shared" si="35"/>
        <v>5</v>
      </c>
      <c r="B114" s="1">
        <f t="shared" si="36"/>
        <v>-6.9494415806636027</v>
      </c>
      <c r="C114" s="1">
        <f t="shared" si="37"/>
        <v>-7.0501958637291597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-6.9494415806636027</v>
      </c>
      <c r="C115" s="1">
        <f t="shared" si="37"/>
        <v>-7.0501958637291597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-6.9494415806636027</v>
      </c>
      <c r="C116" s="1">
        <f t="shared" si="37"/>
        <v>-7.0501958637291597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-6.9494415806636027</v>
      </c>
      <c r="C117" s="1">
        <f t="shared" si="37"/>
        <v>-7.0501958637291597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-6.9494415806636027</v>
      </c>
      <c r="C118" s="1">
        <f t="shared" si="37"/>
        <v>-7.0501958637291597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-6.9494415806636027</v>
      </c>
      <c r="C119" s="1">
        <f t="shared" si="37"/>
        <v>-7.0501958637291597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-6.9494415806636027</v>
      </c>
      <c r="C120" s="1">
        <f t="shared" si="37"/>
        <v>-7.0501958637291597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-6.9494415806636027</v>
      </c>
      <c r="C121" s="1">
        <f t="shared" si="37"/>
        <v>-7.0501958637291597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0.72219115158781744</v>
      </c>
      <c r="H122">
        <f>SUM(H110:H121)</f>
        <v>-355.84433628643853</v>
      </c>
      <c r="I122">
        <f t="shared" ref="I122:J122" si="46">SUM(I110:I121)</f>
        <v>1957.9099066822346</v>
      </c>
      <c r="J122">
        <f t="shared" si="46"/>
        <v>-99.399727492209422</v>
      </c>
      <c r="L122">
        <f ca="1">MIN(L110:L121)</f>
        <v>-1.0715736373374548E-2</v>
      </c>
      <c r="M122">
        <f>MIN(M110:M121)</f>
        <v>-8.2523245041535642E-5</v>
      </c>
      <c r="N122">
        <f>SUM(N110:N121)</f>
        <v>8.5174722568974133</v>
      </c>
      <c r="O122">
        <f>SUM(O110:O121)</f>
        <v>46.846177696159927</v>
      </c>
      <c r="P122">
        <f>SUM(P110:P121)</f>
        <v>0.15741642717862092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-4.8172484556279507</v>
      </c>
      <c r="F125" s="1" t="s">
        <v>27</v>
      </c>
      <c r="G125" s="1" t="s">
        <v>28</v>
      </c>
    </row>
    <row r="126" spans="1:16" x14ac:dyDescent="0.25">
      <c r="F126" s="4">
        <f>MIN(B84:B90)-1</f>
        <v>-8.0501958637291597</v>
      </c>
      <c r="G126" s="4">
        <f>B125</f>
        <v>-4.8172484556279507</v>
      </c>
    </row>
    <row r="127" spans="1:16" x14ac:dyDescent="0.25">
      <c r="F127" s="4">
        <f>MAX(B84:B90)+1</f>
        <v>8.0501958637291597</v>
      </c>
      <c r="G127" s="4">
        <f>G126</f>
        <v>-4.8172484556279507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-6.9494415806636027</v>
      </c>
      <c r="C132" s="4">
        <f>C84</f>
        <v>-7.0501958637291597</v>
      </c>
      <c r="D132" s="4">
        <f t="shared" ref="D132:E139" si="47">B85</f>
        <v>7.0501958637291597</v>
      </c>
      <c r="E132" s="4">
        <f t="shared" si="47"/>
        <v>-6.9494415806636027</v>
      </c>
      <c r="F132" s="4">
        <f t="shared" ref="F132:F139" si="48">($B$66/$B$65)*(C132-$B$125)</f>
        <v>-1.0395696072183054</v>
      </c>
      <c r="G132" s="4">
        <f t="shared" ref="G132:G139" si="49">($B$66/$B$65)*(E132-$B$125)</f>
        <v>-0.99266250582755222</v>
      </c>
      <c r="H132" s="4">
        <f>IF(B132=D132,"V",(C132-E132)/(B132-D132))</f>
        <v>7.1969208821126901E-3</v>
      </c>
      <c r="I132" s="4">
        <f>IF(H132="V",0,(-1*B132*H132)+C132)</f>
        <v>-7.0001812824982599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7.0501958637291597</v>
      </c>
      <c r="C133" s="4">
        <f t="shared" si="50"/>
        <v>-6.9494415806636027</v>
      </c>
      <c r="D133" s="4">
        <f t="shared" si="47"/>
        <v>6.9494415806636027</v>
      </c>
      <c r="E133" s="4">
        <f t="shared" si="47"/>
        <v>7.0501958637291597</v>
      </c>
      <c r="F133" s="4">
        <f t="shared" si="48"/>
        <v>-0.99266250582755222</v>
      </c>
      <c r="G133" s="4">
        <f t="shared" si="49"/>
        <v>5.5250000000000004</v>
      </c>
      <c r="H133" s="4">
        <f t="shared" ref="H133:H139" si="51">IF(B133=D133,"V",(C133-E133)/(B133-D133))</f>
        <v>-138.94831086519397</v>
      </c>
      <c r="I133" s="4">
        <f t="shared" ref="I133:I139" si="52">IF(H133="V",0,(-1*B133*H133)+C133)</f>
        <v>972.66336495328039</v>
      </c>
      <c r="J133" s="4">
        <f t="shared" ref="J133:J139" si="53">IF($F133&gt;=0,B133,IF(AND($F133&lt;0,$G133&gt;=0),IF(H133="V",B133,($B$125-I133)/H133),0))</f>
        <v>7.0348506385028928</v>
      </c>
      <c r="K133" s="4">
        <f t="shared" ref="K133:K139" si="54">IF($F133&gt;=0,C133,IF(AND($F133&lt;0,$G133&gt;=0),$B$125,0))</f>
        <v>-4.8172484556279507</v>
      </c>
      <c r="L133" s="4">
        <f t="shared" ref="L133:L139" si="55">IF($G133&gt;=0,D133,IF(AND($G133&lt;0,$F133&gt;=0),IF(H133="V",D133,($B$125-I133)/H133),0))</f>
        <v>6.9494415806636027</v>
      </c>
      <c r="M133" s="4">
        <f t="shared" ref="M133:M139" si="56">IF($G133&gt;=0,E133,IF(AND($G133&lt;0,$F133&gt;=0),$B$125,0))</f>
        <v>7.0501958637291597</v>
      </c>
      <c r="N133" s="4">
        <f t="shared" ref="N133:O139" si="57">IF(F133&lt;0,IF($I$54="Linear",0,$B$66),IF($I$54="Linear",F133,$B$66))</f>
        <v>0</v>
      </c>
      <c r="O133" s="4">
        <f t="shared" si="57"/>
        <v>5.5250000000000004</v>
      </c>
      <c r="P133" s="4">
        <f t="shared" ref="P133:P139" si="58">(1/6)*(M133-K133)*((N133*((2*J133)+L133))+(O133*(J133+(2*L133))))</f>
        <v>228.76255157802419</v>
      </c>
      <c r="Q133" s="4">
        <f t="shared" ref="Q133:Q139" si="59">((1/12)*(M133-K133)*(N133*J133*((3*K133)+M133)+N133*L133*(K133+M133)+O133*J133*(K133+M133)+O133*L133*(K133+(3*M133))))</f>
        <v>706.03244404068766</v>
      </c>
      <c r="R133" s="4">
        <f t="shared" ref="R133:R139" si="60">((-1/24)*(M133-K133)*(J133*J133*((3*N133)+O133)+2*J133*L133*(N133+O133)+L133*L133*(N133+(3*O133))))</f>
        <v>-798.14903602653112</v>
      </c>
    </row>
    <row r="134" spans="1:18" x14ac:dyDescent="0.25">
      <c r="A134" t="s">
        <v>71</v>
      </c>
      <c r="B134" s="4">
        <f t="shared" si="50"/>
        <v>6.9494415806636027</v>
      </c>
      <c r="C134" s="4">
        <f t="shared" si="50"/>
        <v>7.0501958637291597</v>
      </c>
      <c r="D134" s="4">
        <f t="shared" si="47"/>
        <v>-7.0501958637291597</v>
      </c>
      <c r="E134" s="4">
        <f t="shared" si="47"/>
        <v>6.9494415806636027</v>
      </c>
      <c r="F134" s="4">
        <f t="shared" si="48"/>
        <v>5.5250000000000004</v>
      </c>
      <c r="G134" s="4">
        <f t="shared" si="49"/>
        <v>5.4780928986092468</v>
      </c>
      <c r="H134" s="4">
        <f t="shared" si="51"/>
        <v>7.1969208821126901E-3</v>
      </c>
      <c r="I134" s="4">
        <f t="shared" si="52"/>
        <v>7.0001812824982599</v>
      </c>
      <c r="J134" s="4">
        <f t="shared" si="53"/>
        <v>6.9494415806636027</v>
      </c>
      <c r="K134" s="4">
        <f t="shared" si="54"/>
        <v>7.0501958637291597</v>
      </c>
      <c r="L134" s="4">
        <f t="shared" si="55"/>
        <v>-7.0501958637291597</v>
      </c>
      <c r="M134" s="4">
        <f t="shared" si="56"/>
        <v>6.9494415806636027</v>
      </c>
      <c r="N134" s="4">
        <f t="shared" si="57"/>
        <v>5.5250000000000004</v>
      </c>
      <c r="O134" s="4">
        <f t="shared" si="57"/>
        <v>5.4780928986092468</v>
      </c>
      <c r="P134" s="4">
        <f t="shared" si="58"/>
        <v>2.2410639134362569E-2</v>
      </c>
      <c r="Q134" s="4">
        <f t="shared" si="59"/>
        <v>9.1717468668875091E-2</v>
      </c>
      <c r="R134" s="4">
        <f t="shared" si="60"/>
        <v>4.5270101614055376</v>
      </c>
    </row>
    <row r="135" spans="1:18" x14ac:dyDescent="0.25">
      <c r="A135" t="s">
        <v>72</v>
      </c>
      <c r="B135" s="4">
        <f t="shared" si="50"/>
        <v>-7.0501958637291597</v>
      </c>
      <c r="C135" s="4">
        <f t="shared" si="50"/>
        <v>6.9494415806636027</v>
      </c>
      <c r="D135" s="4">
        <f t="shared" si="47"/>
        <v>-6.9494415806636027</v>
      </c>
      <c r="E135" s="4">
        <f t="shared" si="47"/>
        <v>-7.0501958637291597</v>
      </c>
      <c r="F135" s="4">
        <f t="shared" si="48"/>
        <v>5.4780928986092468</v>
      </c>
      <c r="G135" s="4">
        <f t="shared" si="49"/>
        <v>-1.0395696072183054</v>
      </c>
      <c r="H135" s="4">
        <f t="shared" si="51"/>
        <v>-138.94831086519397</v>
      </c>
      <c r="I135" s="4">
        <f t="shared" si="52"/>
        <v>-972.66336495328039</v>
      </c>
      <c r="J135" s="4">
        <f t="shared" si="53"/>
        <v>-7.0501958637291597</v>
      </c>
      <c r="K135" s="4">
        <f t="shared" si="54"/>
        <v>6.9494415806636027</v>
      </c>
      <c r="L135" s="4">
        <f t="shared" si="55"/>
        <v>-6.965511926493626</v>
      </c>
      <c r="M135" s="4">
        <f t="shared" si="56"/>
        <v>-4.8172484556279507</v>
      </c>
      <c r="N135" s="4">
        <f t="shared" si="57"/>
        <v>5.4780928986092468</v>
      </c>
      <c r="O135" s="4">
        <f t="shared" si="57"/>
        <v>0</v>
      </c>
      <c r="P135" s="4">
        <f t="shared" si="58"/>
        <v>226.3145881182235</v>
      </c>
      <c r="Q135" s="4">
        <f t="shared" si="59"/>
        <v>686.88631063211176</v>
      </c>
      <c r="R135" s="4">
        <f t="shared" si="60"/>
        <v>794.5933050670584</v>
      </c>
    </row>
    <row r="136" spans="1:18" x14ac:dyDescent="0.25">
      <c r="A136" t="s">
        <v>73</v>
      </c>
      <c r="B136" s="4">
        <f t="shared" si="50"/>
        <v>-6.9494415806636027</v>
      </c>
      <c r="C136" s="4">
        <f t="shared" si="50"/>
        <v>-7.0501958637291597</v>
      </c>
      <c r="D136" s="4">
        <f t="shared" si="47"/>
        <v>-6.9494415806636027</v>
      </c>
      <c r="E136" s="4">
        <f t="shared" si="47"/>
        <v>-7.0501958637291597</v>
      </c>
      <c r="F136" s="4">
        <f t="shared" si="48"/>
        <v>-1.0395696072183054</v>
      </c>
      <c r="G136" s="4">
        <f t="shared" si="49"/>
        <v>-1.0395696072183054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-6.9494415806636027</v>
      </c>
      <c r="C137" s="4">
        <f t="shared" si="50"/>
        <v>-7.0501958637291597</v>
      </c>
      <c r="D137" s="4">
        <f t="shared" si="47"/>
        <v>-6.9494415806636027</v>
      </c>
      <c r="E137" s="4">
        <f t="shared" si="47"/>
        <v>-7.0501958637291597</v>
      </c>
      <c r="F137" s="4">
        <f t="shared" si="48"/>
        <v>-1.0395696072183054</v>
      </c>
      <c r="G137" s="4">
        <f t="shared" si="49"/>
        <v>-1.0395696072183054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-6.9494415806636027</v>
      </c>
      <c r="C138" s="4">
        <f t="shared" si="50"/>
        <v>-7.0501958637291597</v>
      </c>
      <c r="D138" s="4">
        <f t="shared" si="47"/>
        <v>-6.9494415806636027</v>
      </c>
      <c r="E138" s="4">
        <f t="shared" si="47"/>
        <v>-7.0501958637291597</v>
      </c>
      <c r="F138" s="4">
        <f t="shared" si="48"/>
        <v>-1.0395696072183054</v>
      </c>
      <c r="G138" s="4">
        <f t="shared" si="49"/>
        <v>-1.0395696072183054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-6.9494415806636027</v>
      </c>
      <c r="C139" s="4">
        <f>E138</f>
        <v>-7.0501958637291597</v>
      </c>
      <c r="D139" s="4">
        <f t="shared" si="47"/>
        <v>-6.9494415806636027</v>
      </c>
      <c r="E139" s="4">
        <f t="shared" si="47"/>
        <v>-7.0501958637291597</v>
      </c>
      <c r="F139" s="4">
        <f t="shared" si="48"/>
        <v>-1.0395696072183054</v>
      </c>
      <c r="G139" s="4">
        <f t="shared" si="49"/>
        <v>-1.0395696072183054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455.09955033538205</v>
      </c>
      <c r="Q140" s="4">
        <f>SUM(Q132:Q139)</f>
        <v>1393.0104721414682</v>
      </c>
      <c r="R140" s="4">
        <f>SUM(R132:R139)</f>
        <v>0.97127920193281625</v>
      </c>
    </row>
    <row r="142" spans="1:18" x14ac:dyDescent="0.25">
      <c r="O142" t="s">
        <v>96</v>
      </c>
      <c r="P142" s="1">
        <f>-1*R140/P140</f>
        <v>-2.1342126161562665E-3</v>
      </c>
    </row>
    <row r="143" spans="1:18" x14ac:dyDescent="0.25">
      <c r="O143" t="s">
        <v>97</v>
      </c>
      <c r="P143" s="1">
        <f>Q140/P140</f>
        <v>3.060891778765547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-2.9783321059986867</v>
      </c>
      <c r="C146" s="9">
        <f>J84</f>
        <v>-3.0215125130267828</v>
      </c>
      <c r="D146" s="9">
        <f t="shared" ref="D146:E153" si="61">I85</f>
        <v>-3.0215125130267828</v>
      </c>
      <c r="E146">
        <f t="shared" si="61"/>
        <v>2.9783321059986867</v>
      </c>
      <c r="F146" s="4">
        <f>($B$66/$B$65)*(C146-$B$125)</f>
        <v>0.83602170912978191</v>
      </c>
      <c r="G146" s="4">
        <f>($B$66/$B$65)*(E146-$B$125)</f>
        <v>3.6293056401987331</v>
      </c>
      <c r="H146" s="4">
        <f>IF(B146=D146,"V",(C146-E146)/(B146-D146))</f>
        <v>-138.94831086519315</v>
      </c>
      <c r="I146" s="4">
        <f>IF(H146="V",0,(-1*B146*H146)+C146)</f>
        <v>-416.85572783711768</v>
      </c>
      <c r="J146" s="4">
        <f>IF($F146&gt;=0,B146,IF(AND($F146&lt;0,$G146&gt;=0),IF(H146="V",B146,($B$125-I146)/H146),0))</f>
        <v>-2.9783321059986867</v>
      </c>
      <c r="K146" s="4">
        <f>IF($F146&gt;=0,C146,IF(AND($F146&lt;0,$G146&gt;=0),$B$125,0))</f>
        <v>-3.0215125130267828</v>
      </c>
      <c r="L146" s="4">
        <f>IF($G146&gt;=0,D146,IF(AND($G146&lt;0,$F146&gt;=0),IF(H146="V",D146,($B$125-I146)/H146),0))</f>
        <v>-3.0215125130267828</v>
      </c>
      <c r="M146" s="4">
        <f>IF($G146&gt;=0,E146,IF(AND($G146&lt;0,$F146&gt;=0),$B$125,0))</f>
        <v>2.9783321059986867</v>
      </c>
      <c r="N146" s="4">
        <f>IF(F146&lt;0,IF($I$54="Linear",0,$B$66),IF($I$54="Linear",F146,$B$66))</f>
        <v>0.83602170912978191</v>
      </c>
      <c r="O146" s="4">
        <f>IF(G146&lt;0,IF($I$54="Linear",0,$B$66),IF($I$54="Linear",G146,$B$66))</f>
        <v>3.6293056401987331</v>
      </c>
      <c r="P146" s="4">
        <f>(1/6)*(M146-K146)*((N146*((2*J146)+L146))+(O146*(J146+(2*L146))))</f>
        <v>-40.246170696932595</v>
      </c>
      <c r="Q146" s="4">
        <f>((1/12)*(M146-K146)*(N146*J146*((3*K146)+M146)+N146*L146*(K146+M146)+O146*J146*(K146+M146)+O146*L146*(K146+(3*M146))))</f>
        <v>-24.557886308900567</v>
      </c>
      <c r="R146" s="4">
        <f>((-1/24)*(M146-K146)*(J146*J146*((3*N146)+O146)+2*J146*L146*(N146+O146)+L146*L146*(N146+(3*O146))))</f>
        <v>-60.459190040590862</v>
      </c>
    </row>
    <row r="147" spans="1:18" x14ac:dyDescent="0.25">
      <c r="A147" t="s">
        <v>70</v>
      </c>
      <c r="B147" s="9">
        <f t="shared" ref="B147:C153" si="62">D146</f>
        <v>-3.0215125130267828</v>
      </c>
      <c r="C147">
        <f t="shared" si="62"/>
        <v>2.9783321059986867</v>
      </c>
      <c r="D147" s="9">
        <f t="shared" si="61"/>
        <v>2.9783321059986867</v>
      </c>
      <c r="E147">
        <f t="shared" si="61"/>
        <v>3.0215125130267828</v>
      </c>
      <c r="F147" s="4">
        <f t="shared" ref="F147:F153" si="63">($B$66/$B$65)*(C147-$B$125)</f>
        <v>3.6293056401987331</v>
      </c>
      <c r="G147" s="4">
        <f t="shared" ref="G147:G153" si="64">($B$66/$B$65)*(E147-$B$125)</f>
        <v>3.6494086836519131</v>
      </c>
      <c r="H147" s="4">
        <f t="shared" ref="H147:H153" si="65">IF(B147=D147,"V",(C147-E147)/(B147-D147))</f>
        <v>7.1969208821127326E-3</v>
      </c>
      <c r="I147" s="4">
        <f t="shared" ref="I147:I153" si="66">IF(H147="V",0,(-1*B147*H147)+C147)</f>
        <v>3.000077692499254</v>
      </c>
      <c r="J147" s="4">
        <f t="shared" ref="J147:J153" si="67">IF($F147&gt;=0,B147,IF(AND($F147&lt;0,$G147&gt;=0),IF(H147="V",B147,($B$125-I147)/H147),0))</f>
        <v>-3.0215125130267828</v>
      </c>
      <c r="K147" s="4">
        <f t="shared" ref="K147:K153" si="68">IF($F147&gt;=0,C147,IF(AND($F147&lt;0,$G147&gt;=0),$B$125,0))</f>
        <v>2.9783321059986867</v>
      </c>
      <c r="L147" s="4">
        <f t="shared" ref="L147:L153" si="69">IF($G147&gt;=0,D147,IF(AND($G147&lt;0,$F147&gt;=0),IF(H147="V",D147,($B$125-I147)/H147),0))</f>
        <v>2.9783321059986867</v>
      </c>
      <c r="M147" s="4">
        <f t="shared" ref="M147:M153" si="70">IF($G147&gt;=0,E147,IF(AND($G147&lt;0,$F147&gt;=0),$B$125,0))</f>
        <v>3.0215125130267828</v>
      </c>
      <c r="N147" s="4">
        <f t="shared" ref="N147:O153" si="71">IF(F147&lt;0,IF($I$54="Linear",0,$B$66),IF($I$54="Linear",F147,$B$66))</f>
        <v>3.6293056401987331</v>
      </c>
      <c r="O147" s="4">
        <f t="shared" si="71"/>
        <v>3.6494086836519131</v>
      </c>
      <c r="P147" s="4">
        <f t="shared" ref="P147:P153" si="72">(1/6)*(M147-K147)*((N147*((2*J147)+L147))+(O147*(J147+(2*L147))))</f>
        <v>-2.9588596825087252E-3</v>
      </c>
      <c r="Q147" s="4">
        <f t="shared" ref="Q147:Q153" si="73">((1/12)*(M147-K147)*(N147*J147*((3*K147)+M147)+N147*L147*(K147+M147)+O147*J147*(K147+M147)+O147*L147*(K147+(3*M147))))</f>
        <v>-5.483627234037264E-3</v>
      </c>
      <c r="R147" s="4">
        <f t="shared" ref="R147:R153" si="74">((-1/24)*(M147-K147)*(J147*J147*((3*N147)+O147)+2*J147*L147*(N147+O147)+L147*L147*(N147+(3*O147))))</f>
        <v>-0.23573843246810849</v>
      </c>
    </row>
    <row r="148" spans="1:18" x14ac:dyDescent="0.25">
      <c r="A148" t="s">
        <v>71</v>
      </c>
      <c r="B148" s="9">
        <f t="shared" si="62"/>
        <v>2.9783321059986867</v>
      </c>
      <c r="C148">
        <f t="shared" si="62"/>
        <v>3.0215125130267828</v>
      </c>
      <c r="D148" s="9">
        <f t="shared" si="61"/>
        <v>3.0215125130267828</v>
      </c>
      <c r="E148">
        <f t="shared" si="61"/>
        <v>-2.9783321059986867</v>
      </c>
      <c r="F148" s="4">
        <f t="shared" si="63"/>
        <v>3.6494086836519131</v>
      </c>
      <c r="G148" s="4">
        <f t="shared" si="64"/>
        <v>0.85612475258296206</v>
      </c>
      <c r="H148" s="4">
        <f t="shared" si="65"/>
        <v>-138.94831086519315</v>
      </c>
      <c r="I148" s="4">
        <f t="shared" si="66"/>
        <v>416.85572783711768</v>
      </c>
      <c r="J148" s="4">
        <f t="shared" si="67"/>
        <v>2.9783321059986867</v>
      </c>
      <c r="K148" s="4">
        <f t="shared" si="68"/>
        <v>3.0215125130267828</v>
      </c>
      <c r="L148" s="4">
        <f t="shared" si="69"/>
        <v>3.0215125130267828</v>
      </c>
      <c r="M148" s="4">
        <f t="shared" si="70"/>
        <v>-2.9783321059986867</v>
      </c>
      <c r="N148" s="4">
        <f t="shared" si="71"/>
        <v>3.6494086836519131</v>
      </c>
      <c r="O148" s="4">
        <f t="shared" si="71"/>
        <v>0.85612475258296206</v>
      </c>
      <c r="P148" s="4">
        <f t="shared" si="72"/>
        <v>-40.487394724010613</v>
      </c>
      <c r="Q148" s="4">
        <f t="shared" si="73"/>
        <v>-25.719922380802476</v>
      </c>
      <c r="R148" s="4">
        <f t="shared" si="74"/>
        <v>60.640112746223764</v>
      </c>
    </row>
    <row r="149" spans="1:18" x14ac:dyDescent="0.25">
      <c r="A149" t="s">
        <v>72</v>
      </c>
      <c r="B149" s="9">
        <f t="shared" si="62"/>
        <v>3.0215125130267828</v>
      </c>
      <c r="C149">
        <f t="shared" si="62"/>
        <v>-2.9783321059986867</v>
      </c>
      <c r="D149" s="9">
        <f t="shared" si="61"/>
        <v>-2.9783321059986867</v>
      </c>
      <c r="E149">
        <f t="shared" si="61"/>
        <v>-3.0215125130267828</v>
      </c>
      <c r="F149" s="4">
        <f t="shared" si="63"/>
        <v>0.85612475258296206</v>
      </c>
      <c r="G149" s="4">
        <f t="shared" si="64"/>
        <v>0.83602170912978191</v>
      </c>
      <c r="H149" s="4">
        <f t="shared" si="65"/>
        <v>7.1969208821127326E-3</v>
      </c>
      <c r="I149" s="4">
        <f t="shared" si="66"/>
        <v>-3.000077692499254</v>
      </c>
      <c r="J149" s="4">
        <f t="shared" si="67"/>
        <v>3.0215125130267828</v>
      </c>
      <c r="K149" s="4">
        <f t="shared" si="68"/>
        <v>-2.9783321059986867</v>
      </c>
      <c r="L149" s="4">
        <f t="shared" si="69"/>
        <v>-2.9783321059986867</v>
      </c>
      <c r="M149" s="4">
        <f t="shared" si="70"/>
        <v>-3.0215125130267828</v>
      </c>
      <c r="N149" s="4">
        <f t="shared" si="71"/>
        <v>0.85612475258296206</v>
      </c>
      <c r="O149" s="4">
        <f t="shared" si="71"/>
        <v>0.83602170912978191</v>
      </c>
      <c r="P149" s="4">
        <f t="shared" si="72"/>
        <v>-1.2227894447636287E-3</v>
      </c>
      <c r="Q149" s="4">
        <f t="shared" si="73"/>
        <v>2.8794544376018727E-3</v>
      </c>
      <c r="R149" s="4">
        <f t="shared" si="74"/>
        <v>5.4815726835212041E-2</v>
      </c>
    </row>
    <row r="150" spans="1:18" x14ac:dyDescent="0.25">
      <c r="A150" t="s">
        <v>73</v>
      </c>
      <c r="B150" s="9">
        <f t="shared" si="62"/>
        <v>-2.9783321059986867</v>
      </c>
      <c r="C150">
        <f t="shared" si="62"/>
        <v>-3.0215125130267828</v>
      </c>
      <c r="D150" s="9">
        <f t="shared" si="61"/>
        <v>-2.9783321059986867</v>
      </c>
      <c r="E150">
        <f t="shared" si="61"/>
        <v>-3.0215125130267828</v>
      </c>
      <c r="F150" s="4">
        <f t="shared" si="63"/>
        <v>0.83602170912978191</v>
      </c>
      <c r="G150" s="4">
        <f t="shared" si="64"/>
        <v>0.83602170912978191</v>
      </c>
      <c r="H150" s="4" t="str">
        <f t="shared" si="65"/>
        <v>V</v>
      </c>
      <c r="I150" s="4">
        <f t="shared" si="66"/>
        <v>0</v>
      </c>
      <c r="J150" s="4">
        <f t="shared" si="67"/>
        <v>-2.9783321059986867</v>
      </c>
      <c r="K150" s="4">
        <f t="shared" si="68"/>
        <v>-3.0215125130267828</v>
      </c>
      <c r="L150" s="4">
        <f t="shared" si="69"/>
        <v>-2.9783321059986867</v>
      </c>
      <c r="M150" s="4">
        <f t="shared" si="70"/>
        <v>-3.0215125130267828</v>
      </c>
      <c r="N150" s="4">
        <f t="shared" si="71"/>
        <v>0.83602170912978191</v>
      </c>
      <c r="O150" s="4">
        <f t="shared" si="71"/>
        <v>0.83602170912978191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-2.9783321059986867</v>
      </c>
      <c r="C151">
        <f t="shared" si="62"/>
        <v>-3.0215125130267828</v>
      </c>
      <c r="D151" s="9">
        <f t="shared" si="61"/>
        <v>-2.9783321059986867</v>
      </c>
      <c r="E151">
        <f t="shared" si="61"/>
        <v>-3.0215125130267828</v>
      </c>
      <c r="F151" s="4">
        <f t="shared" si="63"/>
        <v>0.83602170912978191</v>
      </c>
      <c r="G151" s="4">
        <f t="shared" si="64"/>
        <v>0.83602170912978191</v>
      </c>
      <c r="H151" s="4" t="str">
        <f t="shared" si="65"/>
        <v>V</v>
      </c>
      <c r="I151" s="4">
        <f t="shared" si="66"/>
        <v>0</v>
      </c>
      <c r="J151" s="4">
        <f t="shared" si="67"/>
        <v>-2.9783321059986867</v>
      </c>
      <c r="K151" s="4">
        <f t="shared" si="68"/>
        <v>-3.0215125130267828</v>
      </c>
      <c r="L151" s="4">
        <f t="shared" si="69"/>
        <v>-2.9783321059986867</v>
      </c>
      <c r="M151" s="4">
        <f t="shared" si="70"/>
        <v>-3.0215125130267828</v>
      </c>
      <c r="N151" s="4">
        <f t="shared" si="71"/>
        <v>0.83602170912978191</v>
      </c>
      <c r="O151" s="4">
        <f t="shared" si="71"/>
        <v>0.83602170912978191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-2.9783321059986867</v>
      </c>
      <c r="C152">
        <f t="shared" si="62"/>
        <v>-3.0215125130267828</v>
      </c>
      <c r="D152" s="9">
        <f t="shared" si="61"/>
        <v>-2.9783321059986867</v>
      </c>
      <c r="E152">
        <f t="shared" si="61"/>
        <v>-3.0215125130267828</v>
      </c>
      <c r="F152" s="4">
        <f t="shared" si="63"/>
        <v>0.83602170912978191</v>
      </c>
      <c r="G152" s="4">
        <f t="shared" si="64"/>
        <v>0.83602170912978191</v>
      </c>
      <c r="H152" s="4" t="str">
        <f t="shared" si="65"/>
        <v>V</v>
      </c>
      <c r="I152" s="4">
        <f t="shared" si="66"/>
        <v>0</v>
      </c>
      <c r="J152" s="4">
        <f t="shared" si="67"/>
        <v>-2.9783321059986867</v>
      </c>
      <c r="K152" s="4">
        <f t="shared" si="68"/>
        <v>-3.0215125130267828</v>
      </c>
      <c r="L152" s="4">
        <f t="shared" si="69"/>
        <v>-2.9783321059986867</v>
      </c>
      <c r="M152" s="4">
        <f t="shared" si="70"/>
        <v>-3.0215125130267828</v>
      </c>
      <c r="N152" s="4">
        <f t="shared" si="71"/>
        <v>0.83602170912978191</v>
      </c>
      <c r="O152" s="4">
        <f t="shared" si="71"/>
        <v>0.83602170912978191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-2.9783321059986867</v>
      </c>
      <c r="C153">
        <f t="shared" si="62"/>
        <v>-3.0215125130267828</v>
      </c>
      <c r="D153" s="9">
        <f t="shared" si="61"/>
        <v>-2.9783321059986867</v>
      </c>
      <c r="E153">
        <f t="shared" si="61"/>
        <v>-3.0215125130267828</v>
      </c>
      <c r="F153" s="4">
        <f t="shared" si="63"/>
        <v>0.83602170912978191</v>
      </c>
      <c r="G153" s="4">
        <f t="shared" si="64"/>
        <v>0.83602170912978191</v>
      </c>
      <c r="H153" s="4" t="str">
        <f t="shared" si="65"/>
        <v>V</v>
      </c>
      <c r="I153" s="4">
        <f t="shared" si="66"/>
        <v>0</v>
      </c>
      <c r="J153" s="4">
        <f t="shared" si="67"/>
        <v>-2.9783321059986867</v>
      </c>
      <c r="K153" s="4">
        <f t="shared" si="68"/>
        <v>-3.0215125130267828</v>
      </c>
      <c r="L153" s="4">
        <f t="shared" si="69"/>
        <v>-2.9783321059986867</v>
      </c>
      <c r="M153" s="4">
        <f t="shared" si="70"/>
        <v>-3.0215125130267828</v>
      </c>
      <c r="N153" s="4">
        <f t="shared" si="71"/>
        <v>0.83602170912978191</v>
      </c>
      <c r="O153" s="4">
        <f t="shared" si="71"/>
        <v>0.83602170912978191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-80.737747070070483</v>
      </c>
      <c r="Q154" s="4">
        <f t="shared" ref="Q154:R154" si="75">SUM(Q146:Q153)</f>
        <v>-50.280412862499475</v>
      </c>
      <c r="R154" s="4">
        <f t="shared" si="75"/>
        <v>3.5180192092809648E-15</v>
      </c>
    </row>
    <row r="156" spans="1:18" x14ac:dyDescent="0.25">
      <c r="O156" t="s">
        <v>96</v>
      </c>
      <c r="P156" s="1">
        <f>-1*R154/P154</f>
        <v>4.3573413142526191E-17</v>
      </c>
    </row>
    <row r="157" spans="1:18" x14ac:dyDescent="0.25">
      <c r="O157" t="s">
        <v>97</v>
      </c>
      <c r="P157" s="1">
        <f>Q154/P154</f>
        <v>0.62276214889749437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9.999994721975618</v>
      </c>
      <c r="C159" t="s">
        <v>36</v>
      </c>
    </row>
    <row r="160" spans="1:18" x14ac:dyDescent="0.25">
      <c r="A160" s="1" t="s">
        <v>106</v>
      </c>
      <c r="B160" s="4">
        <f>Q140+I122+Q154-O122</f>
        <v>3253.7937882650435</v>
      </c>
      <c r="C160" t="s">
        <v>102</v>
      </c>
    </row>
    <row r="161" spans="1:9" x14ac:dyDescent="0.25">
      <c r="A161" s="1" t="s">
        <v>107</v>
      </c>
      <c r="B161" s="4">
        <f>R140+J122+R154-P122</f>
        <v>-98.585864717455223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9.999994721975618</v>
      </c>
      <c r="C164" t="s">
        <v>36</v>
      </c>
      <c r="E164" s="8">
        <f>B2-B164</f>
        <v>5.2780243819938732E-6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3253.0000290291341</v>
      </c>
      <c r="C165" t="s">
        <v>102</v>
      </c>
      <c r="E165" s="8">
        <f>B3+B165</f>
        <v>2.9029134111624444E-5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-122.00000168329521</v>
      </c>
      <c r="C166" t="s">
        <v>102</v>
      </c>
      <c r="E166" s="8">
        <f>B4+B166</f>
        <v>-1.6832952098866372E-6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-717.42747674422628</v>
      </c>
      <c r="C169" s="3">
        <f ca="1">A169+B169</f>
        <v>-711.90247674422631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-1.0674574455167157E-10</v>
      </c>
      <c r="C175" s="27">
        <f>B65*SQRT(I175)</f>
        <v>1.7602264521381644E-7</v>
      </c>
      <c r="D175" s="27">
        <f>B66*SQRT(I175)</f>
        <v>8.1948993282407074E-8</v>
      </c>
      <c r="E175" s="27">
        <f>B67*SQRT(I175)</f>
        <v>2.7920390268886252E-6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-7.1967967362730791E-3</v>
      </c>
      <c r="C176" s="3">
        <f>B65+C175</f>
        <v>11.867444495379756</v>
      </c>
      <c r="D176" s="3">
        <f>D175+B66</f>
        <v>5.5250000819489937</v>
      </c>
      <c r="E176" s="3">
        <f>B67+E175</f>
        <v>188.23923558407057</v>
      </c>
      <c r="F176" s="16" t="s">
        <v>125</v>
      </c>
    </row>
    <row r="177" spans="1:13" x14ac:dyDescent="0.25">
      <c r="B177" s="27">
        <f>B176-B64</f>
        <v>-1.0674574418834126E-10</v>
      </c>
      <c r="C177" s="27">
        <f>C176-B65</f>
        <v>1.7602264534843926E-7</v>
      </c>
      <c r="D177" s="27">
        <f>D176-B66</f>
        <v>8.1948993368996526E-8</v>
      </c>
      <c r="E177" s="27">
        <f>E176-B67</f>
        <v>2.7920390266444883E-6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-66.216168527026809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6.949439090756095</v>
      </c>
      <c r="B181" s="25">
        <f>(d_alpha_p!E136-d_alpha_m!E136)/(2*B177)</f>
        <v>6.949439090756095</v>
      </c>
      <c r="C181" s="25">
        <f>(d_alpha_p!E137-d_alpha_m!E137)/(2*B177)</f>
        <v>6.949439090756095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-5.2780243819938732E-6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-2.9029134111624444E-5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1.6832952098866372E-6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711.90247674422631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-66.216168527026809</v>
      </c>
      <c r="B190" s="25">
        <f>A181</f>
        <v>6.949439090756095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6.949439090756095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6.949439090756095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-66.216168527026809</v>
      </c>
      <c r="B201" s="25">
        <f t="shared" ref="B201:C201" si="77">B190</f>
        <v>6.949439090756095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6.949439090756095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6.949439090756095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3" workbookViewId="0">
      <selection activeCell="B68" sqref="B68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</v>
      </c>
      <c r="C2" t="s">
        <v>36</v>
      </c>
      <c r="D2" t="s">
        <v>103</v>
      </c>
      <c r="H2" t="s">
        <v>110</v>
      </c>
      <c r="I2">
        <f>B2/D22</f>
        <v>5.1020408163265307E-2</v>
      </c>
      <c r="J2" t="s">
        <v>11</v>
      </c>
    </row>
    <row r="3" spans="1:29" x14ac:dyDescent="0.25">
      <c r="A3" s="10" t="s">
        <v>79</v>
      </c>
      <c r="B3" s="17">
        <f>'Rigid Bearing Plate Analysis'!B3</f>
        <v>-3253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-7.1129737609329435</v>
      </c>
      <c r="J3" t="s">
        <v>11</v>
      </c>
    </row>
    <row r="4" spans="1:29" x14ac:dyDescent="0.25">
      <c r="A4" s="10" t="s">
        <v>80</v>
      </c>
      <c r="B4" s="17">
        <f>'Rigid Bearing Plate Analysis'!B4</f>
        <v>122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0.26676384839650141</v>
      </c>
      <c r="J4" t="s">
        <v>11</v>
      </c>
    </row>
    <row r="5" spans="1:29" x14ac:dyDescent="0.25">
      <c r="A5" s="10" t="s">
        <v>104</v>
      </c>
      <c r="B5" s="20">
        <f>ATAN2(B3,B4)</f>
        <v>3.1041063796879369</v>
      </c>
      <c r="C5" t="s">
        <v>19</v>
      </c>
      <c r="I5">
        <f>SUM(I2:I4)</f>
        <v>-6.7951895043731767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7.1129737609329435</v>
      </c>
      <c r="AB14">
        <f>$B$4/Z14</f>
        <v>0.26676384839650141</v>
      </c>
      <c r="AC14">
        <f>$I$2+AA14+AB14</f>
        <v>7.4307580174927104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-7.1129737609329435</v>
      </c>
      <c r="AB15">
        <f t="shared" ref="AB15:AB21" si="11">$B$4/Z15</f>
        <v>0.26676384839650141</v>
      </c>
      <c r="AC15">
        <f t="shared" ref="AC15:AC20" si="12">$I$2+AA15+AB15</f>
        <v>-6.7951895043731767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-7.1129737609329435</v>
      </c>
      <c r="AB16">
        <f t="shared" si="11"/>
        <v>-0.26676384839650141</v>
      </c>
      <c r="AC16">
        <f t="shared" si="12"/>
        <v>-7.3287172011661799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7.1129737609329435</v>
      </c>
      <c r="AB17">
        <f t="shared" si="11"/>
        <v>-0.26676384839650141</v>
      </c>
      <c r="AC17">
        <f t="shared" si="12"/>
        <v>6.8972303206997072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7.1129737609329435</v>
      </c>
      <c r="AB18">
        <f t="shared" si="11"/>
        <v>-0.26676384839650141</v>
      </c>
      <c r="AC18">
        <f t="shared" si="12"/>
        <v>6.8972303206997072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7.1129737609329435</v>
      </c>
      <c r="AB19">
        <f t="shared" si="11"/>
        <v>-0.26676384839650141</v>
      </c>
      <c r="AC19">
        <f t="shared" si="12"/>
        <v>6.8972303206997072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7.1129737609329435</v>
      </c>
      <c r="AB20">
        <f t="shared" si="11"/>
        <v>-0.26676384839650141</v>
      </c>
      <c r="AC20">
        <f t="shared" si="12"/>
        <v>6.8972303206997072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-0.26676384839650141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10</v>
      </c>
      <c r="D26" s="5">
        <f>((B25*C26)-(B26*C25))*0.5</f>
        <v>12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10</v>
      </c>
      <c r="D27" s="5">
        <f t="shared" ref="D27:D33" si="13">((B26*C27)-(B27*C26))*0.5</f>
        <v>-30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4</v>
      </c>
      <c r="D28" s="5">
        <f t="shared" si="13"/>
        <v>-30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4</v>
      </c>
      <c r="D29" s="5">
        <f t="shared" si="13"/>
        <v>12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4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4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4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4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-36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12.5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12.5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1.5</v>
      </c>
      <c r="C39" s="17">
        <f>'Rigid Bearing Plate Analysis'!C39</f>
        <v>12.5</v>
      </c>
      <c r="D39" s="17" t="str">
        <f>'Rigid Bearing Plate Analysis'!D39</f>
        <v>y</v>
      </c>
      <c r="Q39" s="12">
        <f t="shared" si="14"/>
        <v>1.5</v>
      </c>
      <c r="R39" s="12">
        <f t="shared" si="14"/>
        <v>12.5</v>
      </c>
    </row>
    <row r="40" spans="1:21" x14ac:dyDescent="0.25">
      <c r="A40">
        <v>4</v>
      </c>
      <c r="B40" s="17">
        <f>'Rigid Bearing Plate Analysis'!B40</f>
        <v>12.5</v>
      </c>
      <c r="C40" s="17">
        <f>'Rigid Bearing Plate Analysis'!C40</f>
        <v>12.5</v>
      </c>
      <c r="D40" s="17" t="str">
        <f>'Rigid Bearing Plate Analysis'!D40</f>
        <v>y</v>
      </c>
      <c r="Q40" s="12">
        <f t="shared" si="14"/>
        <v>12.5</v>
      </c>
      <c r="R40" s="12">
        <f t="shared" si="14"/>
        <v>12.5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14" x14ac:dyDescent="0.25">
      <c r="A51" s="10" t="s">
        <v>8</v>
      </c>
      <c r="B51" s="17">
        <f>'Rigid Bearing Plate Analysis'!B51</f>
        <v>5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1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0.60574540107571861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-6.3948846218409017E-14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0.60574540107571861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-4.8316906031686813E-13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4.8738259691965924E-13</v>
      </c>
      <c r="M57" s="17" t="str">
        <f ca="1">'Rigid Bearing Plate Analysis'!M57</f>
        <v>SOLUTION IF STRAIN IGNORED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1.0625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0.8866408953979007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200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9.9999999999999994E-12</v>
      </c>
      <c r="M59" s="17" t="b">
        <f ca="1">'Rigid Bearing Plate Analysis'!M59</f>
        <v>1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y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7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-7.1967966295273349E-3</v>
      </c>
      <c r="C64" t="s">
        <v>19</v>
      </c>
      <c r="D64" t="s">
        <v>34</v>
      </c>
      <c r="H64" s="17">
        <f>DEGREES(B64)</f>
        <v>-0.4123460728858922</v>
      </c>
      <c r="I64" t="s">
        <v>41</v>
      </c>
    </row>
    <row r="65" spans="1:18" x14ac:dyDescent="0.25">
      <c r="A65" s="1" t="s">
        <v>40</v>
      </c>
      <c r="B65" s="17">
        <f>'Rigid Bearing Plate Analysis'!B65</f>
        <v>11.86744431935711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188.23922720795355</v>
      </c>
      <c r="C67" t="s">
        <v>36</v>
      </c>
      <c r="D67" t="s">
        <v>122</v>
      </c>
      <c r="G67" s="20">
        <f ca="1">($B$56*$B$66*$B$55*$E$122)/$B$65</f>
        <v>1.4496542088068893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-3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3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3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-3</v>
      </c>
      <c r="Q76" cm="1">
        <f t="array" ref="Q76">(-1*MAX(ABS(B84:C91)))-1</f>
        <v>-8.0501958637291597</v>
      </c>
      <c r="R76">
        <f>Q76</f>
        <v>-8.0501958637291597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-3</v>
      </c>
      <c r="Q77">
        <f>-1*Q76</f>
        <v>8.0501958637291597</v>
      </c>
      <c r="R77">
        <f>Q77</f>
        <v>8.0501958637291597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-3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-3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-3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-3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-6.9494415806636027</v>
      </c>
      <c r="C84" s="1">
        <f t="shared" ref="C84:C92" si="23">(-1*B73*SIN($B$64))+(C73*COS($B$64))</f>
        <v>-7.0501958637291597</v>
      </c>
      <c r="H84" s="1">
        <f t="shared" ref="H84:H92" si="24">H73</f>
        <v>1</v>
      </c>
      <c r="I84" s="4">
        <f>(I73*COS($B$64))+(J73*SIN($B$64))</f>
        <v>-2.9783321059986867</v>
      </c>
      <c r="J84" s="1">
        <f>(-1*I73*SIN($B$64))+(J73*COS($B$64))</f>
        <v>-3.0215125130267828</v>
      </c>
    </row>
    <row r="85" spans="1:10" x14ac:dyDescent="0.25">
      <c r="A85" s="1">
        <f t="shared" si="21"/>
        <v>2</v>
      </c>
      <c r="B85" s="4">
        <f t="shared" si="22"/>
        <v>7.0501958637291597</v>
      </c>
      <c r="C85" s="1">
        <f t="shared" si="23"/>
        <v>-6.9494415806636027</v>
      </c>
      <c r="H85" s="1">
        <f t="shared" si="24"/>
        <v>2</v>
      </c>
      <c r="I85" s="4">
        <f t="shared" ref="I85:I92" si="25">(I74*COS($B$64))+(J74*SIN($B$64))</f>
        <v>-3.0215125130267828</v>
      </c>
      <c r="J85" s="1">
        <f t="shared" ref="J85:J92" si="26">(-1*I74*SIN($B$64))+(J74*COS($B$64))</f>
        <v>2.9783321059986867</v>
      </c>
    </row>
    <row r="86" spans="1:10" x14ac:dyDescent="0.25">
      <c r="A86" s="1">
        <f t="shared" si="21"/>
        <v>3</v>
      </c>
      <c r="B86" s="4">
        <f t="shared" si="22"/>
        <v>6.9494415806636027</v>
      </c>
      <c r="C86" s="1">
        <f t="shared" si="23"/>
        <v>7.0501958637291597</v>
      </c>
      <c r="H86" s="1">
        <f t="shared" si="24"/>
        <v>3</v>
      </c>
      <c r="I86" s="4">
        <f t="shared" si="25"/>
        <v>2.9783321059986867</v>
      </c>
      <c r="J86" s="1">
        <f t="shared" si="26"/>
        <v>3.0215125130267828</v>
      </c>
    </row>
    <row r="87" spans="1:10" x14ac:dyDescent="0.25">
      <c r="A87" s="1">
        <f t="shared" si="21"/>
        <v>4</v>
      </c>
      <c r="B87" s="4">
        <f t="shared" si="22"/>
        <v>-7.0501958637291597</v>
      </c>
      <c r="C87" s="1">
        <f t="shared" si="23"/>
        <v>6.9494415806636027</v>
      </c>
      <c r="H87" s="1">
        <f t="shared" si="24"/>
        <v>4</v>
      </c>
      <c r="I87" s="4">
        <f t="shared" si="25"/>
        <v>3.0215125130267828</v>
      </c>
      <c r="J87" s="1">
        <f t="shared" si="26"/>
        <v>-2.9783321059986867</v>
      </c>
    </row>
    <row r="88" spans="1:10" x14ac:dyDescent="0.25">
      <c r="A88" s="1">
        <f t="shared" si="21"/>
        <v>5</v>
      </c>
      <c r="B88" s="4">
        <f t="shared" si="22"/>
        <v>-6.9494415806636027</v>
      </c>
      <c r="C88" s="1">
        <f t="shared" si="23"/>
        <v>-7.0501958637291597</v>
      </c>
      <c r="H88" s="1">
        <f t="shared" si="24"/>
        <v>5</v>
      </c>
      <c r="I88" s="4">
        <f t="shared" si="25"/>
        <v>-2.9783321059986867</v>
      </c>
      <c r="J88" s="1">
        <f t="shared" si="26"/>
        <v>-3.0215125130267828</v>
      </c>
    </row>
    <row r="89" spans="1:10" x14ac:dyDescent="0.25">
      <c r="A89" s="1">
        <f t="shared" si="21"/>
        <v>6</v>
      </c>
      <c r="B89" s="4">
        <f t="shared" si="22"/>
        <v>-6.9494415806636027</v>
      </c>
      <c r="C89" s="1">
        <f t="shared" si="23"/>
        <v>-7.0501958637291597</v>
      </c>
      <c r="H89" s="1">
        <f t="shared" si="24"/>
        <v>6</v>
      </c>
      <c r="I89" s="4">
        <f t="shared" si="25"/>
        <v>-2.9783321059986867</v>
      </c>
      <c r="J89" s="1">
        <f t="shared" si="26"/>
        <v>-3.0215125130267828</v>
      </c>
    </row>
    <row r="90" spans="1:10" x14ac:dyDescent="0.25">
      <c r="A90" s="1">
        <f t="shared" si="21"/>
        <v>7</v>
      </c>
      <c r="B90" s="4">
        <f t="shared" si="22"/>
        <v>-6.9494415806636027</v>
      </c>
      <c r="C90" s="1">
        <f t="shared" si="23"/>
        <v>-7.0501958637291597</v>
      </c>
      <c r="H90" s="1">
        <f t="shared" si="24"/>
        <v>7</v>
      </c>
      <c r="I90" s="4">
        <f t="shared" si="25"/>
        <v>-2.9783321059986867</v>
      </c>
      <c r="J90" s="1">
        <f t="shared" si="26"/>
        <v>-3.0215125130267828</v>
      </c>
    </row>
    <row r="91" spans="1:10" x14ac:dyDescent="0.25">
      <c r="A91" s="1">
        <f t="shared" si="21"/>
        <v>8</v>
      </c>
      <c r="B91" s="4">
        <f t="shared" si="22"/>
        <v>-6.9494415806636027</v>
      </c>
      <c r="C91" s="1">
        <f t="shared" si="23"/>
        <v>-7.0501958637291597</v>
      </c>
      <c r="H91" s="1">
        <f t="shared" si="24"/>
        <v>8</v>
      </c>
      <c r="I91" s="4">
        <f t="shared" si="25"/>
        <v>-2.9783321059986867</v>
      </c>
      <c r="J91" s="1">
        <f t="shared" si="26"/>
        <v>-3.0215125130267828</v>
      </c>
    </row>
    <row r="92" spans="1:10" x14ac:dyDescent="0.25">
      <c r="A92" s="1">
        <f t="shared" si="21"/>
        <v>9</v>
      </c>
      <c r="B92" s="4">
        <f t="shared" si="22"/>
        <v>-6.9494415806636027</v>
      </c>
      <c r="C92" s="1">
        <f t="shared" si="23"/>
        <v>-7.0501958637291597</v>
      </c>
      <c r="H92" s="1">
        <f t="shared" si="24"/>
        <v>9</v>
      </c>
      <c r="I92" s="4">
        <f t="shared" si="25"/>
        <v>-2.9783321059986867</v>
      </c>
      <c r="J92" s="1">
        <f t="shared" si="26"/>
        <v>-3.0215125130267828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-5.5</v>
      </c>
      <c r="C95" s="4">
        <f t="shared" ref="C95:C106" si="29">C37-$C$9</f>
        <v>-5.5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5.5</v>
      </c>
      <c r="C96" s="4">
        <f t="shared" si="29"/>
        <v>-5.5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-5.5</v>
      </c>
      <c r="C97" s="4">
        <f t="shared" si="29"/>
        <v>5.5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5.5</v>
      </c>
      <c r="C98" s="4">
        <f t="shared" si="29"/>
        <v>5.5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-7</v>
      </c>
      <c r="C99" s="4">
        <f t="shared" si="29"/>
        <v>-7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-7</v>
      </c>
      <c r="C100" s="4">
        <f t="shared" si="29"/>
        <v>-7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-7</v>
      </c>
      <c r="C101" s="4">
        <f t="shared" si="29"/>
        <v>-7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-7</v>
      </c>
      <c r="C102" s="4">
        <f t="shared" si="29"/>
        <v>-7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-5.4602755276642592</v>
      </c>
      <c r="C110" s="1">
        <f>(-1*B95*SIN($B$64))+(C95*COS($B$64))</f>
        <v>-5.5394396072157681</v>
      </c>
      <c r="D110" t="str">
        <f t="shared" ref="D110" si="31">D95</f>
        <v>y</v>
      </c>
      <c r="E110" s="4">
        <f t="shared" ref="E110:E121" si="32">IF($D110="y",$B$125-C110,0)</f>
        <v>0.72219115158781744</v>
      </c>
      <c r="F110" s="1">
        <f>IF($D110="y",B110,NA())</f>
        <v>-5.4602755276642592</v>
      </c>
      <c r="G110" s="1">
        <f>IF($D110="y",C110,NA())</f>
        <v>-5.5394396072157681</v>
      </c>
      <c r="H110">
        <f t="shared" ref="H110:H121" si="33">IF($E$122=0,0,-1*MAX(($B$67/$E$122)*(E110),0))</f>
        <v>-188.23922720795355</v>
      </c>
      <c r="I110">
        <f>H110*C110</f>
        <v>1042.739830827426</v>
      </c>
      <c r="J110">
        <f>H110*B110*-1</f>
        <v>-1027.8380456700208</v>
      </c>
      <c r="K110">
        <f ca="1">H110/$B$55</f>
        <v>-310.75634560933878</v>
      </c>
      <c r="L110">
        <f ca="1">K110/$B$54</f>
        <v>-1.0715736055494441E-2</v>
      </c>
      <c r="M110">
        <f t="shared" ref="M110:M121" si="34">IFERROR(($D$66/$B$65)*(G110-$B$125),0)</f>
        <v>-8.2523245041535642E-5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5.5394396072157681</v>
      </c>
      <c r="C111" s="1">
        <f t="shared" ref="C111:C121" si="37">(-1*B96*SIN($B$64))+(C96*COS($B$64))</f>
        <v>-5.4602755276642592</v>
      </c>
      <c r="D111" t="str">
        <f t="shared" si="35"/>
        <v>y</v>
      </c>
      <c r="E111" s="4">
        <f t="shared" si="32"/>
        <v>0.64302707203630849</v>
      </c>
      <c r="F111" s="1">
        <f t="shared" ref="F111:G121" si="38">IF($D111="y",B111,NA())</f>
        <v>5.5394396072157681</v>
      </c>
      <c r="G111" s="1">
        <f t="shared" si="38"/>
        <v>-5.4602755276642592</v>
      </c>
      <c r="H111">
        <f t="shared" si="33"/>
        <v>-167.60509852243621</v>
      </c>
      <c r="I111">
        <f t="shared" ref="I111:I121" si="39">H111*C111</f>
        <v>915.17001777381552</v>
      </c>
      <c r="J111">
        <f t="shared" ref="J111:J121" si="40">H111*B111*-1</f>
        <v>928.4383211264842</v>
      </c>
      <c r="K111">
        <f ca="1">H111/$B$55</f>
        <v>-276.69231697804577</v>
      </c>
      <c r="L111">
        <f t="shared" ref="L111:L121" ca="1" si="41">K111/$B$54</f>
        <v>-9.5411143785533031E-3</v>
      </c>
      <c r="M111">
        <f t="shared" si="34"/>
        <v>-7.3477334244991617E-5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-5.5394396072157681</v>
      </c>
      <c r="C112" s="1">
        <f t="shared" si="37"/>
        <v>5.4602755276642592</v>
      </c>
      <c r="D112" t="str">
        <f t="shared" si="35"/>
        <v>y</v>
      </c>
      <c r="E112" s="4">
        <f t="shared" si="32"/>
        <v>-10.277523983292209</v>
      </c>
      <c r="F112" s="1">
        <f t="shared" si="38"/>
        <v>-5.5394396072157681</v>
      </c>
      <c r="G112" s="1">
        <f t="shared" si="38"/>
        <v>5.4602755276642592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1.1743907803754784E-3</v>
      </c>
      <c r="N112">
        <f t="shared" si="42"/>
        <v>4.2423972963717853</v>
      </c>
      <c r="O112">
        <f t="shared" si="43"/>
        <v>23.164658136007876</v>
      </c>
      <c r="P112">
        <f t="shared" si="44"/>
        <v>23.500503613066957</v>
      </c>
    </row>
    <row r="113" spans="1:16" x14ac:dyDescent="0.25">
      <c r="A113">
        <f t="shared" si="35"/>
        <v>4</v>
      </c>
      <c r="B113" s="1">
        <f t="shared" si="36"/>
        <v>5.4602755276642592</v>
      </c>
      <c r="C113" s="1">
        <f t="shared" si="37"/>
        <v>5.5394396072157681</v>
      </c>
      <c r="D113" t="str">
        <f t="shared" si="35"/>
        <v>y</v>
      </c>
      <c r="E113" s="4">
        <f t="shared" si="32"/>
        <v>-10.35668806284372</v>
      </c>
      <c r="F113" s="1">
        <f t="shared" si="38"/>
        <v>5.4602755276642592</v>
      </c>
      <c r="G113" s="1">
        <f t="shared" si="38"/>
        <v>5.5394396072157681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1.1834366911720226E-3</v>
      </c>
      <c r="N113">
        <f t="shared" si="42"/>
        <v>4.275074960525628</v>
      </c>
      <c r="O113">
        <f t="shared" si="43"/>
        <v>23.681519560152051</v>
      </c>
      <c r="P113">
        <f t="shared" si="44"/>
        <v>-23.343087185888336</v>
      </c>
    </row>
    <row r="114" spans="1:16" x14ac:dyDescent="0.25">
      <c r="A114">
        <f t="shared" si="35"/>
        <v>5</v>
      </c>
      <c r="B114" s="1">
        <f t="shared" si="36"/>
        <v>-6.9494415806636027</v>
      </c>
      <c r="C114" s="1">
        <f t="shared" si="37"/>
        <v>-7.0501958637291597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-6.9494415806636027</v>
      </c>
      <c r="C115" s="1">
        <f t="shared" si="37"/>
        <v>-7.0501958637291597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-6.9494415806636027</v>
      </c>
      <c r="C116" s="1">
        <f t="shared" si="37"/>
        <v>-7.0501958637291597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-6.9494415806636027</v>
      </c>
      <c r="C117" s="1">
        <f t="shared" si="37"/>
        <v>-7.0501958637291597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-6.9494415806636027</v>
      </c>
      <c r="C118" s="1">
        <f t="shared" si="37"/>
        <v>-7.0501958637291597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-6.9494415806636027</v>
      </c>
      <c r="C119" s="1">
        <f t="shared" si="37"/>
        <v>-7.0501958637291597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-6.9494415806636027</v>
      </c>
      <c r="C120" s="1">
        <f t="shared" si="37"/>
        <v>-7.0501958637291597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-6.9494415806636027</v>
      </c>
      <c r="C121" s="1">
        <f t="shared" si="37"/>
        <v>-7.0501958637291597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0.72219115158781744</v>
      </c>
      <c r="H122">
        <f>SUM(H110:H121)</f>
        <v>-355.84432573038976</v>
      </c>
      <c r="I122">
        <f t="shared" ref="I122:J122" si="46">SUM(I110:I121)</f>
        <v>1957.9098486012415</v>
      </c>
      <c r="J122">
        <f t="shared" si="46"/>
        <v>-99.399724543536649</v>
      </c>
      <c r="L122">
        <f ca="1">MIN(L110:L121)</f>
        <v>-1.0715736055494441E-2</v>
      </c>
      <c r="M122">
        <f>MIN(M110:M121)</f>
        <v>-8.2523245041535642E-5</v>
      </c>
      <c r="N122">
        <f>SUM(N110:N121)</f>
        <v>8.5174722568974133</v>
      </c>
      <c r="O122">
        <f>SUM(O110:O121)</f>
        <v>46.846177696159927</v>
      </c>
      <c r="P122">
        <f>SUM(P110:P121)</f>
        <v>0.15741642717862092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-4.8172484556279507</v>
      </c>
      <c r="F125" s="1" t="s">
        <v>27</v>
      </c>
      <c r="G125" s="1" t="s">
        <v>28</v>
      </c>
    </row>
    <row r="126" spans="1:16" x14ac:dyDescent="0.25">
      <c r="F126" s="4">
        <f>MIN(B84:B90)-1</f>
        <v>-8.0501958637291597</v>
      </c>
      <c r="G126" s="4">
        <f>B125</f>
        <v>-4.8172484556279507</v>
      </c>
    </row>
    <row r="127" spans="1:16" x14ac:dyDescent="0.25">
      <c r="F127" s="4">
        <f>MAX(B84:B90)+1</f>
        <v>8.0501958637291597</v>
      </c>
      <c r="G127" s="4">
        <f>G126</f>
        <v>-4.8172484556279507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-6.9494415806636027</v>
      </c>
      <c r="C132" s="4">
        <f>C84</f>
        <v>-7.0501958637291597</v>
      </c>
      <c r="D132" s="4">
        <f t="shared" ref="D132:E139" si="47">B85</f>
        <v>7.0501958637291597</v>
      </c>
      <c r="E132" s="4">
        <f t="shared" si="47"/>
        <v>-6.9494415806636027</v>
      </c>
      <c r="F132" s="4">
        <f t="shared" ref="F132:F139" si="48">($B$66/$B$65)*(C132-$B$125)</f>
        <v>-1.0395696072183054</v>
      </c>
      <c r="G132" s="4">
        <f t="shared" ref="G132:G139" si="49">($B$66/$B$65)*(E132-$B$125)</f>
        <v>-0.99266250582755222</v>
      </c>
      <c r="H132" s="4">
        <f>IF(B132=D132,"V",(C132-E132)/(B132-D132))</f>
        <v>7.1969208821126901E-3</v>
      </c>
      <c r="I132" s="4">
        <f>IF(H132="V",0,(-1*B132*H132)+C132)</f>
        <v>-7.0001812824982599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7.0501958637291597</v>
      </c>
      <c r="C133" s="4">
        <f t="shared" si="50"/>
        <v>-6.9494415806636027</v>
      </c>
      <c r="D133" s="4">
        <f t="shared" si="47"/>
        <v>6.9494415806636027</v>
      </c>
      <c r="E133" s="4">
        <f t="shared" si="47"/>
        <v>7.0501958637291597</v>
      </c>
      <c r="F133" s="4">
        <f t="shared" si="48"/>
        <v>-0.99266250582755222</v>
      </c>
      <c r="G133" s="4">
        <f t="shared" si="49"/>
        <v>5.5250000000000004</v>
      </c>
      <c r="H133" s="4">
        <f t="shared" ref="H133:H139" si="51">IF(B133=D133,"V",(C133-E133)/(B133-D133))</f>
        <v>-138.94831086519397</v>
      </c>
      <c r="I133" s="4">
        <f t="shared" ref="I133:I139" si="52">IF(H133="V",0,(-1*B133*H133)+C133)</f>
        <v>972.66336495328039</v>
      </c>
      <c r="J133" s="4">
        <f t="shared" ref="J133:J139" si="53">IF($F133&gt;=0,B133,IF(AND($F133&lt;0,$G133&gt;=0),IF(H133="V",B133,($B$125-I133)/H133),0))</f>
        <v>7.0348506385028928</v>
      </c>
      <c r="K133" s="4">
        <f t="shared" ref="K133:K139" si="54">IF($F133&gt;=0,C133,IF(AND($F133&lt;0,$G133&gt;=0),$B$125,0))</f>
        <v>-4.8172484556279507</v>
      </c>
      <c r="L133" s="4">
        <f t="shared" ref="L133:L139" si="55">IF($G133&gt;=0,D133,IF(AND($G133&lt;0,$F133&gt;=0),IF(H133="V",D133,($B$125-I133)/H133),0))</f>
        <v>6.9494415806636027</v>
      </c>
      <c r="M133" s="4">
        <f t="shared" ref="M133:M139" si="56">IF($G133&gt;=0,E133,IF(AND($G133&lt;0,$F133&gt;=0),$B$125,0))</f>
        <v>7.0501958637291597</v>
      </c>
      <c r="N133" s="4">
        <f t="shared" ref="N133:O139" si="57">IF(F133&lt;0,IF($I$54="Linear",0,$B$66),IF($I$54="Linear",F133,$B$66))</f>
        <v>0</v>
      </c>
      <c r="O133" s="4">
        <f t="shared" si="57"/>
        <v>5.5250000000000004</v>
      </c>
      <c r="P133" s="4">
        <f t="shared" ref="P133:P139" si="58">(1/6)*(M133-K133)*((N133*((2*J133)+L133))+(O133*(J133+(2*L133))))</f>
        <v>228.76255157802419</v>
      </c>
      <c r="Q133" s="4">
        <f t="shared" ref="Q133:Q139" si="59">((1/12)*(M133-K133)*(N133*J133*((3*K133)+M133)+N133*L133*(K133+M133)+O133*J133*(K133+M133)+O133*L133*(K133+(3*M133))))</f>
        <v>706.03244404068766</v>
      </c>
      <c r="R133" s="4">
        <f t="shared" ref="R133:R139" si="60">((-1/24)*(M133-K133)*(J133*J133*((3*N133)+O133)+2*J133*L133*(N133+O133)+L133*L133*(N133+(3*O133))))</f>
        <v>-798.14903602653112</v>
      </c>
    </row>
    <row r="134" spans="1:18" x14ac:dyDescent="0.25">
      <c r="A134" t="s">
        <v>71</v>
      </c>
      <c r="B134" s="4">
        <f t="shared" si="50"/>
        <v>6.9494415806636027</v>
      </c>
      <c r="C134" s="4">
        <f t="shared" si="50"/>
        <v>7.0501958637291597</v>
      </c>
      <c r="D134" s="4">
        <f t="shared" si="47"/>
        <v>-7.0501958637291597</v>
      </c>
      <c r="E134" s="4">
        <f t="shared" si="47"/>
        <v>6.9494415806636027</v>
      </c>
      <c r="F134" s="4">
        <f t="shared" si="48"/>
        <v>5.5250000000000004</v>
      </c>
      <c r="G134" s="4">
        <f t="shared" si="49"/>
        <v>5.4780928986092468</v>
      </c>
      <c r="H134" s="4">
        <f t="shared" si="51"/>
        <v>7.1969208821126901E-3</v>
      </c>
      <c r="I134" s="4">
        <f t="shared" si="52"/>
        <v>7.0001812824982599</v>
      </c>
      <c r="J134" s="4">
        <f t="shared" si="53"/>
        <v>6.9494415806636027</v>
      </c>
      <c r="K134" s="4">
        <f t="shared" si="54"/>
        <v>7.0501958637291597</v>
      </c>
      <c r="L134" s="4">
        <f t="shared" si="55"/>
        <v>-7.0501958637291597</v>
      </c>
      <c r="M134" s="4">
        <f t="shared" si="56"/>
        <v>6.9494415806636027</v>
      </c>
      <c r="N134" s="4">
        <f t="shared" si="57"/>
        <v>5.5250000000000004</v>
      </c>
      <c r="O134" s="4">
        <f t="shared" si="57"/>
        <v>5.4780928986092468</v>
      </c>
      <c r="P134" s="4">
        <f t="shared" si="58"/>
        <v>2.2410639134362569E-2</v>
      </c>
      <c r="Q134" s="4">
        <f t="shared" si="59"/>
        <v>9.1717468668875091E-2</v>
      </c>
      <c r="R134" s="4">
        <f t="shared" si="60"/>
        <v>4.5270101614055376</v>
      </c>
    </row>
    <row r="135" spans="1:18" x14ac:dyDescent="0.25">
      <c r="A135" t="s">
        <v>72</v>
      </c>
      <c r="B135" s="4">
        <f t="shared" si="50"/>
        <v>-7.0501958637291597</v>
      </c>
      <c r="C135" s="4">
        <f t="shared" si="50"/>
        <v>6.9494415806636027</v>
      </c>
      <c r="D135" s="4">
        <f t="shared" si="47"/>
        <v>-6.9494415806636027</v>
      </c>
      <c r="E135" s="4">
        <f t="shared" si="47"/>
        <v>-7.0501958637291597</v>
      </c>
      <c r="F135" s="4">
        <f t="shared" si="48"/>
        <v>5.4780928986092468</v>
      </c>
      <c r="G135" s="4">
        <f t="shared" si="49"/>
        <v>-1.0395696072183054</v>
      </c>
      <c r="H135" s="4">
        <f t="shared" si="51"/>
        <v>-138.94831086519397</v>
      </c>
      <c r="I135" s="4">
        <f t="shared" si="52"/>
        <v>-972.66336495328039</v>
      </c>
      <c r="J135" s="4">
        <f t="shared" si="53"/>
        <v>-7.0501958637291597</v>
      </c>
      <c r="K135" s="4">
        <f t="shared" si="54"/>
        <v>6.9494415806636027</v>
      </c>
      <c r="L135" s="4">
        <f t="shared" si="55"/>
        <v>-6.965511926493626</v>
      </c>
      <c r="M135" s="4">
        <f t="shared" si="56"/>
        <v>-4.8172484556279507</v>
      </c>
      <c r="N135" s="4">
        <f t="shared" si="57"/>
        <v>5.4780928986092468</v>
      </c>
      <c r="O135" s="4">
        <f t="shared" si="57"/>
        <v>0</v>
      </c>
      <c r="P135" s="4">
        <f t="shared" si="58"/>
        <v>226.3145881182235</v>
      </c>
      <c r="Q135" s="4">
        <f t="shared" si="59"/>
        <v>686.88631063211176</v>
      </c>
      <c r="R135" s="4">
        <f t="shared" si="60"/>
        <v>794.5933050670584</v>
      </c>
    </row>
    <row r="136" spans="1:18" x14ac:dyDescent="0.25">
      <c r="A136" t="s">
        <v>73</v>
      </c>
      <c r="B136" s="4">
        <f t="shared" si="50"/>
        <v>-6.9494415806636027</v>
      </c>
      <c r="C136" s="4">
        <f t="shared" si="50"/>
        <v>-7.0501958637291597</v>
      </c>
      <c r="D136" s="4">
        <f t="shared" si="47"/>
        <v>-6.9494415806636027</v>
      </c>
      <c r="E136" s="4">
        <f t="shared" si="47"/>
        <v>-7.0501958637291597</v>
      </c>
      <c r="F136" s="4">
        <f t="shared" si="48"/>
        <v>-1.0395696072183054</v>
      </c>
      <c r="G136" s="4">
        <f t="shared" si="49"/>
        <v>-1.0395696072183054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-6.9494415806636027</v>
      </c>
      <c r="C137" s="4">
        <f t="shared" si="50"/>
        <v>-7.0501958637291597</v>
      </c>
      <c r="D137" s="4">
        <f t="shared" si="47"/>
        <v>-6.9494415806636027</v>
      </c>
      <c r="E137" s="4">
        <f t="shared" si="47"/>
        <v>-7.0501958637291597</v>
      </c>
      <c r="F137" s="4">
        <f t="shared" si="48"/>
        <v>-1.0395696072183054</v>
      </c>
      <c r="G137" s="4">
        <f t="shared" si="49"/>
        <v>-1.0395696072183054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-6.9494415806636027</v>
      </c>
      <c r="C138" s="4">
        <f t="shared" si="50"/>
        <v>-7.0501958637291597</v>
      </c>
      <c r="D138" s="4">
        <f t="shared" si="47"/>
        <v>-6.9494415806636027</v>
      </c>
      <c r="E138" s="4">
        <f t="shared" si="47"/>
        <v>-7.0501958637291597</v>
      </c>
      <c r="F138" s="4">
        <f t="shared" si="48"/>
        <v>-1.0395696072183054</v>
      </c>
      <c r="G138" s="4">
        <f t="shared" si="49"/>
        <v>-1.0395696072183054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-6.9494415806636027</v>
      </c>
      <c r="C139" s="4">
        <f>E138</f>
        <v>-7.0501958637291597</v>
      </c>
      <c r="D139" s="4">
        <f t="shared" si="47"/>
        <v>-6.9494415806636027</v>
      </c>
      <c r="E139" s="4">
        <f t="shared" si="47"/>
        <v>-7.0501958637291597</v>
      </c>
      <c r="F139" s="4">
        <f t="shared" si="48"/>
        <v>-1.0395696072183054</v>
      </c>
      <c r="G139" s="4">
        <f t="shared" si="49"/>
        <v>-1.0395696072183054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455.09955033538205</v>
      </c>
      <c r="Q140" s="4">
        <f>SUM(Q132:Q139)</f>
        <v>1393.0104721414682</v>
      </c>
      <c r="R140" s="4">
        <f>SUM(R132:R139)</f>
        <v>0.97127920193281625</v>
      </c>
    </row>
    <row r="142" spans="1:18" x14ac:dyDescent="0.25">
      <c r="O142" t="s">
        <v>96</v>
      </c>
      <c r="P142" s="1">
        <f>-1*R140/P140</f>
        <v>-2.1342126161562665E-3</v>
      </c>
    </row>
    <row r="143" spans="1:18" x14ac:dyDescent="0.25">
      <c r="O143" t="s">
        <v>97</v>
      </c>
      <c r="P143" s="1">
        <f>Q140/P140</f>
        <v>3.060891778765547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-2.9783321059986867</v>
      </c>
      <c r="C146" s="9">
        <f>J84</f>
        <v>-3.0215125130267828</v>
      </c>
      <c r="D146" s="9">
        <f t="shared" ref="D146:E153" si="61">I85</f>
        <v>-3.0215125130267828</v>
      </c>
      <c r="E146">
        <f t="shared" si="61"/>
        <v>2.9783321059986867</v>
      </c>
      <c r="F146" s="4">
        <f>($B$66/$B$65)*(C146-$B$125)</f>
        <v>0.83602170912978191</v>
      </c>
      <c r="G146" s="4">
        <f>($B$66/$B$65)*(E146-$B$125)</f>
        <v>3.6293056401987331</v>
      </c>
      <c r="H146" s="4">
        <f>IF(B146=D146,"V",(C146-E146)/(B146-D146))</f>
        <v>-138.94831086519315</v>
      </c>
      <c r="I146" s="4">
        <f>IF(H146="V",0,(-1*B146*H146)+C146)</f>
        <v>-416.85572783711768</v>
      </c>
      <c r="J146" s="4">
        <f>IF($F146&gt;=0,B146,IF(AND($F146&lt;0,$G146&gt;=0),IF(H146="V",B146,($B$125-I146)/H146),0))</f>
        <v>-2.9783321059986867</v>
      </c>
      <c r="K146" s="4">
        <f>IF($F146&gt;=0,C146,IF(AND($F146&lt;0,$G146&gt;=0),$B$125,0))</f>
        <v>-3.0215125130267828</v>
      </c>
      <c r="L146" s="4">
        <f>IF($G146&gt;=0,D146,IF(AND($G146&lt;0,$F146&gt;=0),IF(H146="V",D146,($B$125-I146)/H146),0))</f>
        <v>-3.0215125130267828</v>
      </c>
      <c r="M146" s="4">
        <f>IF($G146&gt;=0,E146,IF(AND($G146&lt;0,$F146&gt;=0),$B$125,0))</f>
        <v>2.9783321059986867</v>
      </c>
      <c r="N146" s="4">
        <f>IF(F146&lt;0,IF($I$54="Linear",0,$B$66),IF($I$54="Linear",F146,$B$66))</f>
        <v>0.83602170912978191</v>
      </c>
      <c r="O146" s="4">
        <f>IF(G146&lt;0,IF($I$54="Linear",0,$B$66),IF($I$54="Linear",G146,$B$66))</f>
        <v>3.6293056401987331</v>
      </c>
      <c r="P146" s="4">
        <f>(1/6)*(M146-K146)*((N146*((2*J146)+L146))+(O146*(J146+(2*L146))))</f>
        <v>-40.246170696932595</v>
      </c>
      <c r="Q146" s="4">
        <f>((1/12)*(M146-K146)*(N146*J146*((3*K146)+M146)+N146*L146*(K146+M146)+O146*J146*(K146+M146)+O146*L146*(K146+(3*M146))))</f>
        <v>-24.557886308900567</v>
      </c>
      <c r="R146" s="4">
        <f>((-1/24)*(M146-K146)*(J146*J146*((3*N146)+O146)+2*J146*L146*(N146+O146)+L146*L146*(N146+(3*O146))))</f>
        <v>-60.459190040590862</v>
      </c>
    </row>
    <row r="147" spans="1:18" x14ac:dyDescent="0.25">
      <c r="A147" t="s">
        <v>70</v>
      </c>
      <c r="B147" s="9">
        <f t="shared" ref="B147:C153" si="62">D146</f>
        <v>-3.0215125130267828</v>
      </c>
      <c r="C147">
        <f t="shared" si="62"/>
        <v>2.9783321059986867</v>
      </c>
      <c r="D147" s="9">
        <f t="shared" si="61"/>
        <v>2.9783321059986867</v>
      </c>
      <c r="E147">
        <f t="shared" si="61"/>
        <v>3.0215125130267828</v>
      </c>
      <c r="F147" s="4">
        <f t="shared" ref="F147:F153" si="63">($B$66/$B$65)*(C147-$B$125)</f>
        <v>3.6293056401987331</v>
      </c>
      <c r="G147" s="4">
        <f t="shared" ref="G147:G153" si="64">($B$66/$B$65)*(E147-$B$125)</f>
        <v>3.6494086836519131</v>
      </c>
      <c r="H147" s="4">
        <f t="shared" ref="H147:H153" si="65">IF(B147=D147,"V",(C147-E147)/(B147-D147))</f>
        <v>7.1969208821127326E-3</v>
      </c>
      <c r="I147" s="4">
        <f t="shared" ref="I147:I153" si="66">IF(H147="V",0,(-1*B147*H147)+C147)</f>
        <v>3.000077692499254</v>
      </c>
      <c r="J147" s="4">
        <f t="shared" ref="J147:J153" si="67">IF($F147&gt;=0,B147,IF(AND($F147&lt;0,$G147&gt;=0),IF(H147="V",B147,($B$125-I147)/H147),0))</f>
        <v>-3.0215125130267828</v>
      </c>
      <c r="K147" s="4">
        <f t="shared" ref="K147:K153" si="68">IF($F147&gt;=0,C147,IF(AND($F147&lt;0,$G147&gt;=0),$B$125,0))</f>
        <v>2.9783321059986867</v>
      </c>
      <c r="L147" s="4">
        <f t="shared" ref="L147:L153" si="69">IF($G147&gt;=0,D147,IF(AND($G147&lt;0,$F147&gt;=0),IF(H147="V",D147,($B$125-I147)/H147),0))</f>
        <v>2.9783321059986867</v>
      </c>
      <c r="M147" s="4">
        <f t="shared" ref="M147:M153" si="70">IF($G147&gt;=0,E147,IF(AND($G147&lt;0,$F147&gt;=0),$B$125,0))</f>
        <v>3.0215125130267828</v>
      </c>
      <c r="N147" s="4">
        <f t="shared" ref="N147:O153" si="71">IF(F147&lt;0,IF($I$54="Linear",0,$B$66),IF($I$54="Linear",F147,$B$66))</f>
        <v>3.6293056401987331</v>
      </c>
      <c r="O147" s="4">
        <f t="shared" si="71"/>
        <v>3.6494086836519131</v>
      </c>
      <c r="P147" s="4">
        <f t="shared" ref="P147:P153" si="72">(1/6)*(M147-K147)*((N147*((2*J147)+L147))+(O147*(J147+(2*L147))))</f>
        <v>-2.9588596825087252E-3</v>
      </c>
      <c r="Q147" s="4">
        <f t="shared" ref="Q147:Q153" si="73">((1/12)*(M147-K147)*(N147*J147*((3*K147)+M147)+N147*L147*(K147+M147)+O147*J147*(K147+M147)+O147*L147*(K147+(3*M147))))</f>
        <v>-5.483627234037264E-3</v>
      </c>
      <c r="R147" s="4">
        <f t="shared" ref="R147:R153" si="74">((-1/24)*(M147-K147)*(J147*J147*((3*N147)+O147)+2*J147*L147*(N147+O147)+L147*L147*(N147+(3*O147))))</f>
        <v>-0.23573843246810849</v>
      </c>
    </row>
    <row r="148" spans="1:18" x14ac:dyDescent="0.25">
      <c r="A148" t="s">
        <v>71</v>
      </c>
      <c r="B148" s="9">
        <f t="shared" si="62"/>
        <v>2.9783321059986867</v>
      </c>
      <c r="C148">
        <f t="shared" si="62"/>
        <v>3.0215125130267828</v>
      </c>
      <c r="D148" s="9">
        <f t="shared" si="61"/>
        <v>3.0215125130267828</v>
      </c>
      <c r="E148">
        <f t="shared" si="61"/>
        <v>-2.9783321059986867</v>
      </c>
      <c r="F148" s="4">
        <f t="shared" si="63"/>
        <v>3.6494086836519131</v>
      </c>
      <c r="G148" s="4">
        <f t="shared" si="64"/>
        <v>0.85612475258296206</v>
      </c>
      <c r="H148" s="4">
        <f t="shared" si="65"/>
        <v>-138.94831086519315</v>
      </c>
      <c r="I148" s="4">
        <f t="shared" si="66"/>
        <v>416.85572783711768</v>
      </c>
      <c r="J148" s="4">
        <f t="shared" si="67"/>
        <v>2.9783321059986867</v>
      </c>
      <c r="K148" s="4">
        <f t="shared" si="68"/>
        <v>3.0215125130267828</v>
      </c>
      <c r="L148" s="4">
        <f t="shared" si="69"/>
        <v>3.0215125130267828</v>
      </c>
      <c r="M148" s="4">
        <f t="shared" si="70"/>
        <v>-2.9783321059986867</v>
      </c>
      <c r="N148" s="4">
        <f t="shared" si="71"/>
        <v>3.6494086836519131</v>
      </c>
      <c r="O148" s="4">
        <f t="shared" si="71"/>
        <v>0.85612475258296206</v>
      </c>
      <c r="P148" s="4">
        <f t="shared" si="72"/>
        <v>-40.487394724010613</v>
      </c>
      <c r="Q148" s="4">
        <f t="shared" si="73"/>
        <v>-25.719922380802476</v>
      </c>
      <c r="R148" s="4">
        <f t="shared" si="74"/>
        <v>60.640112746223764</v>
      </c>
    </row>
    <row r="149" spans="1:18" x14ac:dyDescent="0.25">
      <c r="A149" t="s">
        <v>72</v>
      </c>
      <c r="B149" s="9">
        <f t="shared" si="62"/>
        <v>3.0215125130267828</v>
      </c>
      <c r="C149">
        <f t="shared" si="62"/>
        <v>-2.9783321059986867</v>
      </c>
      <c r="D149" s="9">
        <f t="shared" si="61"/>
        <v>-2.9783321059986867</v>
      </c>
      <c r="E149">
        <f t="shared" si="61"/>
        <v>-3.0215125130267828</v>
      </c>
      <c r="F149" s="4">
        <f t="shared" si="63"/>
        <v>0.85612475258296206</v>
      </c>
      <c r="G149" s="4">
        <f t="shared" si="64"/>
        <v>0.83602170912978191</v>
      </c>
      <c r="H149" s="4">
        <f t="shared" si="65"/>
        <v>7.1969208821127326E-3</v>
      </c>
      <c r="I149" s="4">
        <f t="shared" si="66"/>
        <v>-3.000077692499254</v>
      </c>
      <c r="J149" s="4">
        <f t="shared" si="67"/>
        <v>3.0215125130267828</v>
      </c>
      <c r="K149" s="4">
        <f t="shared" si="68"/>
        <v>-2.9783321059986867</v>
      </c>
      <c r="L149" s="4">
        <f t="shared" si="69"/>
        <v>-2.9783321059986867</v>
      </c>
      <c r="M149" s="4">
        <f t="shared" si="70"/>
        <v>-3.0215125130267828</v>
      </c>
      <c r="N149" s="4">
        <f t="shared" si="71"/>
        <v>0.85612475258296206</v>
      </c>
      <c r="O149" s="4">
        <f t="shared" si="71"/>
        <v>0.83602170912978191</v>
      </c>
      <c r="P149" s="4">
        <f t="shared" si="72"/>
        <v>-1.2227894447636287E-3</v>
      </c>
      <c r="Q149" s="4">
        <f t="shared" si="73"/>
        <v>2.8794544376018727E-3</v>
      </c>
      <c r="R149" s="4">
        <f t="shared" si="74"/>
        <v>5.4815726835212041E-2</v>
      </c>
    </row>
    <row r="150" spans="1:18" x14ac:dyDescent="0.25">
      <c r="A150" t="s">
        <v>73</v>
      </c>
      <c r="B150" s="9">
        <f t="shared" si="62"/>
        <v>-2.9783321059986867</v>
      </c>
      <c r="C150">
        <f t="shared" si="62"/>
        <v>-3.0215125130267828</v>
      </c>
      <c r="D150" s="9">
        <f t="shared" si="61"/>
        <v>-2.9783321059986867</v>
      </c>
      <c r="E150">
        <f t="shared" si="61"/>
        <v>-3.0215125130267828</v>
      </c>
      <c r="F150" s="4">
        <f t="shared" si="63"/>
        <v>0.83602170912978191</v>
      </c>
      <c r="G150" s="4">
        <f t="shared" si="64"/>
        <v>0.83602170912978191</v>
      </c>
      <c r="H150" s="4" t="str">
        <f t="shared" si="65"/>
        <v>V</v>
      </c>
      <c r="I150" s="4">
        <f t="shared" si="66"/>
        <v>0</v>
      </c>
      <c r="J150" s="4">
        <f t="shared" si="67"/>
        <v>-2.9783321059986867</v>
      </c>
      <c r="K150" s="4">
        <f t="shared" si="68"/>
        <v>-3.0215125130267828</v>
      </c>
      <c r="L150" s="4">
        <f t="shared" si="69"/>
        <v>-2.9783321059986867</v>
      </c>
      <c r="M150" s="4">
        <f t="shared" si="70"/>
        <v>-3.0215125130267828</v>
      </c>
      <c r="N150" s="4">
        <f t="shared" si="71"/>
        <v>0.83602170912978191</v>
      </c>
      <c r="O150" s="4">
        <f t="shared" si="71"/>
        <v>0.83602170912978191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-2.9783321059986867</v>
      </c>
      <c r="C151">
        <f t="shared" si="62"/>
        <v>-3.0215125130267828</v>
      </c>
      <c r="D151" s="9">
        <f t="shared" si="61"/>
        <v>-2.9783321059986867</v>
      </c>
      <c r="E151">
        <f t="shared" si="61"/>
        <v>-3.0215125130267828</v>
      </c>
      <c r="F151" s="4">
        <f t="shared" si="63"/>
        <v>0.83602170912978191</v>
      </c>
      <c r="G151" s="4">
        <f t="shared" si="64"/>
        <v>0.83602170912978191</v>
      </c>
      <c r="H151" s="4" t="str">
        <f t="shared" si="65"/>
        <v>V</v>
      </c>
      <c r="I151" s="4">
        <f t="shared" si="66"/>
        <v>0</v>
      </c>
      <c r="J151" s="4">
        <f t="shared" si="67"/>
        <v>-2.9783321059986867</v>
      </c>
      <c r="K151" s="4">
        <f t="shared" si="68"/>
        <v>-3.0215125130267828</v>
      </c>
      <c r="L151" s="4">
        <f t="shared" si="69"/>
        <v>-2.9783321059986867</v>
      </c>
      <c r="M151" s="4">
        <f t="shared" si="70"/>
        <v>-3.0215125130267828</v>
      </c>
      <c r="N151" s="4">
        <f t="shared" si="71"/>
        <v>0.83602170912978191</v>
      </c>
      <c r="O151" s="4">
        <f t="shared" si="71"/>
        <v>0.83602170912978191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-2.9783321059986867</v>
      </c>
      <c r="C152">
        <f t="shared" si="62"/>
        <v>-3.0215125130267828</v>
      </c>
      <c r="D152" s="9">
        <f t="shared" si="61"/>
        <v>-2.9783321059986867</v>
      </c>
      <c r="E152">
        <f t="shared" si="61"/>
        <v>-3.0215125130267828</v>
      </c>
      <c r="F152" s="4">
        <f t="shared" si="63"/>
        <v>0.83602170912978191</v>
      </c>
      <c r="G152" s="4">
        <f t="shared" si="64"/>
        <v>0.83602170912978191</v>
      </c>
      <c r="H152" s="4" t="str">
        <f t="shared" si="65"/>
        <v>V</v>
      </c>
      <c r="I152" s="4">
        <f t="shared" si="66"/>
        <v>0</v>
      </c>
      <c r="J152" s="4">
        <f t="shared" si="67"/>
        <v>-2.9783321059986867</v>
      </c>
      <c r="K152" s="4">
        <f t="shared" si="68"/>
        <v>-3.0215125130267828</v>
      </c>
      <c r="L152" s="4">
        <f t="shared" si="69"/>
        <v>-2.9783321059986867</v>
      </c>
      <c r="M152" s="4">
        <f t="shared" si="70"/>
        <v>-3.0215125130267828</v>
      </c>
      <c r="N152" s="4">
        <f t="shared" si="71"/>
        <v>0.83602170912978191</v>
      </c>
      <c r="O152" s="4">
        <f t="shared" si="71"/>
        <v>0.83602170912978191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-2.9783321059986867</v>
      </c>
      <c r="C153">
        <f t="shared" si="62"/>
        <v>-3.0215125130267828</v>
      </c>
      <c r="D153" s="9">
        <f t="shared" si="61"/>
        <v>-2.9783321059986867</v>
      </c>
      <c r="E153">
        <f t="shared" si="61"/>
        <v>-3.0215125130267828</v>
      </c>
      <c r="F153" s="4">
        <f t="shared" si="63"/>
        <v>0.83602170912978191</v>
      </c>
      <c r="G153" s="4">
        <f t="shared" si="64"/>
        <v>0.83602170912978191</v>
      </c>
      <c r="H153" s="4" t="str">
        <f t="shared" si="65"/>
        <v>V</v>
      </c>
      <c r="I153" s="4">
        <f t="shared" si="66"/>
        <v>0</v>
      </c>
      <c r="J153" s="4">
        <f t="shared" si="67"/>
        <v>-2.9783321059986867</v>
      </c>
      <c r="K153" s="4">
        <f t="shared" si="68"/>
        <v>-3.0215125130267828</v>
      </c>
      <c r="L153" s="4">
        <f t="shared" si="69"/>
        <v>-2.9783321059986867</v>
      </c>
      <c r="M153" s="4">
        <f t="shared" si="70"/>
        <v>-3.0215125130267828</v>
      </c>
      <c r="N153" s="4">
        <f t="shared" si="71"/>
        <v>0.83602170912978191</v>
      </c>
      <c r="O153" s="4">
        <f t="shared" si="71"/>
        <v>0.83602170912978191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-80.737747070070483</v>
      </c>
      <c r="Q154" s="4">
        <f t="shared" ref="Q154:R154" si="75">SUM(Q146:Q153)</f>
        <v>-50.280412862499475</v>
      </c>
      <c r="R154" s="4">
        <f t="shared" si="75"/>
        <v>3.5180192092809648E-15</v>
      </c>
    </row>
    <row r="156" spans="1:18" x14ac:dyDescent="0.25">
      <c r="O156" t="s">
        <v>96</v>
      </c>
      <c r="P156" s="1">
        <f>-1*R154/P154</f>
        <v>4.3573413142526191E-17</v>
      </c>
    </row>
    <row r="157" spans="1:18" x14ac:dyDescent="0.25">
      <c r="O157" t="s">
        <v>97</v>
      </c>
      <c r="P157" s="1">
        <f>Q154/P154</f>
        <v>0.62276214889749437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10.000005278024396</v>
      </c>
      <c r="C159" t="s">
        <v>36</v>
      </c>
    </row>
    <row r="160" spans="1:18" x14ac:dyDescent="0.25">
      <c r="A160" s="1" t="s">
        <v>106</v>
      </c>
      <c r="B160" s="4">
        <f>Q140+I122+Q154-O122</f>
        <v>3253.7937301840507</v>
      </c>
      <c r="C160" t="s">
        <v>102</v>
      </c>
    </row>
    <row r="161" spans="1:9" x14ac:dyDescent="0.25">
      <c r="A161" s="1" t="s">
        <v>107</v>
      </c>
      <c r="B161" s="4">
        <f>R140+J122+R154-P122</f>
        <v>-98.585861768782451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10.000005278024396</v>
      </c>
      <c r="C164" t="s">
        <v>36</v>
      </c>
      <c r="E164" s="8">
        <f>B2-B164</f>
        <v>-5.278024396204728E-6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3252.9999709708659</v>
      </c>
      <c r="C165" t="s">
        <v>102</v>
      </c>
      <c r="E165" s="8">
        <f>B3+B165</f>
        <v>-2.9029134111624444E-5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-121.99999831670532</v>
      </c>
      <c r="C166" t="s">
        <v>102</v>
      </c>
      <c r="E166" s="8">
        <f>B4+B166</f>
        <v>1.6832946840850127E-6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-717.42745546188814</v>
      </c>
      <c r="C169" s="3">
        <f ca="1">A169+B169</f>
        <v>-711.90245546188817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-1.0674574455167157E-10</v>
      </c>
      <c r="C175" s="27">
        <f>B65*SQRT(I175)</f>
        <v>1.7602264521381644E-7</v>
      </c>
      <c r="D175" s="27">
        <f>B66*SQRT(I175)</f>
        <v>8.1948993282407074E-8</v>
      </c>
      <c r="E175" s="27">
        <f>B67*SQRT(I175)</f>
        <v>2.7920389440633635E-6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-7.1967967362730791E-3</v>
      </c>
      <c r="C176" s="3">
        <f>B65+C175</f>
        <v>11.867444495379756</v>
      </c>
      <c r="D176" s="3">
        <f>D175+B66</f>
        <v>5.5250000819489937</v>
      </c>
      <c r="E176" s="3">
        <f>B67+E175</f>
        <v>188.23922999999249</v>
      </c>
      <c r="F176" s="16" t="s">
        <v>125</v>
      </c>
    </row>
    <row r="177" spans="1:13" x14ac:dyDescent="0.25">
      <c r="B177" s="27">
        <f>B176-B64</f>
        <v>-1.0674574418834126E-10</v>
      </c>
      <c r="C177" s="27">
        <f>C176-B65</f>
        <v>1.7602264534843926E-7</v>
      </c>
      <c r="D177" s="27">
        <f>D176-B66</f>
        <v>8.1948993368996526E-8</v>
      </c>
      <c r="E177" s="27">
        <f>E176-B67</f>
        <v>2.79203894137936E-6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-66.216168527026809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6.949439090756095</v>
      </c>
      <c r="B181" s="25">
        <f>(d_alpha_p!E136-d_alpha_m!E136)/(2*B177)</f>
        <v>6.949439090756095</v>
      </c>
      <c r="C181" s="25">
        <f>(d_alpha_p!E137-d_alpha_m!E137)/(2*B177)</f>
        <v>6.949439090756095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5.278024396204728E-6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2.9029134111624444E-5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-1.6832946840850127E-6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711.90245546188817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-66.216168527026809</v>
      </c>
      <c r="B190" s="25">
        <f>A181</f>
        <v>6.949439090756095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6.949439090756095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6.949439090756095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-66.216168527026809</v>
      </c>
      <c r="B201" s="25">
        <f t="shared" ref="B201:C201" si="77">B190</f>
        <v>6.949439090756095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6.949439090756095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6.949439090756095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2020-11-07T05:55:28Z</dcterms:modified>
</cp:coreProperties>
</file>