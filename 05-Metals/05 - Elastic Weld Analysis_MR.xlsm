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9662" documentId="8_{43FEF9E9-0FE8-456F-865D-5F9C972CBE6C}" xr6:coauthVersionLast="46" xr6:coauthVersionMax="46" xr10:uidLastSave="{C28B3825-98A5-4001-B338-5167903B2F06}"/>
  <bookViews>
    <workbookView xWindow="-120" yWindow="-120" windowWidth="27930" windowHeight="18240" activeTab="1" xr2:uid="{7791B4ED-57B1-4A16-B296-81F17C419828}"/>
  </bookViews>
  <sheets>
    <sheet name="Weld_Group_Chart" sheetId="3" r:id="rId1"/>
    <sheet name="Weld_Group_Analysi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" i="1" l="1"/>
  <c r="M11" i="1"/>
  <c r="N11" i="1"/>
  <c r="B8" i="1" l="1"/>
  <c r="F20" i="1" l="1"/>
  <c r="G20" i="1"/>
  <c r="H20" i="1"/>
  <c r="I20" i="1"/>
  <c r="F21" i="1"/>
  <c r="G21" i="1"/>
  <c r="H21" i="1"/>
  <c r="I21" i="1"/>
  <c r="F22" i="1"/>
  <c r="G22" i="1"/>
  <c r="H22" i="1"/>
  <c r="I22" i="1"/>
  <c r="F23" i="1"/>
  <c r="G23" i="1"/>
  <c r="H23" i="1"/>
  <c r="I23" i="1"/>
  <c r="F24" i="1"/>
  <c r="G24" i="1"/>
  <c r="H24" i="1"/>
  <c r="I24" i="1"/>
  <c r="F25" i="1"/>
  <c r="G25" i="1"/>
  <c r="H25" i="1"/>
  <c r="I25" i="1"/>
  <c r="F26" i="1"/>
  <c r="G26" i="1"/>
  <c r="H26" i="1"/>
  <c r="I26" i="1"/>
  <c r="F27" i="1"/>
  <c r="G27" i="1"/>
  <c r="H27" i="1"/>
  <c r="I27" i="1"/>
  <c r="F28" i="1"/>
  <c r="G28" i="1"/>
  <c r="H28" i="1"/>
  <c r="I28" i="1"/>
  <c r="F29" i="1"/>
  <c r="G29" i="1"/>
  <c r="H29" i="1"/>
  <c r="I29" i="1"/>
  <c r="F30" i="1"/>
  <c r="G30" i="1"/>
  <c r="H30" i="1"/>
  <c r="I30" i="1"/>
  <c r="F31" i="1"/>
  <c r="G31" i="1"/>
  <c r="H31" i="1"/>
  <c r="I31" i="1"/>
  <c r="F32" i="1"/>
  <c r="G32" i="1"/>
  <c r="H32" i="1"/>
  <c r="I32" i="1"/>
  <c r="F33" i="1"/>
  <c r="G33" i="1"/>
  <c r="H33" i="1"/>
  <c r="I33" i="1"/>
  <c r="F34" i="1"/>
  <c r="G34" i="1"/>
  <c r="H34" i="1"/>
  <c r="I34" i="1"/>
  <c r="F35" i="1"/>
  <c r="G35" i="1"/>
  <c r="H35" i="1"/>
  <c r="I35" i="1"/>
  <c r="F36" i="1"/>
  <c r="G36" i="1"/>
  <c r="H36" i="1"/>
  <c r="I36" i="1"/>
  <c r="F37" i="1"/>
  <c r="G37" i="1"/>
  <c r="H37" i="1"/>
  <c r="I37" i="1"/>
  <c r="F38" i="1"/>
  <c r="G38" i="1"/>
  <c r="H38" i="1"/>
  <c r="I38" i="1"/>
  <c r="F39" i="1"/>
  <c r="G39" i="1"/>
  <c r="H39" i="1"/>
  <c r="I39" i="1"/>
  <c r="F40" i="1"/>
  <c r="G40" i="1"/>
  <c r="H40" i="1"/>
  <c r="I40" i="1"/>
  <c r="F41" i="1"/>
  <c r="G41" i="1"/>
  <c r="H41" i="1"/>
  <c r="I41" i="1"/>
  <c r="F42" i="1"/>
  <c r="G42" i="1"/>
  <c r="H42" i="1"/>
  <c r="I42" i="1"/>
  <c r="F43" i="1"/>
  <c r="G43" i="1"/>
  <c r="H43" i="1"/>
  <c r="I43" i="1"/>
  <c r="F44" i="1"/>
  <c r="G44" i="1"/>
  <c r="H44" i="1"/>
  <c r="I44" i="1"/>
  <c r="F45" i="1"/>
  <c r="G45" i="1"/>
  <c r="H45" i="1"/>
  <c r="I45" i="1"/>
  <c r="F46" i="1"/>
  <c r="G46" i="1"/>
  <c r="H46" i="1"/>
  <c r="I46" i="1"/>
  <c r="F47" i="1"/>
  <c r="G47" i="1"/>
  <c r="H47" i="1"/>
  <c r="I47" i="1"/>
  <c r="F48" i="1"/>
  <c r="G48" i="1"/>
  <c r="H48" i="1"/>
  <c r="I48" i="1"/>
  <c r="F49" i="1"/>
  <c r="G49" i="1"/>
  <c r="H49" i="1"/>
  <c r="I49" i="1"/>
  <c r="F50" i="1"/>
  <c r="G50" i="1"/>
  <c r="H50" i="1"/>
  <c r="I50" i="1"/>
  <c r="F51" i="1"/>
  <c r="G51" i="1"/>
  <c r="H51" i="1"/>
  <c r="I51" i="1"/>
  <c r="F52" i="1"/>
  <c r="G52" i="1"/>
  <c r="H52" i="1"/>
  <c r="I52" i="1"/>
  <c r="F53" i="1"/>
  <c r="G53" i="1"/>
  <c r="H53" i="1"/>
  <c r="I53" i="1"/>
  <c r="F54" i="1"/>
  <c r="G54" i="1"/>
  <c r="H54" i="1"/>
  <c r="I54" i="1"/>
  <c r="F55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59" i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88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F96" i="1"/>
  <c r="G96" i="1"/>
  <c r="H96" i="1"/>
  <c r="I96" i="1"/>
  <c r="F97" i="1"/>
  <c r="G97" i="1"/>
  <c r="H97" i="1"/>
  <c r="I97" i="1"/>
  <c r="F98" i="1"/>
  <c r="G98" i="1"/>
  <c r="H98" i="1"/>
  <c r="I98" i="1"/>
  <c r="F99" i="1"/>
  <c r="G99" i="1"/>
  <c r="H99" i="1"/>
  <c r="I99" i="1"/>
  <c r="F100" i="1"/>
  <c r="G100" i="1"/>
  <c r="H100" i="1"/>
  <c r="I100" i="1"/>
  <c r="F101" i="1"/>
  <c r="G101" i="1"/>
  <c r="H101" i="1"/>
  <c r="I101" i="1"/>
  <c r="F102" i="1"/>
  <c r="G102" i="1"/>
  <c r="H102" i="1"/>
  <c r="I102" i="1"/>
  <c r="F103" i="1"/>
  <c r="G103" i="1"/>
  <c r="H103" i="1"/>
  <c r="I103" i="1"/>
  <c r="F104" i="1"/>
  <c r="G104" i="1"/>
  <c r="H104" i="1"/>
  <c r="I104" i="1"/>
  <c r="F105" i="1"/>
  <c r="G105" i="1"/>
  <c r="H105" i="1"/>
  <c r="I105" i="1"/>
  <c r="F106" i="1"/>
  <c r="G106" i="1"/>
  <c r="H106" i="1"/>
  <c r="I106" i="1"/>
  <c r="F107" i="1"/>
  <c r="G107" i="1"/>
  <c r="H107" i="1"/>
  <c r="I107" i="1"/>
  <c r="F108" i="1"/>
  <c r="G108" i="1"/>
  <c r="H108" i="1"/>
  <c r="I108" i="1"/>
  <c r="F109" i="1"/>
  <c r="G109" i="1"/>
  <c r="H109" i="1"/>
  <c r="I109" i="1"/>
  <c r="F110" i="1"/>
  <c r="G110" i="1"/>
  <c r="H110" i="1"/>
  <c r="I110" i="1"/>
  <c r="F111" i="1"/>
  <c r="G111" i="1"/>
  <c r="H111" i="1"/>
  <c r="I111" i="1"/>
  <c r="F112" i="1"/>
  <c r="G112" i="1"/>
  <c r="H112" i="1"/>
  <c r="I112" i="1"/>
  <c r="F113" i="1"/>
  <c r="G113" i="1"/>
  <c r="H113" i="1"/>
  <c r="I113" i="1"/>
  <c r="F114" i="1"/>
  <c r="G114" i="1"/>
  <c r="H114" i="1"/>
  <c r="I114" i="1"/>
  <c r="F115" i="1"/>
  <c r="G115" i="1"/>
  <c r="H115" i="1"/>
  <c r="I115" i="1"/>
  <c r="F116" i="1"/>
  <c r="G116" i="1"/>
  <c r="H116" i="1"/>
  <c r="I116" i="1"/>
  <c r="F117" i="1"/>
  <c r="G117" i="1"/>
  <c r="H117" i="1"/>
  <c r="I117" i="1"/>
  <c r="F118" i="1"/>
  <c r="G118" i="1"/>
  <c r="H118" i="1"/>
  <c r="I118" i="1"/>
  <c r="F119" i="1"/>
  <c r="G119" i="1"/>
  <c r="H119" i="1"/>
  <c r="I119" i="1"/>
  <c r="F120" i="1"/>
  <c r="G120" i="1"/>
  <c r="H120" i="1"/>
  <c r="I120" i="1"/>
  <c r="F121" i="1"/>
  <c r="G121" i="1"/>
  <c r="H121" i="1"/>
  <c r="I121" i="1"/>
  <c r="F122" i="1"/>
  <c r="G122" i="1"/>
  <c r="H122" i="1"/>
  <c r="I122" i="1"/>
  <c r="F123" i="1"/>
  <c r="G123" i="1"/>
  <c r="H123" i="1"/>
  <c r="I123" i="1"/>
  <c r="F124" i="1"/>
  <c r="G124" i="1"/>
  <c r="H124" i="1"/>
  <c r="I124" i="1"/>
  <c r="F125" i="1"/>
  <c r="G125" i="1"/>
  <c r="H125" i="1"/>
  <c r="I125" i="1"/>
  <c r="F126" i="1"/>
  <c r="G126" i="1"/>
  <c r="H126" i="1"/>
  <c r="I126" i="1"/>
  <c r="F127" i="1"/>
  <c r="G127" i="1"/>
  <c r="H127" i="1"/>
  <c r="I127" i="1"/>
  <c r="F128" i="1"/>
  <c r="G128" i="1"/>
  <c r="H128" i="1"/>
  <c r="I128" i="1"/>
  <c r="F129" i="1"/>
  <c r="G129" i="1"/>
  <c r="H129" i="1"/>
  <c r="I129" i="1"/>
  <c r="F130" i="1"/>
  <c r="G130" i="1"/>
  <c r="H130" i="1"/>
  <c r="I130" i="1"/>
  <c r="F131" i="1"/>
  <c r="G131" i="1"/>
  <c r="H131" i="1"/>
  <c r="I131" i="1"/>
  <c r="F132" i="1"/>
  <c r="G132" i="1"/>
  <c r="H132" i="1"/>
  <c r="I132" i="1"/>
  <c r="F133" i="1"/>
  <c r="G133" i="1"/>
  <c r="H133" i="1"/>
  <c r="I133" i="1"/>
  <c r="F134" i="1"/>
  <c r="G134" i="1"/>
  <c r="H134" i="1"/>
  <c r="I134" i="1"/>
  <c r="F135" i="1"/>
  <c r="G135" i="1"/>
  <c r="H135" i="1"/>
  <c r="I135" i="1"/>
  <c r="F136" i="1"/>
  <c r="G136" i="1"/>
  <c r="H136" i="1"/>
  <c r="I136" i="1"/>
  <c r="F137" i="1"/>
  <c r="G137" i="1"/>
  <c r="H137" i="1"/>
  <c r="I137" i="1"/>
  <c r="F138" i="1"/>
  <c r="G138" i="1"/>
  <c r="H138" i="1"/>
  <c r="I138" i="1"/>
  <c r="F139" i="1"/>
  <c r="G139" i="1"/>
  <c r="H139" i="1"/>
  <c r="I139" i="1"/>
  <c r="F140" i="1"/>
  <c r="G140" i="1"/>
  <c r="H140" i="1"/>
  <c r="I140" i="1"/>
  <c r="F141" i="1"/>
  <c r="G141" i="1"/>
  <c r="H141" i="1"/>
  <c r="I141" i="1"/>
  <c r="F142" i="1"/>
  <c r="G142" i="1"/>
  <c r="H142" i="1"/>
  <c r="I142" i="1"/>
  <c r="F143" i="1"/>
  <c r="G143" i="1"/>
  <c r="H143" i="1"/>
  <c r="I143" i="1"/>
  <c r="F144" i="1"/>
  <c r="G144" i="1"/>
  <c r="H144" i="1"/>
  <c r="I144" i="1"/>
  <c r="F145" i="1"/>
  <c r="G145" i="1"/>
  <c r="H145" i="1"/>
  <c r="I145" i="1"/>
  <c r="F146" i="1"/>
  <c r="G146" i="1"/>
  <c r="H146" i="1"/>
  <c r="I146" i="1"/>
  <c r="F147" i="1"/>
  <c r="G147" i="1"/>
  <c r="H147" i="1"/>
  <c r="I147" i="1"/>
  <c r="F148" i="1"/>
  <c r="G148" i="1"/>
  <c r="H148" i="1"/>
  <c r="I148" i="1"/>
  <c r="F149" i="1"/>
  <c r="G149" i="1"/>
  <c r="H149" i="1"/>
  <c r="I149" i="1"/>
  <c r="F150" i="1"/>
  <c r="G150" i="1"/>
  <c r="H150" i="1"/>
  <c r="I150" i="1"/>
  <c r="F151" i="1"/>
  <c r="G151" i="1"/>
  <c r="H151" i="1"/>
  <c r="I151" i="1"/>
  <c r="F152" i="1"/>
  <c r="G152" i="1"/>
  <c r="H152" i="1"/>
  <c r="I152" i="1"/>
  <c r="F153" i="1"/>
  <c r="G153" i="1"/>
  <c r="H153" i="1"/>
  <c r="I153" i="1"/>
  <c r="F154" i="1"/>
  <c r="G154" i="1"/>
  <c r="H154" i="1"/>
  <c r="I154" i="1"/>
  <c r="F155" i="1"/>
  <c r="G155" i="1"/>
  <c r="H155" i="1"/>
  <c r="I155" i="1"/>
  <c r="F156" i="1"/>
  <c r="G156" i="1"/>
  <c r="H156" i="1"/>
  <c r="I156" i="1"/>
  <c r="F157" i="1"/>
  <c r="G157" i="1"/>
  <c r="H157" i="1"/>
  <c r="I157" i="1"/>
  <c r="F158" i="1"/>
  <c r="G158" i="1"/>
  <c r="H158" i="1"/>
  <c r="I158" i="1"/>
  <c r="F159" i="1"/>
  <c r="G159" i="1"/>
  <c r="H159" i="1"/>
  <c r="I159" i="1"/>
  <c r="F160" i="1"/>
  <c r="G160" i="1"/>
  <c r="H160" i="1"/>
  <c r="I160" i="1"/>
  <c r="F161" i="1"/>
  <c r="G161" i="1"/>
  <c r="H161" i="1"/>
  <c r="I161" i="1"/>
  <c r="F162" i="1"/>
  <c r="G162" i="1"/>
  <c r="H162" i="1"/>
  <c r="I162" i="1"/>
  <c r="F163" i="1"/>
  <c r="G163" i="1"/>
  <c r="H163" i="1"/>
  <c r="I163" i="1"/>
  <c r="F164" i="1"/>
  <c r="G164" i="1"/>
  <c r="H164" i="1"/>
  <c r="I164" i="1"/>
  <c r="F165" i="1"/>
  <c r="G165" i="1"/>
  <c r="H165" i="1"/>
  <c r="I165" i="1"/>
  <c r="F166" i="1"/>
  <c r="G166" i="1"/>
  <c r="H166" i="1"/>
  <c r="I166" i="1"/>
  <c r="F167" i="1"/>
  <c r="G167" i="1"/>
  <c r="H167" i="1"/>
  <c r="I167" i="1"/>
  <c r="F168" i="1"/>
  <c r="G168" i="1"/>
  <c r="H168" i="1"/>
  <c r="I168" i="1"/>
  <c r="F169" i="1"/>
  <c r="G169" i="1"/>
  <c r="H169" i="1"/>
  <c r="I169" i="1"/>
  <c r="F170" i="1"/>
  <c r="G170" i="1"/>
  <c r="H170" i="1"/>
  <c r="I170" i="1"/>
  <c r="F171" i="1"/>
  <c r="G171" i="1"/>
  <c r="H171" i="1"/>
  <c r="I171" i="1"/>
  <c r="F172" i="1"/>
  <c r="G172" i="1"/>
  <c r="H172" i="1"/>
  <c r="I172" i="1"/>
  <c r="F173" i="1"/>
  <c r="G173" i="1"/>
  <c r="H173" i="1"/>
  <c r="I173" i="1"/>
  <c r="F174" i="1"/>
  <c r="G174" i="1"/>
  <c r="H174" i="1"/>
  <c r="I174" i="1"/>
  <c r="F175" i="1"/>
  <c r="G175" i="1"/>
  <c r="H175" i="1"/>
  <c r="I175" i="1"/>
  <c r="F176" i="1"/>
  <c r="G176" i="1"/>
  <c r="H176" i="1"/>
  <c r="I176" i="1"/>
  <c r="F177" i="1"/>
  <c r="G177" i="1"/>
  <c r="H177" i="1"/>
  <c r="I177" i="1"/>
  <c r="F178" i="1"/>
  <c r="G178" i="1"/>
  <c r="H178" i="1"/>
  <c r="I178" i="1"/>
  <c r="F179" i="1"/>
  <c r="G179" i="1"/>
  <c r="H179" i="1"/>
  <c r="I179" i="1"/>
  <c r="F180" i="1"/>
  <c r="G180" i="1"/>
  <c r="H180" i="1"/>
  <c r="I180" i="1"/>
  <c r="F181" i="1"/>
  <c r="G181" i="1"/>
  <c r="H181" i="1"/>
  <c r="I181" i="1"/>
  <c r="F182" i="1"/>
  <c r="G182" i="1"/>
  <c r="H182" i="1"/>
  <c r="I182" i="1"/>
  <c r="F183" i="1"/>
  <c r="G183" i="1"/>
  <c r="H183" i="1"/>
  <c r="I183" i="1"/>
  <c r="F184" i="1"/>
  <c r="G184" i="1"/>
  <c r="H184" i="1"/>
  <c r="I184" i="1"/>
  <c r="F185" i="1"/>
  <c r="G185" i="1"/>
  <c r="H185" i="1"/>
  <c r="I185" i="1"/>
  <c r="F186" i="1"/>
  <c r="G186" i="1"/>
  <c r="H186" i="1"/>
  <c r="I186" i="1"/>
  <c r="F187" i="1"/>
  <c r="G187" i="1"/>
  <c r="H187" i="1"/>
  <c r="I187" i="1"/>
  <c r="F188" i="1"/>
  <c r="G188" i="1"/>
  <c r="H188" i="1"/>
  <c r="I188" i="1"/>
  <c r="F189" i="1"/>
  <c r="G189" i="1"/>
  <c r="H189" i="1"/>
  <c r="I189" i="1"/>
  <c r="F190" i="1"/>
  <c r="G190" i="1"/>
  <c r="H190" i="1"/>
  <c r="I190" i="1"/>
  <c r="F191" i="1"/>
  <c r="G191" i="1"/>
  <c r="H191" i="1"/>
  <c r="I191" i="1"/>
  <c r="F192" i="1"/>
  <c r="G192" i="1"/>
  <c r="H192" i="1"/>
  <c r="I192" i="1"/>
  <c r="F193" i="1"/>
  <c r="G193" i="1"/>
  <c r="H193" i="1"/>
  <c r="I193" i="1"/>
  <c r="F194" i="1"/>
  <c r="G194" i="1"/>
  <c r="H194" i="1"/>
  <c r="I194" i="1"/>
  <c r="F195" i="1"/>
  <c r="G195" i="1"/>
  <c r="H195" i="1"/>
  <c r="I195" i="1"/>
  <c r="F196" i="1"/>
  <c r="G196" i="1"/>
  <c r="H196" i="1"/>
  <c r="I196" i="1"/>
  <c r="F197" i="1"/>
  <c r="G197" i="1"/>
  <c r="H197" i="1"/>
  <c r="I197" i="1"/>
  <c r="F198" i="1"/>
  <c r="G198" i="1"/>
  <c r="H198" i="1"/>
  <c r="I198" i="1"/>
  <c r="J28" i="1" l="1"/>
  <c r="N28" i="1" s="1"/>
  <c r="J24" i="1"/>
  <c r="K24" i="1" s="1"/>
  <c r="J20" i="1"/>
  <c r="J154" i="1"/>
  <c r="J98" i="1"/>
  <c r="J94" i="1"/>
  <c r="K94" i="1" s="1"/>
  <c r="J78" i="1"/>
  <c r="J72" i="1"/>
  <c r="J42" i="1"/>
  <c r="J38" i="1"/>
  <c r="J32" i="1"/>
  <c r="J23" i="1"/>
  <c r="J21" i="1"/>
  <c r="J197" i="1"/>
  <c r="J196" i="1"/>
  <c r="J195" i="1"/>
  <c r="J194" i="1"/>
  <c r="J193" i="1"/>
  <c r="J192" i="1"/>
  <c r="J191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7" i="1"/>
  <c r="J96" i="1"/>
  <c r="J95" i="1"/>
  <c r="J93" i="1"/>
  <c r="J92" i="1"/>
  <c r="J91" i="1"/>
  <c r="J90" i="1"/>
  <c r="J89" i="1"/>
  <c r="J88" i="1"/>
  <c r="J86" i="1"/>
  <c r="J85" i="1"/>
  <c r="J84" i="1"/>
  <c r="J83" i="1"/>
  <c r="J82" i="1"/>
  <c r="J81" i="1"/>
  <c r="J80" i="1"/>
  <c r="J79" i="1"/>
  <c r="J77" i="1"/>
  <c r="J76" i="1"/>
  <c r="J74" i="1"/>
  <c r="J73" i="1"/>
  <c r="J70" i="1"/>
  <c r="J69" i="1"/>
  <c r="J68" i="1"/>
  <c r="J66" i="1"/>
  <c r="J65" i="1"/>
  <c r="J64" i="1"/>
  <c r="J63" i="1"/>
  <c r="J62" i="1"/>
  <c r="J61" i="1"/>
  <c r="J60" i="1"/>
  <c r="J59" i="1"/>
  <c r="J58" i="1"/>
  <c r="J57" i="1"/>
  <c r="J56" i="1"/>
  <c r="J54" i="1"/>
  <c r="J53" i="1"/>
  <c r="J52" i="1"/>
  <c r="J50" i="1"/>
  <c r="J49" i="1"/>
  <c r="J48" i="1"/>
  <c r="J47" i="1"/>
  <c r="J46" i="1"/>
  <c r="J44" i="1"/>
  <c r="J40" i="1"/>
  <c r="J39" i="1"/>
  <c r="J36" i="1"/>
  <c r="J34" i="1"/>
  <c r="J33" i="1"/>
  <c r="J30" i="1"/>
  <c r="J26" i="1"/>
  <c r="J25" i="1"/>
  <c r="J22" i="1"/>
  <c r="J198" i="1"/>
  <c r="J190" i="1"/>
  <c r="J71" i="1"/>
  <c r="J51" i="1"/>
  <c r="J45" i="1"/>
  <c r="J35" i="1"/>
  <c r="J29" i="1"/>
  <c r="J41" i="1"/>
  <c r="J31" i="1"/>
  <c r="J27" i="1"/>
  <c r="J67" i="1"/>
  <c r="J55" i="1"/>
  <c r="M38" i="1"/>
  <c r="J87" i="1"/>
  <c r="J43" i="1"/>
  <c r="J37" i="1"/>
  <c r="J75" i="1"/>
  <c r="F7" i="1"/>
  <c r="H7" i="1" s="1"/>
  <c r="F15" i="1"/>
  <c r="F6" i="1"/>
  <c r="H6" i="1" s="1"/>
  <c r="F5" i="1"/>
  <c r="N24" i="1" l="1"/>
  <c r="N197" i="1"/>
  <c r="L196" i="1"/>
  <c r="N195" i="1"/>
  <c r="L194" i="1"/>
  <c r="N193" i="1"/>
  <c r="M192" i="1"/>
  <c r="N191" i="1"/>
  <c r="L189" i="1"/>
  <c r="M188" i="1"/>
  <c r="K187" i="1"/>
  <c r="M186" i="1"/>
  <c r="L185" i="1"/>
  <c r="M184" i="1"/>
  <c r="K183" i="1"/>
  <c r="L182" i="1"/>
  <c r="L181" i="1"/>
  <c r="M180" i="1"/>
  <c r="N179" i="1"/>
  <c r="L178" i="1"/>
  <c r="L177" i="1"/>
  <c r="K176" i="1"/>
  <c r="M175" i="1"/>
  <c r="L174" i="1"/>
  <c r="L173" i="1"/>
  <c r="N172" i="1"/>
  <c r="L171" i="1"/>
  <c r="L170" i="1"/>
  <c r="L169" i="1"/>
  <c r="K168" i="1"/>
  <c r="L167" i="1"/>
  <c r="L166" i="1"/>
  <c r="M165" i="1"/>
  <c r="M164" i="1"/>
  <c r="K163" i="1"/>
  <c r="M162" i="1"/>
  <c r="M161" i="1"/>
  <c r="L160" i="1"/>
  <c r="L159" i="1"/>
  <c r="K158" i="1"/>
  <c r="K157" i="1"/>
  <c r="K156" i="1"/>
  <c r="K155" i="1"/>
  <c r="K154" i="1"/>
  <c r="L153" i="1"/>
  <c r="K152" i="1"/>
  <c r="L151" i="1"/>
  <c r="K150" i="1"/>
  <c r="M149" i="1"/>
  <c r="M148" i="1"/>
  <c r="M147" i="1"/>
  <c r="N146" i="1"/>
  <c r="N145" i="1"/>
  <c r="M144" i="1"/>
  <c r="N143" i="1"/>
  <c r="L142" i="1"/>
  <c r="M141" i="1"/>
  <c r="M140" i="1"/>
  <c r="N139" i="1"/>
  <c r="L138" i="1"/>
  <c r="K137" i="1"/>
  <c r="M136" i="1"/>
  <c r="N135" i="1"/>
  <c r="K134" i="1"/>
  <c r="K133" i="1"/>
  <c r="M132" i="1"/>
  <c r="N131" i="1"/>
  <c r="K130" i="1"/>
  <c r="K129" i="1"/>
  <c r="M128" i="1"/>
  <c r="N127" i="1"/>
  <c r="M126" i="1"/>
  <c r="K125" i="1"/>
  <c r="M124" i="1"/>
  <c r="N123" i="1"/>
  <c r="L122" i="1"/>
  <c r="M121" i="1"/>
  <c r="M120" i="1"/>
  <c r="N119" i="1"/>
  <c r="K118" i="1"/>
  <c r="N117" i="1"/>
  <c r="M116" i="1"/>
  <c r="N115" i="1"/>
  <c r="K114" i="1"/>
  <c r="K113" i="1"/>
  <c r="L112" i="1"/>
  <c r="M111" i="1"/>
  <c r="L110" i="1"/>
  <c r="N109" i="1"/>
  <c r="N108" i="1"/>
  <c r="K107" i="1"/>
  <c r="L106" i="1"/>
  <c r="K105" i="1"/>
  <c r="L104" i="1"/>
  <c r="K103" i="1"/>
  <c r="L102" i="1"/>
  <c r="M101" i="1"/>
  <c r="N100" i="1"/>
  <c r="L99" i="1"/>
  <c r="M98" i="1"/>
  <c r="M97" i="1"/>
  <c r="L96" i="1"/>
  <c r="L95" i="1"/>
  <c r="L94" i="1"/>
  <c r="K93" i="1"/>
  <c r="M92" i="1"/>
  <c r="M91" i="1"/>
  <c r="N90" i="1"/>
  <c r="K89" i="1"/>
  <c r="M88" i="1"/>
  <c r="L86" i="1"/>
  <c r="N85" i="1"/>
  <c r="L84" i="1"/>
  <c r="L83" i="1"/>
  <c r="L82" i="1"/>
  <c r="K81" i="1"/>
  <c r="K80" i="1"/>
  <c r="N79" i="1"/>
  <c r="M78" i="1"/>
  <c r="N77" i="1"/>
  <c r="K76" i="1"/>
  <c r="N74" i="1"/>
  <c r="N73" i="1"/>
  <c r="K72" i="1"/>
  <c r="L70" i="1"/>
  <c r="K69" i="1"/>
  <c r="L68" i="1"/>
  <c r="L66" i="1"/>
  <c r="M65" i="1"/>
  <c r="K64" i="1"/>
  <c r="M63" i="1"/>
  <c r="N62" i="1"/>
  <c r="L61" i="1"/>
  <c r="N60" i="1"/>
  <c r="M59" i="1"/>
  <c r="K58" i="1"/>
  <c r="L57" i="1"/>
  <c r="K56" i="1"/>
  <c r="M54" i="1"/>
  <c r="N53" i="1"/>
  <c r="K52" i="1"/>
  <c r="M50" i="1"/>
  <c r="N49" i="1"/>
  <c r="L48" i="1"/>
  <c r="L47" i="1"/>
  <c r="L46" i="1"/>
  <c r="L44" i="1"/>
  <c r="K42" i="1"/>
  <c r="N40" i="1"/>
  <c r="N39" i="1"/>
  <c r="K38" i="1"/>
  <c r="L36" i="1"/>
  <c r="L34" i="1"/>
  <c r="N33" i="1"/>
  <c r="L32" i="1"/>
  <c r="M30" i="1"/>
  <c r="L28" i="1"/>
  <c r="L26" i="1"/>
  <c r="K25" i="1"/>
  <c r="L24" i="1"/>
  <c r="M23" i="1"/>
  <c r="L22" i="1"/>
  <c r="N21" i="1"/>
  <c r="L20" i="1"/>
  <c r="H5" i="1"/>
  <c r="M20" i="1"/>
  <c r="L78" i="1"/>
  <c r="K192" i="1"/>
  <c r="N192" i="1"/>
  <c r="N183" i="1"/>
  <c r="L183" i="1"/>
  <c r="M183" i="1"/>
  <c r="L175" i="1"/>
  <c r="K175" i="1"/>
  <c r="M167" i="1"/>
  <c r="K167" i="1"/>
  <c r="N167" i="1"/>
  <c r="N166" i="1"/>
  <c r="K159" i="1"/>
  <c r="N150" i="1"/>
  <c r="M150" i="1"/>
  <c r="L150" i="1"/>
  <c r="L149" i="1"/>
  <c r="N142" i="1"/>
  <c r="K142" i="1"/>
  <c r="M142" i="1"/>
  <c r="M134" i="1"/>
  <c r="N134" i="1"/>
  <c r="L134" i="1"/>
  <c r="K126" i="1"/>
  <c r="L126" i="1"/>
  <c r="N126" i="1"/>
  <c r="M118" i="1"/>
  <c r="N118" i="1"/>
  <c r="L118" i="1"/>
  <c r="N110" i="1"/>
  <c r="K110" i="1"/>
  <c r="K102" i="1"/>
  <c r="N102" i="1"/>
  <c r="M102" i="1"/>
  <c r="N94" i="1"/>
  <c r="M94" i="1"/>
  <c r="M93" i="1"/>
  <c r="K91" i="1"/>
  <c r="K84" i="1"/>
  <c r="K82" i="1"/>
  <c r="L63" i="1"/>
  <c r="K63" i="1"/>
  <c r="N63" i="1"/>
  <c r="L60" i="1"/>
  <c r="M60" i="1"/>
  <c r="L54" i="1"/>
  <c r="N54" i="1"/>
  <c r="L38" i="1"/>
  <c r="N38" i="1"/>
  <c r="M32" i="1"/>
  <c r="N20" i="1"/>
  <c r="K20" i="1"/>
  <c r="L91" i="1"/>
  <c r="N82" i="1"/>
  <c r="L52" i="1"/>
  <c r="K108" i="1"/>
  <c r="K61" i="1"/>
  <c r="N61" i="1"/>
  <c r="N132" i="1"/>
  <c r="L197" i="1"/>
  <c r="K148" i="1"/>
  <c r="K147" i="1"/>
  <c r="K146" i="1"/>
  <c r="M133" i="1"/>
  <c r="K122" i="1"/>
  <c r="L108" i="1"/>
  <c r="M100" i="1"/>
  <c r="L100" i="1"/>
  <c r="K100" i="1"/>
  <c r="M99" i="1"/>
  <c r="N91" i="1"/>
  <c r="M82" i="1"/>
  <c r="M81" i="1"/>
  <c r="K79" i="1"/>
  <c r="N72" i="1"/>
  <c r="M72" i="1"/>
  <c r="L72" i="1"/>
  <c r="L69" i="1"/>
  <c r="K66" i="1"/>
  <c r="M61" i="1"/>
  <c r="K60" i="1"/>
  <c r="L58" i="1"/>
  <c r="L50" i="1"/>
  <c r="M49" i="1"/>
  <c r="L49" i="1"/>
  <c r="M42" i="1"/>
  <c r="L42" i="1"/>
  <c r="L30" i="1"/>
  <c r="M24" i="1"/>
  <c r="N23" i="1"/>
  <c r="L23" i="1"/>
  <c r="K23" i="1"/>
  <c r="M21" i="1"/>
  <c r="L21" i="1"/>
  <c r="K21" i="1"/>
  <c r="K194" i="1"/>
  <c r="N194" i="1"/>
  <c r="M194" i="1"/>
  <c r="M193" i="1"/>
  <c r="L193" i="1"/>
  <c r="M189" i="1"/>
  <c r="M185" i="1"/>
  <c r="N184" i="1"/>
  <c r="L184" i="1"/>
  <c r="K184" i="1"/>
  <c r="M181" i="1"/>
  <c r="K180" i="1"/>
  <c r="M177" i="1"/>
  <c r="N176" i="1"/>
  <c r="M176" i="1"/>
  <c r="L176" i="1"/>
  <c r="M173" i="1"/>
  <c r="M169" i="1"/>
  <c r="N168" i="1"/>
  <c r="M168" i="1"/>
  <c r="L168" i="1"/>
  <c r="L165" i="1"/>
  <c r="L164" i="1"/>
  <c r="K164" i="1"/>
  <c r="L163" i="1"/>
  <c r="K161" i="1"/>
  <c r="N161" i="1"/>
  <c r="L161" i="1"/>
  <c r="K160" i="1"/>
  <c r="N160" i="1"/>
  <c r="M160" i="1"/>
  <c r="M154" i="1"/>
  <c r="N154" i="1"/>
  <c r="L154" i="1"/>
  <c r="M151" i="1"/>
  <c r="K151" i="1"/>
  <c r="L148" i="1"/>
  <c r="L146" i="1"/>
  <c r="M143" i="1"/>
  <c r="L143" i="1"/>
  <c r="K143" i="1"/>
  <c r="K141" i="1"/>
  <c r="M139" i="1"/>
  <c r="L139" i="1"/>
  <c r="K139" i="1"/>
  <c r="M138" i="1"/>
  <c r="N137" i="1"/>
  <c r="L137" i="1"/>
  <c r="M137" i="1"/>
  <c r="M135" i="1"/>
  <c r="K135" i="1"/>
  <c r="L135" i="1"/>
  <c r="L131" i="1"/>
  <c r="M127" i="1"/>
  <c r="L127" i="1"/>
  <c r="K127" i="1"/>
  <c r="N125" i="1"/>
  <c r="N124" i="1"/>
  <c r="M123" i="1"/>
  <c r="L123" i="1"/>
  <c r="K123" i="1"/>
  <c r="N122" i="1"/>
  <c r="M122" i="1"/>
  <c r="K119" i="1"/>
  <c r="M119" i="1"/>
  <c r="L119" i="1"/>
  <c r="N116" i="1"/>
  <c r="M115" i="1"/>
  <c r="L115" i="1"/>
  <c r="K115" i="1"/>
  <c r="N111" i="1"/>
  <c r="M108" i="1"/>
  <c r="M107" i="1"/>
  <c r="L107" i="1"/>
  <c r="N107" i="1"/>
  <c r="K106" i="1"/>
  <c r="M106" i="1"/>
  <c r="N106" i="1"/>
  <c r="N105" i="1"/>
  <c r="M103" i="1"/>
  <c r="L103" i="1"/>
  <c r="N103" i="1"/>
  <c r="K98" i="1"/>
  <c r="N98" i="1"/>
  <c r="L98" i="1"/>
  <c r="N97" i="1"/>
  <c r="L97" i="1"/>
  <c r="K97" i="1"/>
  <c r="K96" i="1"/>
  <c r="N95" i="1"/>
  <c r="N93" i="1"/>
  <c r="M90" i="1"/>
  <c r="L90" i="1"/>
  <c r="K90" i="1"/>
  <c r="L89" i="1"/>
  <c r="N89" i="1"/>
  <c r="N88" i="1"/>
  <c r="L88" i="1"/>
  <c r="N86" i="1"/>
  <c r="M85" i="1"/>
  <c r="K85" i="1"/>
  <c r="L85" i="1"/>
  <c r="K83" i="1"/>
  <c r="L81" i="1"/>
  <c r="N81" i="1"/>
  <c r="M79" i="1"/>
  <c r="K77" i="1"/>
  <c r="L77" i="1"/>
  <c r="M76" i="1"/>
  <c r="M69" i="1"/>
  <c r="N69" i="1"/>
  <c r="M68" i="1"/>
  <c r="K68" i="1"/>
  <c r="N68" i="1"/>
  <c r="M66" i="1"/>
  <c r="N64" i="1"/>
  <c r="N59" i="1"/>
  <c r="N58" i="1"/>
  <c r="M58" i="1"/>
  <c r="K57" i="1"/>
  <c r="N57" i="1"/>
  <c r="M57" i="1"/>
  <c r="L56" i="1"/>
  <c r="N56" i="1"/>
  <c r="N50" i="1"/>
  <c r="K50" i="1"/>
  <c r="K49" i="1"/>
  <c r="N48" i="1"/>
  <c r="K47" i="1"/>
  <c r="N47" i="1"/>
  <c r="K46" i="1"/>
  <c r="N46" i="1"/>
  <c r="M46" i="1"/>
  <c r="N42" i="1"/>
  <c r="K34" i="1"/>
  <c r="N34" i="1"/>
  <c r="M34" i="1"/>
  <c r="M33" i="1"/>
  <c r="L33" i="1"/>
  <c r="K33" i="1"/>
  <c r="K32" i="1"/>
  <c r="N32" i="1"/>
  <c r="K30" i="1"/>
  <c r="N30" i="1"/>
  <c r="M28" i="1"/>
  <c r="K28" i="1"/>
  <c r="K22" i="1"/>
  <c r="N22" i="1"/>
  <c r="M22" i="1"/>
  <c r="N133" i="1"/>
  <c r="K166" i="1"/>
  <c r="L141" i="1"/>
  <c r="N149" i="1"/>
  <c r="M174" i="1"/>
  <c r="N92" i="1"/>
  <c r="M117" i="1"/>
  <c r="L133" i="1"/>
  <c r="M125" i="1"/>
  <c r="M166" i="1"/>
  <c r="K149" i="1"/>
  <c r="K62" i="1"/>
  <c r="L92" i="1"/>
  <c r="L117" i="1"/>
  <c r="L125" i="1"/>
  <c r="K101" i="1"/>
  <c r="K92" i="1"/>
  <c r="K117" i="1"/>
  <c r="N83" i="1"/>
  <c r="N78" i="1"/>
  <c r="L101" i="1"/>
  <c r="N101" i="1"/>
  <c r="M83" i="1"/>
  <c r="N141" i="1"/>
  <c r="K182" i="1"/>
  <c r="K174" i="1"/>
  <c r="K78" i="1"/>
  <c r="N174" i="1"/>
  <c r="M197" i="1"/>
  <c r="M196" i="1"/>
  <c r="N196" i="1"/>
  <c r="K196" i="1"/>
  <c r="M195" i="1"/>
  <c r="L195" i="1"/>
  <c r="K195" i="1"/>
  <c r="L192" i="1"/>
  <c r="M191" i="1"/>
  <c r="L191" i="1"/>
  <c r="K191" i="1"/>
  <c r="L188" i="1"/>
  <c r="N188" i="1"/>
  <c r="K188" i="1"/>
  <c r="N187" i="1"/>
  <c r="M187" i="1"/>
  <c r="L187" i="1"/>
  <c r="L186" i="1"/>
  <c r="K186" i="1"/>
  <c r="N186" i="1"/>
  <c r="N182" i="1"/>
  <c r="M182" i="1"/>
  <c r="L180" i="1"/>
  <c r="N180" i="1"/>
  <c r="M179" i="1"/>
  <c r="L179" i="1"/>
  <c r="K179" i="1"/>
  <c r="K178" i="1"/>
  <c r="N178" i="1"/>
  <c r="M178" i="1"/>
  <c r="N175" i="1"/>
  <c r="M172" i="1"/>
  <c r="L172" i="1"/>
  <c r="K172" i="1"/>
  <c r="N171" i="1"/>
  <c r="M171" i="1"/>
  <c r="K171" i="1"/>
  <c r="K170" i="1"/>
  <c r="N170" i="1"/>
  <c r="M170" i="1"/>
  <c r="K165" i="1"/>
  <c r="N165" i="1"/>
  <c r="M163" i="1"/>
  <c r="K162" i="1"/>
  <c r="N162" i="1"/>
  <c r="N157" i="1"/>
  <c r="L157" i="1"/>
  <c r="M157" i="1"/>
  <c r="N156" i="1"/>
  <c r="M156" i="1"/>
  <c r="K153" i="1"/>
  <c r="M153" i="1"/>
  <c r="N153" i="1"/>
  <c r="L152" i="1"/>
  <c r="N152" i="1"/>
  <c r="M152" i="1"/>
  <c r="N151" i="1"/>
  <c r="N148" i="1"/>
  <c r="M146" i="1"/>
  <c r="L145" i="1"/>
  <c r="M145" i="1"/>
  <c r="K145" i="1"/>
  <c r="N144" i="1"/>
  <c r="N140" i="1"/>
  <c r="K138" i="1"/>
  <c r="N138" i="1"/>
  <c r="N136" i="1"/>
  <c r="N130" i="1"/>
  <c r="M130" i="1"/>
  <c r="L130" i="1"/>
  <c r="N129" i="1"/>
  <c r="M129" i="1"/>
  <c r="L129" i="1"/>
  <c r="N128" i="1"/>
  <c r="L121" i="1"/>
  <c r="K121" i="1"/>
  <c r="N121" i="1"/>
  <c r="N120" i="1"/>
  <c r="N114" i="1"/>
  <c r="M114" i="1"/>
  <c r="L114" i="1"/>
  <c r="N113" i="1"/>
  <c r="M113" i="1"/>
  <c r="L113" i="1"/>
  <c r="N112" i="1"/>
  <c r="M112" i="1"/>
  <c r="L109" i="1"/>
  <c r="K109" i="1"/>
  <c r="M109" i="1"/>
  <c r="M105" i="1"/>
  <c r="M104" i="1"/>
  <c r="K104" i="1"/>
  <c r="N99" i="1"/>
  <c r="K99" i="1"/>
  <c r="M96" i="1"/>
  <c r="N96" i="1"/>
  <c r="M95" i="1"/>
  <c r="K95" i="1"/>
  <c r="L93" i="1"/>
  <c r="K88" i="1"/>
  <c r="N84" i="1"/>
  <c r="M84" i="1"/>
  <c r="L80" i="1"/>
  <c r="M80" i="1"/>
  <c r="N80" i="1"/>
  <c r="K74" i="1"/>
  <c r="M74" i="1"/>
  <c r="L74" i="1"/>
  <c r="M73" i="1"/>
  <c r="L73" i="1"/>
  <c r="K73" i="1"/>
  <c r="K70" i="1"/>
  <c r="N70" i="1"/>
  <c r="M70" i="1"/>
  <c r="N65" i="1"/>
  <c r="M62" i="1"/>
  <c r="L62" i="1"/>
  <c r="K54" i="1"/>
  <c r="K53" i="1"/>
  <c r="M52" i="1"/>
  <c r="N52" i="1"/>
  <c r="K40" i="1"/>
  <c r="M40" i="1"/>
  <c r="L40" i="1"/>
  <c r="K39" i="1"/>
  <c r="M39" i="1"/>
  <c r="L39" i="1"/>
  <c r="K36" i="1"/>
  <c r="K26" i="1"/>
  <c r="N26" i="1"/>
  <c r="M26" i="1"/>
  <c r="N25" i="1"/>
  <c r="L25" i="1"/>
  <c r="M25" i="1"/>
  <c r="K197" i="1"/>
  <c r="K193" i="1"/>
  <c r="K189" i="1"/>
  <c r="N189" i="1"/>
  <c r="N185" i="1"/>
  <c r="K185" i="1"/>
  <c r="N181" i="1"/>
  <c r="K181" i="1"/>
  <c r="K177" i="1"/>
  <c r="N177" i="1"/>
  <c r="N173" i="1"/>
  <c r="K173" i="1"/>
  <c r="N169" i="1"/>
  <c r="K169" i="1"/>
  <c r="N164" i="1"/>
  <c r="N163" i="1"/>
  <c r="L162" i="1"/>
  <c r="N159" i="1"/>
  <c r="M159" i="1"/>
  <c r="M158" i="1"/>
  <c r="L158" i="1"/>
  <c r="N158" i="1"/>
  <c r="L156" i="1"/>
  <c r="M155" i="1"/>
  <c r="L155" i="1"/>
  <c r="N155" i="1"/>
  <c r="L147" i="1"/>
  <c r="N147" i="1"/>
  <c r="L144" i="1"/>
  <c r="K144" i="1"/>
  <c r="L140" i="1"/>
  <c r="K140" i="1"/>
  <c r="L136" i="1"/>
  <c r="K136" i="1"/>
  <c r="L132" i="1"/>
  <c r="K132" i="1"/>
  <c r="M131" i="1"/>
  <c r="K131" i="1"/>
  <c r="L128" i="1"/>
  <c r="K128" i="1"/>
  <c r="L124" i="1"/>
  <c r="K124" i="1"/>
  <c r="L120" i="1"/>
  <c r="K120" i="1"/>
  <c r="L116" i="1"/>
  <c r="K116" i="1"/>
  <c r="K112" i="1"/>
  <c r="L111" i="1"/>
  <c r="K111" i="1"/>
  <c r="M110" i="1"/>
  <c r="L105" i="1"/>
  <c r="N104" i="1"/>
  <c r="M89" i="1"/>
  <c r="M86" i="1"/>
  <c r="K86" i="1"/>
  <c r="L79" i="1"/>
  <c r="M77" i="1"/>
  <c r="N76" i="1"/>
  <c r="L76" i="1"/>
  <c r="N66" i="1"/>
  <c r="L65" i="1"/>
  <c r="K65" i="1"/>
  <c r="M64" i="1"/>
  <c r="L64" i="1"/>
  <c r="K59" i="1"/>
  <c r="L59" i="1"/>
  <c r="M56" i="1"/>
  <c r="L53" i="1"/>
  <c r="M53" i="1"/>
  <c r="M48" i="1"/>
  <c r="K48" i="1"/>
  <c r="M47" i="1"/>
  <c r="M44" i="1"/>
  <c r="N44" i="1"/>
  <c r="K44" i="1"/>
  <c r="M36" i="1"/>
  <c r="N36" i="1"/>
  <c r="N29" i="1"/>
  <c r="L29" i="1"/>
  <c r="M29" i="1"/>
  <c r="K29" i="1"/>
  <c r="K27" i="1"/>
  <c r="L27" i="1"/>
  <c r="N27" i="1"/>
  <c r="M27" i="1"/>
  <c r="N37" i="1"/>
  <c r="K37" i="1"/>
  <c r="L37" i="1"/>
  <c r="M37" i="1"/>
  <c r="K31" i="1"/>
  <c r="N31" i="1"/>
  <c r="L31" i="1"/>
  <c r="M31" i="1"/>
  <c r="K35" i="1"/>
  <c r="N35" i="1"/>
  <c r="M35" i="1"/>
  <c r="L35" i="1"/>
  <c r="L87" i="1"/>
  <c r="M87" i="1"/>
  <c r="K87" i="1"/>
  <c r="N87" i="1"/>
  <c r="M190" i="1"/>
  <c r="N190" i="1"/>
  <c r="K190" i="1"/>
  <c r="L190" i="1"/>
  <c r="N45" i="1"/>
  <c r="L45" i="1"/>
  <c r="M45" i="1"/>
  <c r="K45" i="1"/>
  <c r="M198" i="1"/>
  <c r="N198" i="1"/>
  <c r="K198" i="1"/>
  <c r="L198" i="1"/>
  <c r="N55" i="1"/>
  <c r="K55" i="1"/>
  <c r="L55" i="1"/>
  <c r="M55" i="1"/>
  <c r="L71" i="1"/>
  <c r="M71" i="1"/>
  <c r="N71" i="1"/>
  <c r="K71" i="1"/>
  <c r="K43" i="1"/>
  <c r="N43" i="1"/>
  <c r="L43" i="1"/>
  <c r="M43" i="1"/>
  <c r="N41" i="1"/>
  <c r="K41" i="1"/>
  <c r="M41" i="1"/>
  <c r="L41" i="1"/>
  <c r="K75" i="1"/>
  <c r="L75" i="1"/>
  <c r="M75" i="1"/>
  <c r="N75" i="1"/>
  <c r="K67" i="1"/>
  <c r="L67" i="1"/>
  <c r="N67" i="1"/>
  <c r="M67" i="1"/>
  <c r="K51" i="1"/>
  <c r="N51" i="1"/>
  <c r="M51" i="1"/>
  <c r="L51" i="1"/>
  <c r="I19" i="1"/>
  <c r="H19" i="1"/>
  <c r="G19" i="1"/>
  <c r="F19" i="1"/>
  <c r="G18" i="1"/>
  <c r="F18" i="1"/>
  <c r="I18" i="1"/>
  <c r="H18" i="1"/>
  <c r="J18" i="1" l="1"/>
  <c r="J19" i="1"/>
  <c r="M19" i="1" s="1"/>
  <c r="K4" i="1" l="1"/>
  <c r="K19" i="1"/>
  <c r="L19" i="1"/>
  <c r="N19" i="1"/>
  <c r="K18" i="1"/>
  <c r="M18" i="1"/>
  <c r="N18" i="1"/>
  <c r="L18" i="1"/>
  <c r="K6" i="1" l="1"/>
  <c r="K5" i="1"/>
  <c r="N6" i="1"/>
  <c r="N4" i="1"/>
  <c r="N5" i="1"/>
  <c r="P18" i="1" l="1"/>
  <c r="Q18" i="1" s="1"/>
  <c r="V18" i="1"/>
  <c r="O18" i="1"/>
  <c r="F14" i="1"/>
  <c r="F8" i="1" s="1"/>
  <c r="H8" i="1" s="1"/>
  <c r="P19" i="1"/>
  <c r="O20" i="1"/>
  <c r="T31" i="1"/>
  <c r="V33" i="1"/>
  <c r="T34" i="1"/>
  <c r="O35" i="1"/>
  <c r="V46" i="1"/>
  <c r="T47" i="1"/>
  <c r="V49" i="1"/>
  <c r="T50" i="1"/>
  <c r="O51" i="1"/>
  <c r="T55" i="1"/>
  <c r="T64" i="1"/>
  <c r="T69" i="1"/>
  <c r="V71" i="1"/>
  <c r="V72" i="1"/>
  <c r="T73" i="1"/>
  <c r="O74" i="1"/>
  <c r="V78" i="1"/>
  <c r="T86" i="1"/>
  <c r="O87" i="1"/>
  <c r="T89" i="1"/>
  <c r="T94" i="1"/>
  <c r="O95" i="1"/>
  <c r="T99" i="1"/>
  <c r="V102" i="1"/>
  <c r="T103" i="1"/>
  <c r="V106" i="1"/>
  <c r="T107" i="1"/>
  <c r="O116" i="1"/>
  <c r="V119" i="1"/>
  <c r="V122" i="1"/>
  <c r="V123" i="1"/>
  <c r="V126" i="1"/>
  <c r="O28" i="1"/>
  <c r="V31" i="1"/>
  <c r="V34" i="1"/>
  <c r="T38" i="1"/>
  <c r="O39" i="1"/>
  <c r="T42" i="1"/>
  <c r="O43" i="1"/>
  <c r="T44" i="1"/>
  <c r="O45" i="1"/>
  <c r="V47" i="1"/>
  <c r="V50" i="1"/>
  <c r="T52" i="1"/>
  <c r="V55" i="1"/>
  <c r="T56" i="1"/>
  <c r="O57" i="1"/>
  <c r="O63" i="1"/>
  <c r="V64" i="1"/>
  <c r="T66" i="1"/>
  <c r="O67" i="1"/>
  <c r="V69" i="1"/>
  <c r="V73" i="1"/>
  <c r="T74" i="1"/>
  <c r="O80" i="1"/>
  <c r="V86" i="1"/>
  <c r="T87" i="1"/>
  <c r="V89" i="1"/>
  <c r="T91" i="1"/>
  <c r="V94" i="1"/>
  <c r="T95" i="1"/>
  <c r="V99" i="1"/>
  <c r="V103" i="1"/>
  <c r="T104" i="1"/>
  <c r="V107" i="1"/>
  <c r="T108" i="1"/>
  <c r="O109" i="1"/>
  <c r="T120" i="1"/>
  <c r="T124" i="1"/>
  <c r="V20" i="1"/>
  <c r="V24" i="1"/>
  <c r="T28" i="1"/>
  <c r="O29" i="1"/>
  <c r="T32" i="1"/>
  <c r="O33" i="1"/>
  <c r="V35" i="1"/>
  <c r="T39" i="1"/>
  <c r="T48" i="1"/>
  <c r="O49" i="1"/>
  <c r="V51" i="1"/>
  <c r="T59" i="1"/>
  <c r="V62" i="1"/>
  <c r="T63" i="1"/>
  <c r="O65" i="1"/>
  <c r="T75" i="1"/>
  <c r="V79" i="1"/>
  <c r="T80" i="1"/>
  <c r="V82" i="1"/>
  <c r="T83" i="1"/>
  <c r="T84" i="1"/>
  <c r="O85" i="1"/>
  <c r="V90" i="1"/>
  <c r="T100" i="1"/>
  <c r="V110" i="1"/>
  <c r="V112" i="1"/>
  <c r="T113" i="1"/>
  <c r="O114" i="1"/>
  <c r="V116" i="1"/>
  <c r="T117" i="1"/>
  <c r="O118" i="1"/>
  <c r="T21" i="1"/>
  <c r="O22" i="1"/>
  <c r="T25" i="1"/>
  <c r="O26" i="1"/>
  <c r="O36" i="1"/>
  <c r="V38" i="1"/>
  <c r="O40" i="1"/>
  <c r="V42" i="1"/>
  <c r="T43" i="1"/>
  <c r="V44" i="1"/>
  <c r="T45" i="1"/>
  <c r="V52" i="1"/>
  <c r="O53" i="1"/>
  <c r="V56" i="1"/>
  <c r="T57" i="1"/>
  <c r="O60" i="1"/>
  <c r="V66" i="1"/>
  <c r="T67" i="1"/>
  <c r="O68" i="1"/>
  <c r="T70" i="1"/>
  <c r="O71" i="1"/>
  <c r="V74" i="1"/>
  <c r="T77" i="1"/>
  <c r="O78" i="1"/>
  <c r="O81" i="1"/>
  <c r="V87" i="1"/>
  <c r="V91" i="1"/>
  <c r="T92" i="1"/>
  <c r="V95" i="1"/>
  <c r="T96" i="1"/>
  <c r="T101" i="1"/>
  <c r="V104" i="1"/>
  <c r="T105" i="1"/>
  <c r="T22" i="1"/>
  <c r="T26" i="1"/>
  <c r="O27" i="1"/>
  <c r="V28" i="1"/>
  <c r="T29" i="1"/>
  <c r="V32" i="1"/>
  <c r="T36" i="1"/>
  <c r="O37" i="1"/>
  <c r="V39" i="1"/>
  <c r="T40" i="1"/>
  <c r="O41" i="1"/>
  <c r="O46" i="1"/>
  <c r="V48" i="1"/>
  <c r="T53" i="1"/>
  <c r="O58" i="1"/>
  <c r="V59" i="1"/>
  <c r="T60" i="1"/>
  <c r="O61" i="1"/>
  <c r="V63" i="1"/>
  <c r="T65" i="1"/>
  <c r="T68" i="1"/>
  <c r="V75" i="1"/>
  <c r="V80" i="1"/>
  <c r="V83" i="1"/>
  <c r="V84" i="1"/>
  <c r="T85" i="1"/>
  <c r="T88" i="1"/>
  <c r="O93" i="1"/>
  <c r="T97" i="1"/>
  <c r="T98" i="1"/>
  <c r="V100" i="1"/>
  <c r="O106" i="1"/>
  <c r="T111" i="1"/>
  <c r="V113" i="1"/>
  <c r="T114" i="1"/>
  <c r="T115" i="1"/>
  <c r="V22" i="1"/>
  <c r="T23" i="1"/>
  <c r="V26" i="1"/>
  <c r="T27" i="1"/>
  <c r="V29" i="1"/>
  <c r="T30" i="1"/>
  <c r="O31" i="1"/>
  <c r="V36" i="1"/>
  <c r="T37" i="1"/>
  <c r="V40" i="1"/>
  <c r="T41" i="1"/>
  <c r="O44" i="1"/>
  <c r="O47" i="1"/>
  <c r="V53" i="1"/>
  <c r="T54" i="1"/>
  <c r="O55" i="1"/>
  <c r="T58" i="1"/>
  <c r="V60" i="1"/>
  <c r="T61" i="1"/>
  <c r="O62" i="1"/>
  <c r="O64" i="1"/>
  <c r="V65" i="1"/>
  <c r="O66" i="1"/>
  <c r="V68" i="1"/>
  <c r="T76" i="1"/>
  <c r="O79" i="1"/>
  <c r="T81" i="1"/>
  <c r="O82" i="1"/>
  <c r="V85" i="1"/>
  <c r="V88" i="1"/>
  <c r="T93" i="1"/>
  <c r="V97" i="1"/>
  <c r="V98" i="1"/>
  <c r="O99" i="1"/>
  <c r="O107" i="1"/>
  <c r="O110" i="1"/>
  <c r="V111" i="1"/>
  <c r="V114" i="1"/>
  <c r="V115" i="1"/>
  <c r="V118" i="1"/>
  <c r="T127" i="1"/>
  <c r="T20" i="1"/>
  <c r="O42" i="1"/>
  <c r="T46" i="1"/>
  <c r="O59" i="1"/>
  <c r="O69" i="1"/>
  <c r="V70" i="1"/>
  <c r="O83" i="1"/>
  <c r="O91" i="1"/>
  <c r="O103" i="1"/>
  <c r="V109" i="1"/>
  <c r="T110" i="1"/>
  <c r="V129" i="1"/>
  <c r="T130" i="1"/>
  <c r="T131" i="1"/>
  <c r="V133" i="1"/>
  <c r="T134" i="1"/>
  <c r="V140" i="1"/>
  <c r="T141" i="1"/>
  <c r="O142" i="1"/>
  <c r="T144" i="1"/>
  <c r="O148" i="1"/>
  <c r="T153" i="1"/>
  <c r="T156" i="1"/>
  <c r="V161" i="1"/>
  <c r="O165" i="1"/>
  <c r="V170" i="1"/>
  <c r="T171" i="1"/>
  <c r="O172" i="1"/>
  <c r="O175" i="1"/>
  <c r="V177" i="1"/>
  <c r="T181" i="1"/>
  <c r="V187" i="1"/>
  <c r="V190" i="1"/>
  <c r="T191" i="1"/>
  <c r="O192" i="1"/>
  <c r="O195" i="1"/>
  <c r="O23" i="1"/>
  <c r="T24" i="1"/>
  <c r="V37" i="1"/>
  <c r="V41" i="1"/>
  <c r="O50" i="1"/>
  <c r="O54" i="1"/>
  <c r="V58" i="1"/>
  <c r="O73" i="1"/>
  <c r="T79" i="1"/>
  <c r="O111" i="1"/>
  <c r="T112" i="1"/>
  <c r="T135" i="1"/>
  <c r="V137" i="1"/>
  <c r="T138" i="1"/>
  <c r="V147" i="1"/>
  <c r="T148" i="1"/>
  <c r="V152" i="1"/>
  <c r="T154" i="1"/>
  <c r="V158" i="1"/>
  <c r="V162" i="1"/>
  <c r="V164" i="1"/>
  <c r="V167" i="1"/>
  <c r="T168" i="1"/>
  <c r="V23" i="1"/>
  <c r="V27" i="1"/>
  <c r="V45" i="1"/>
  <c r="V54" i="1"/>
  <c r="V57" i="1"/>
  <c r="T62" i="1"/>
  <c r="T78" i="1"/>
  <c r="T102" i="1"/>
  <c r="V108" i="1"/>
  <c r="T119" i="1"/>
  <c r="O122" i="1"/>
  <c r="T123" i="1"/>
  <c r="O126" i="1"/>
  <c r="V130" i="1"/>
  <c r="V131" i="1"/>
  <c r="V134" i="1"/>
  <c r="T139" i="1"/>
  <c r="V141" i="1"/>
  <c r="T142" i="1"/>
  <c r="V144" i="1"/>
  <c r="T145" i="1"/>
  <c r="T149" i="1"/>
  <c r="O150" i="1"/>
  <c r="V153" i="1"/>
  <c r="V156" i="1"/>
  <c r="T157" i="1"/>
  <c r="T163" i="1"/>
  <c r="T165" i="1"/>
  <c r="V171" i="1"/>
  <c r="T172" i="1"/>
  <c r="O179" i="1"/>
  <c r="V181" i="1"/>
  <c r="T35" i="1"/>
  <c r="T49" i="1"/>
  <c r="T72" i="1"/>
  <c r="T82" i="1"/>
  <c r="T90" i="1"/>
  <c r="V101" i="1"/>
  <c r="T118" i="1"/>
  <c r="O120" i="1"/>
  <c r="T121" i="1"/>
  <c r="O124" i="1"/>
  <c r="T125" i="1"/>
  <c r="V127" i="1"/>
  <c r="O128" i="1"/>
  <c r="O132" i="1"/>
  <c r="V135" i="1"/>
  <c r="V138" i="1"/>
  <c r="O146" i="1"/>
  <c r="V148" i="1"/>
  <c r="T150" i="1"/>
  <c r="V154" i="1"/>
  <c r="O166" i="1"/>
  <c r="V168" i="1"/>
  <c r="V175" i="1"/>
  <c r="T176" i="1"/>
  <c r="V178" i="1"/>
  <c r="T179" i="1"/>
  <c r="O180" i="1"/>
  <c r="T182" i="1"/>
  <c r="O52" i="1"/>
  <c r="O77" i="1"/>
  <c r="O89" i="1"/>
  <c r="T106" i="1"/>
  <c r="T116" i="1"/>
  <c r="V117" i="1"/>
  <c r="V120" i="1"/>
  <c r="T122" i="1"/>
  <c r="V124" i="1"/>
  <c r="T126" i="1"/>
  <c r="T128" i="1"/>
  <c r="T132" i="1"/>
  <c r="O136" i="1"/>
  <c r="V139" i="1"/>
  <c r="V142" i="1"/>
  <c r="T143" i="1"/>
  <c r="V145" i="1"/>
  <c r="T146" i="1"/>
  <c r="V149" i="1"/>
  <c r="T155" i="1"/>
  <c r="V157" i="1"/>
  <c r="T159" i="1"/>
  <c r="O160" i="1"/>
  <c r="V163" i="1"/>
  <c r="O164" i="1"/>
  <c r="V165" i="1"/>
  <c r="T169" i="1"/>
  <c r="O170" i="1"/>
  <c r="V172" i="1"/>
  <c r="O183" i="1"/>
  <c r="V185" i="1"/>
  <c r="T186" i="1"/>
  <c r="T189" i="1"/>
  <c r="O190" i="1"/>
  <c r="V192" i="1"/>
  <c r="O21" i="1"/>
  <c r="O30" i="1"/>
  <c r="O34" i="1"/>
  <c r="V43" i="1"/>
  <c r="V61" i="1"/>
  <c r="V67" i="1"/>
  <c r="T71" i="1"/>
  <c r="V76" i="1"/>
  <c r="V77" i="1"/>
  <c r="V93" i="1"/>
  <c r="V121" i="1"/>
  <c r="V125" i="1"/>
  <c r="T136" i="1"/>
  <c r="O140" i="1"/>
  <c r="V150" i="1"/>
  <c r="T151" i="1"/>
  <c r="O158" i="1"/>
  <c r="T160" i="1"/>
  <c r="T166" i="1"/>
  <c r="T173" i="1"/>
  <c r="O174" i="1"/>
  <c r="V176" i="1"/>
  <c r="V179" i="1"/>
  <c r="T180" i="1"/>
  <c r="V182" i="1"/>
  <c r="T183" i="1"/>
  <c r="O184" i="1"/>
  <c r="O187" i="1"/>
  <c r="O25" i="1"/>
  <c r="O130" i="1"/>
  <c r="T137" i="1"/>
  <c r="T161" i="1"/>
  <c r="T167" i="1"/>
  <c r="T174" i="1"/>
  <c r="O182" i="1"/>
  <c r="V183" i="1"/>
  <c r="V196" i="1"/>
  <c r="V25" i="1"/>
  <c r="O70" i="1"/>
  <c r="V92" i="1"/>
  <c r="V136" i="1"/>
  <c r="T140" i="1"/>
  <c r="V166" i="1"/>
  <c r="V174" i="1"/>
  <c r="V188" i="1"/>
  <c r="T190" i="1"/>
  <c r="O191" i="1"/>
  <c r="T197" i="1"/>
  <c r="O198" i="1"/>
  <c r="T33" i="1"/>
  <c r="V81" i="1"/>
  <c r="T109" i="1"/>
  <c r="T129" i="1"/>
  <c r="O134" i="1"/>
  <c r="V143" i="1"/>
  <c r="O152" i="1"/>
  <c r="V173" i="1"/>
  <c r="V180" i="1"/>
  <c r="V189" i="1"/>
  <c r="T192" i="1"/>
  <c r="V30" i="1"/>
  <c r="V128" i="1"/>
  <c r="O144" i="1"/>
  <c r="T152" i="1"/>
  <c r="T158" i="1"/>
  <c r="V160" i="1"/>
  <c r="T170" i="1"/>
  <c r="O171" i="1"/>
  <c r="V191" i="1"/>
  <c r="O194" i="1"/>
  <c r="V197" i="1"/>
  <c r="T198" i="1"/>
  <c r="V21" i="1"/>
  <c r="T133" i="1"/>
  <c r="V151" i="1"/>
  <c r="V155" i="1"/>
  <c r="V159" i="1"/>
  <c r="O176" i="1"/>
  <c r="T193" i="1"/>
  <c r="O196" i="1"/>
  <c r="T51" i="1"/>
  <c r="V96" i="1"/>
  <c r="V132" i="1"/>
  <c r="O138" i="1"/>
  <c r="O156" i="1"/>
  <c r="T164" i="1"/>
  <c r="O168" i="1"/>
  <c r="V169" i="1"/>
  <c r="T177" i="1"/>
  <c r="O178" i="1"/>
  <c r="O186" i="1"/>
  <c r="T194" i="1"/>
  <c r="T195" i="1"/>
  <c r="V198" i="1"/>
  <c r="O188" i="1"/>
  <c r="T175" i="1"/>
  <c r="T187" i="1"/>
  <c r="T188" i="1"/>
  <c r="V105" i="1"/>
  <c r="V146" i="1"/>
  <c r="T162" i="1"/>
  <c r="V194" i="1"/>
  <c r="V195" i="1"/>
  <c r="T147" i="1"/>
  <c r="V186" i="1"/>
  <c r="T178" i="1"/>
  <c r="T184" i="1"/>
  <c r="V184" i="1"/>
  <c r="T185" i="1"/>
  <c r="V193" i="1"/>
  <c r="T196" i="1"/>
  <c r="O167" i="1"/>
  <c r="O119" i="1"/>
  <c r="O157" i="1"/>
  <c r="O98" i="1"/>
  <c r="O159" i="1"/>
  <c r="O147" i="1"/>
  <c r="O125" i="1"/>
  <c r="O193" i="1"/>
  <c r="O149" i="1"/>
  <c r="O154" i="1"/>
  <c r="O133" i="1"/>
  <c r="O75" i="1"/>
  <c r="O121" i="1"/>
  <c r="O153" i="1"/>
  <c r="O141" i="1"/>
  <c r="O137" i="1"/>
  <c r="O129" i="1"/>
  <c r="O56" i="1"/>
  <c r="O38" i="1"/>
  <c r="O151" i="1"/>
  <c r="O143" i="1"/>
  <c r="O181" i="1"/>
  <c r="O197" i="1"/>
  <c r="O139" i="1"/>
  <c r="O185" i="1"/>
  <c r="O115" i="1"/>
  <c r="O113" i="1"/>
  <c r="O108" i="1"/>
  <c r="O177" i="1"/>
  <c r="O117" i="1"/>
  <c r="O145" i="1"/>
  <c r="O101" i="1"/>
  <c r="O104" i="1"/>
  <c r="O127" i="1"/>
  <c r="O97" i="1"/>
  <c r="O189" i="1"/>
  <c r="O169" i="1"/>
  <c r="O161" i="1"/>
  <c r="O96" i="1"/>
  <c r="O84" i="1"/>
  <c r="O94" i="1"/>
  <c r="O123" i="1"/>
  <c r="O162" i="1"/>
  <c r="O105" i="1"/>
  <c r="O88" i="1"/>
  <c r="O90" i="1"/>
  <c r="O100" i="1"/>
  <c r="O135" i="1"/>
  <c r="O76" i="1"/>
  <c r="O72" i="1"/>
  <c r="O24" i="1"/>
  <c r="O131" i="1"/>
  <c r="O155" i="1"/>
  <c r="O163" i="1"/>
  <c r="O92" i="1"/>
  <c r="O32" i="1"/>
  <c r="O86" i="1"/>
  <c r="O48" i="1"/>
  <c r="O173" i="1"/>
  <c r="O102" i="1"/>
  <c r="O112" i="1"/>
  <c r="W22" i="1"/>
  <c r="U23" i="1"/>
  <c r="W26" i="1"/>
  <c r="U27" i="1"/>
  <c r="W29" i="1"/>
  <c r="U30" i="1"/>
  <c r="W36" i="1"/>
  <c r="U37" i="1"/>
  <c r="W40" i="1"/>
  <c r="U41" i="1"/>
  <c r="W53" i="1"/>
  <c r="U54" i="1"/>
  <c r="U58" i="1"/>
  <c r="W60" i="1"/>
  <c r="U61" i="1"/>
  <c r="P62" i="1"/>
  <c r="W65" i="1"/>
  <c r="P66" i="1"/>
  <c r="W68" i="1"/>
  <c r="U76" i="1"/>
  <c r="P79" i="1"/>
  <c r="U81" i="1"/>
  <c r="P82" i="1"/>
  <c r="W85" i="1"/>
  <c r="W88" i="1"/>
  <c r="U93" i="1"/>
  <c r="W97" i="1"/>
  <c r="W98" i="1"/>
  <c r="P110" i="1"/>
  <c r="W111" i="1"/>
  <c r="W114" i="1"/>
  <c r="W115" i="1"/>
  <c r="W118" i="1"/>
  <c r="U127" i="1"/>
  <c r="U20" i="1"/>
  <c r="P21" i="1"/>
  <c r="W23" i="1"/>
  <c r="U24" i="1"/>
  <c r="P25" i="1"/>
  <c r="W27" i="1"/>
  <c r="W30" i="1"/>
  <c r="U35" i="1"/>
  <c r="W37" i="1"/>
  <c r="W41" i="1"/>
  <c r="U51" i="1"/>
  <c r="W54" i="1"/>
  <c r="W58" i="1"/>
  <c r="P59" i="1"/>
  <c r="W61" i="1"/>
  <c r="U62" i="1"/>
  <c r="P70" i="1"/>
  <c r="P75" i="1"/>
  <c r="W76" i="1"/>
  <c r="P77" i="1"/>
  <c r="U79" i="1"/>
  <c r="W81" i="1"/>
  <c r="U82" i="1"/>
  <c r="P83" i="1"/>
  <c r="U90" i="1"/>
  <c r="W93" i="1"/>
  <c r="P100" i="1"/>
  <c r="U110" i="1"/>
  <c r="U112" i="1"/>
  <c r="P113" i="1"/>
  <c r="U116" i="1"/>
  <c r="P117" i="1"/>
  <c r="W127" i="1"/>
  <c r="W31" i="1"/>
  <c r="W34" i="1"/>
  <c r="U38" i="1"/>
  <c r="U42" i="1"/>
  <c r="P43" i="1"/>
  <c r="U44" i="1"/>
  <c r="P45" i="1"/>
  <c r="W47" i="1"/>
  <c r="W50" i="1"/>
  <c r="U52" i="1"/>
  <c r="W55" i="1"/>
  <c r="U56" i="1"/>
  <c r="P57" i="1"/>
  <c r="W64" i="1"/>
  <c r="U66" i="1"/>
  <c r="P67" i="1"/>
  <c r="W69" i="1"/>
  <c r="W73" i="1"/>
  <c r="U74" i="1"/>
  <c r="W86" i="1"/>
  <c r="U87" i="1"/>
  <c r="W89" i="1"/>
  <c r="U91" i="1"/>
  <c r="P92" i="1"/>
  <c r="W94" i="1"/>
  <c r="U95" i="1"/>
  <c r="P96" i="1"/>
  <c r="W99" i="1"/>
  <c r="P101" i="1"/>
  <c r="W103" i="1"/>
  <c r="U104" i="1"/>
  <c r="W107" i="1"/>
  <c r="U108" i="1"/>
  <c r="P109" i="1"/>
  <c r="U120" i="1"/>
  <c r="P121" i="1"/>
  <c r="U124" i="1"/>
  <c r="P125" i="1"/>
  <c r="W20" i="1"/>
  <c r="W24" i="1"/>
  <c r="U28" i="1"/>
  <c r="P29" i="1"/>
  <c r="U32" i="1"/>
  <c r="P33" i="1"/>
  <c r="W35" i="1"/>
  <c r="U39" i="1"/>
  <c r="U48" i="1"/>
  <c r="P49" i="1"/>
  <c r="W51" i="1"/>
  <c r="U59" i="1"/>
  <c r="W62" i="1"/>
  <c r="U63" i="1"/>
  <c r="P65" i="1"/>
  <c r="U75" i="1"/>
  <c r="W79" i="1"/>
  <c r="U80" i="1"/>
  <c r="W82" i="1"/>
  <c r="U83" i="1"/>
  <c r="U84" i="1"/>
  <c r="P85" i="1"/>
  <c r="P88" i="1"/>
  <c r="W90" i="1"/>
  <c r="P97" i="1"/>
  <c r="U100" i="1"/>
  <c r="U21" i="1"/>
  <c r="U25" i="1"/>
  <c r="W38" i="1"/>
  <c r="W42" i="1"/>
  <c r="U43" i="1"/>
  <c r="W44" i="1"/>
  <c r="U45" i="1"/>
  <c r="W52" i="1"/>
  <c r="W56" i="1"/>
  <c r="U57" i="1"/>
  <c r="W66" i="1"/>
  <c r="U67" i="1"/>
  <c r="U70" i="1"/>
  <c r="P71" i="1"/>
  <c r="W74" i="1"/>
  <c r="U77" i="1"/>
  <c r="P78" i="1"/>
  <c r="P81" i="1"/>
  <c r="W87" i="1"/>
  <c r="W91" i="1"/>
  <c r="U92" i="1"/>
  <c r="W95" i="1"/>
  <c r="U96" i="1"/>
  <c r="U101" i="1"/>
  <c r="W104" i="1"/>
  <c r="U105" i="1"/>
  <c r="W108" i="1"/>
  <c r="U109" i="1"/>
  <c r="W21" i="1"/>
  <c r="W25" i="1"/>
  <c r="U33" i="1"/>
  <c r="W43" i="1"/>
  <c r="W45" i="1"/>
  <c r="U46" i="1"/>
  <c r="U49" i="1"/>
  <c r="W57" i="1"/>
  <c r="W67" i="1"/>
  <c r="P69" i="1"/>
  <c r="W70" i="1"/>
  <c r="U71" i="1"/>
  <c r="U72" i="1"/>
  <c r="P73" i="1"/>
  <c r="W77" i="1"/>
  <c r="U78" i="1"/>
  <c r="P86" i="1"/>
  <c r="P89" i="1"/>
  <c r="W92" i="1"/>
  <c r="W96" i="1"/>
  <c r="W101" i="1"/>
  <c r="U102" i="1"/>
  <c r="P103" i="1"/>
  <c r="W105" i="1"/>
  <c r="U106" i="1"/>
  <c r="W109" i="1"/>
  <c r="P112" i="1"/>
  <c r="U119" i="1"/>
  <c r="W121" i="1"/>
  <c r="U122" i="1"/>
  <c r="U123" i="1"/>
  <c r="W125" i="1"/>
  <c r="U126" i="1"/>
  <c r="W33" i="1"/>
  <c r="P37" i="1"/>
  <c r="P41" i="1"/>
  <c r="P58" i="1"/>
  <c r="W63" i="1"/>
  <c r="P95" i="1"/>
  <c r="U98" i="1"/>
  <c r="U113" i="1"/>
  <c r="W136" i="1"/>
  <c r="U137" i="1"/>
  <c r="P138" i="1"/>
  <c r="U147" i="1"/>
  <c r="W151" i="1"/>
  <c r="U152" i="1"/>
  <c r="U158" i="1"/>
  <c r="W160" i="1"/>
  <c r="U162" i="1"/>
  <c r="U164" i="1"/>
  <c r="W166" i="1"/>
  <c r="U167" i="1"/>
  <c r="P168" i="1"/>
  <c r="W173" i="1"/>
  <c r="U174" i="1"/>
  <c r="P178" i="1"/>
  <c r="W180" i="1"/>
  <c r="W183" i="1"/>
  <c r="U184" i="1"/>
  <c r="P188" i="1"/>
  <c r="W193" i="1"/>
  <c r="U194" i="1"/>
  <c r="P27" i="1"/>
  <c r="W46" i="1"/>
  <c r="W59" i="1"/>
  <c r="U64" i="1"/>
  <c r="U65" i="1"/>
  <c r="U69" i="1"/>
  <c r="W83" i="1"/>
  <c r="U103" i="1"/>
  <c r="P108" i="1"/>
  <c r="W110" i="1"/>
  <c r="W113" i="1"/>
  <c r="W129" i="1"/>
  <c r="U130" i="1"/>
  <c r="U131" i="1"/>
  <c r="W133" i="1"/>
  <c r="U134" i="1"/>
  <c r="P139" i="1"/>
  <c r="W140" i="1"/>
  <c r="U141" i="1"/>
  <c r="P142" i="1"/>
  <c r="U144" i="1"/>
  <c r="P145" i="1"/>
  <c r="P149" i="1"/>
  <c r="U153" i="1"/>
  <c r="U156" i="1"/>
  <c r="P157" i="1"/>
  <c r="W161" i="1"/>
  <c r="P163" i="1"/>
  <c r="P165" i="1"/>
  <c r="W28" i="1"/>
  <c r="W32" i="1"/>
  <c r="U50" i="1"/>
  <c r="U68" i="1"/>
  <c r="U73" i="1"/>
  <c r="U86" i="1"/>
  <c r="U111" i="1"/>
  <c r="W112" i="1"/>
  <c r="P118" i="1"/>
  <c r="U135" i="1"/>
  <c r="W137" i="1"/>
  <c r="U138" i="1"/>
  <c r="W147" i="1"/>
  <c r="U148" i="1"/>
  <c r="W152" i="1"/>
  <c r="U154" i="1"/>
  <c r="W158" i="1"/>
  <c r="W162" i="1"/>
  <c r="W164" i="1"/>
  <c r="W167" i="1"/>
  <c r="U168" i="1"/>
  <c r="W174" i="1"/>
  <c r="U175" i="1"/>
  <c r="P176" i="1"/>
  <c r="U178" i="1"/>
  <c r="P182" i="1"/>
  <c r="W184" i="1"/>
  <c r="U22" i="1"/>
  <c r="U31" i="1"/>
  <c r="U36" i="1"/>
  <c r="U40" i="1"/>
  <c r="U53" i="1"/>
  <c r="W78" i="1"/>
  <c r="U85" i="1"/>
  <c r="U94" i="1"/>
  <c r="U97" i="1"/>
  <c r="W102" i="1"/>
  <c r="U107" i="1"/>
  <c r="U117" i="1"/>
  <c r="W119" i="1"/>
  <c r="P122" i="1"/>
  <c r="W123" i="1"/>
  <c r="P126" i="1"/>
  <c r="W130" i="1"/>
  <c r="W131" i="1"/>
  <c r="W134" i="1"/>
  <c r="U139" i="1"/>
  <c r="W141" i="1"/>
  <c r="U142" i="1"/>
  <c r="P143" i="1"/>
  <c r="W144" i="1"/>
  <c r="U145" i="1"/>
  <c r="U149" i="1"/>
  <c r="W153" i="1"/>
  <c r="P155" i="1"/>
  <c r="W156" i="1"/>
  <c r="U157" i="1"/>
  <c r="P159" i="1"/>
  <c r="U163" i="1"/>
  <c r="U165" i="1"/>
  <c r="W171" i="1"/>
  <c r="U172" i="1"/>
  <c r="W181" i="1"/>
  <c r="U26" i="1"/>
  <c r="W49" i="1"/>
  <c r="P61" i="1"/>
  <c r="W72" i="1"/>
  <c r="W75" i="1"/>
  <c r="P93" i="1"/>
  <c r="U115" i="1"/>
  <c r="U118" i="1"/>
  <c r="U121" i="1"/>
  <c r="U125" i="1"/>
  <c r="W135" i="1"/>
  <c r="W138" i="1"/>
  <c r="W148" i="1"/>
  <c r="U150" i="1"/>
  <c r="P151" i="1"/>
  <c r="W154" i="1"/>
  <c r="P166" i="1"/>
  <c r="W168" i="1"/>
  <c r="W175" i="1"/>
  <c r="U176" i="1"/>
  <c r="W178" i="1"/>
  <c r="U179" i="1"/>
  <c r="P180" i="1"/>
  <c r="U182" i="1"/>
  <c r="W188" i="1"/>
  <c r="W195" i="1"/>
  <c r="W39" i="1"/>
  <c r="U89" i="1"/>
  <c r="W106" i="1"/>
  <c r="W116" i="1"/>
  <c r="W117" i="1"/>
  <c r="W120" i="1"/>
  <c r="W122" i="1"/>
  <c r="W124" i="1"/>
  <c r="W126" i="1"/>
  <c r="U128" i="1"/>
  <c r="P129" i="1"/>
  <c r="U132" i="1"/>
  <c r="P133" i="1"/>
  <c r="W139" i="1"/>
  <c r="W142" i="1"/>
  <c r="U143" i="1"/>
  <c r="W145" i="1"/>
  <c r="U146" i="1"/>
  <c r="W149" i="1"/>
  <c r="U155" i="1"/>
  <c r="W157" i="1"/>
  <c r="U159" i="1"/>
  <c r="P161" i="1"/>
  <c r="W163" i="1"/>
  <c r="P164" i="1"/>
  <c r="W165" i="1"/>
  <c r="U169" i="1"/>
  <c r="P170" i="1"/>
  <c r="W172" i="1"/>
  <c r="W185" i="1"/>
  <c r="U186" i="1"/>
  <c r="W48" i="1"/>
  <c r="P114" i="1"/>
  <c r="U136" i="1"/>
  <c r="P141" i="1"/>
  <c r="P153" i="1"/>
  <c r="U166" i="1"/>
  <c r="U185" i="1"/>
  <c r="W186" i="1"/>
  <c r="W187" i="1"/>
  <c r="U188" i="1"/>
  <c r="P190" i="1"/>
  <c r="U47" i="1"/>
  <c r="U55" i="1"/>
  <c r="U114" i="1"/>
  <c r="P130" i="1"/>
  <c r="U161" i="1"/>
  <c r="P172" i="1"/>
  <c r="U173" i="1"/>
  <c r="U180" i="1"/>
  <c r="W182" i="1"/>
  <c r="U189" i="1"/>
  <c r="P192" i="1"/>
  <c r="W196" i="1"/>
  <c r="U140" i="1"/>
  <c r="P158" i="1"/>
  <c r="U160" i="1"/>
  <c r="U181" i="1"/>
  <c r="U190" i="1"/>
  <c r="U191" i="1"/>
  <c r="U197" i="1"/>
  <c r="P198" i="1"/>
  <c r="P74" i="1"/>
  <c r="W100" i="1"/>
  <c r="U129" i="1"/>
  <c r="P134" i="1"/>
  <c r="W143" i="1"/>
  <c r="U151" i="1"/>
  <c r="W189" i="1"/>
  <c r="W190" i="1"/>
  <c r="U192" i="1"/>
  <c r="U60" i="1"/>
  <c r="W80" i="1"/>
  <c r="U99" i="1"/>
  <c r="W128" i="1"/>
  <c r="U170" i="1"/>
  <c r="U171" i="1"/>
  <c r="W179" i="1"/>
  <c r="W191" i="1"/>
  <c r="W192" i="1"/>
  <c r="P194" i="1"/>
  <c r="W197" i="1"/>
  <c r="U198" i="1"/>
  <c r="U29" i="1"/>
  <c r="U88" i="1"/>
  <c r="U133" i="1"/>
  <c r="W150" i="1"/>
  <c r="W155" i="1"/>
  <c r="W159" i="1"/>
  <c r="W170" i="1"/>
  <c r="W176" i="1"/>
  <c r="P184" i="1"/>
  <c r="U193" i="1"/>
  <c r="P196" i="1"/>
  <c r="W84" i="1"/>
  <c r="W132" i="1"/>
  <c r="U196" i="1"/>
  <c r="U34" i="1"/>
  <c r="U195" i="1"/>
  <c r="W71" i="1"/>
  <c r="P147" i="1"/>
  <c r="W169" i="1"/>
  <c r="P186" i="1"/>
  <c r="U187" i="1"/>
  <c r="P104" i="1"/>
  <c r="P137" i="1"/>
  <c r="W146" i="1"/>
  <c r="P174" i="1"/>
  <c r="W194" i="1"/>
  <c r="W198" i="1"/>
  <c r="U177" i="1"/>
  <c r="W177" i="1"/>
  <c r="P87" i="1"/>
  <c r="U183" i="1"/>
  <c r="P146" i="1"/>
  <c r="P80" i="1"/>
  <c r="P53" i="1"/>
  <c r="P24" i="1"/>
  <c r="P50" i="1"/>
  <c r="P115" i="1"/>
  <c r="P23" i="1"/>
  <c r="P60" i="1"/>
  <c r="P197" i="1"/>
  <c r="P136" i="1"/>
  <c r="P102" i="1"/>
  <c r="P63" i="1"/>
  <c r="P181" i="1"/>
  <c r="P152" i="1"/>
  <c r="P144" i="1"/>
  <c r="P52" i="1"/>
  <c r="P35" i="1"/>
  <c r="P127" i="1"/>
  <c r="P47" i="1"/>
  <c r="P99" i="1"/>
  <c r="P169" i="1"/>
  <c r="P191" i="1"/>
  <c r="P68" i="1"/>
  <c r="P189" i="1"/>
  <c r="P91" i="1"/>
  <c r="P148" i="1"/>
  <c r="P46" i="1"/>
  <c r="P26" i="1"/>
  <c r="P39" i="1"/>
  <c r="P32" i="1"/>
  <c r="P124" i="1"/>
  <c r="P98" i="1"/>
  <c r="P179" i="1"/>
  <c r="P22" i="1"/>
  <c r="P55" i="1"/>
  <c r="P173" i="1"/>
  <c r="P135" i="1"/>
  <c r="P36" i="1"/>
  <c r="P167" i="1"/>
  <c r="P183" i="1"/>
  <c r="P120" i="1"/>
  <c r="P193" i="1"/>
  <c r="P44" i="1"/>
  <c r="P140" i="1"/>
  <c r="P132" i="1"/>
  <c r="P195" i="1"/>
  <c r="P171" i="1"/>
  <c r="P106" i="1"/>
  <c r="P56" i="1"/>
  <c r="P94" i="1"/>
  <c r="P42" i="1"/>
  <c r="P54" i="1"/>
  <c r="P84" i="1"/>
  <c r="P185" i="1"/>
  <c r="P119" i="1"/>
  <c r="P40" i="1"/>
  <c r="P107" i="1"/>
  <c r="P128" i="1"/>
  <c r="P34" i="1"/>
  <c r="P175" i="1"/>
  <c r="P116" i="1"/>
  <c r="P150" i="1"/>
  <c r="P160" i="1"/>
  <c r="P38" i="1"/>
  <c r="P105" i="1"/>
  <c r="P28" i="1"/>
  <c r="P20" i="1"/>
  <c r="P156" i="1"/>
  <c r="P31" i="1"/>
  <c r="P123" i="1"/>
  <c r="P30" i="1"/>
  <c r="P131" i="1"/>
  <c r="P177" i="1"/>
  <c r="P48" i="1"/>
  <c r="P154" i="1"/>
  <c r="P162" i="1"/>
  <c r="P90" i="1"/>
  <c r="P72" i="1"/>
  <c r="P187" i="1"/>
  <c r="P51" i="1"/>
  <c r="P76" i="1"/>
  <c r="P111" i="1"/>
  <c r="P64" i="1"/>
  <c r="T19" i="1"/>
  <c r="V19" i="1"/>
  <c r="T18" i="1"/>
  <c r="F13" i="1"/>
  <c r="F9" i="1" s="1"/>
  <c r="H9" i="1" s="1"/>
  <c r="W19" i="1"/>
  <c r="W18" i="1"/>
  <c r="U18" i="1"/>
  <c r="U19" i="1"/>
  <c r="O19" i="1"/>
  <c r="R19" i="1" s="1"/>
  <c r="R198" i="1" l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S18" i="1"/>
  <c r="R18" i="1"/>
  <c r="Q19" i="1"/>
  <c r="S19" i="1"/>
  <c r="F10" i="1"/>
  <c r="H10" i="1" s="1"/>
  <c r="S92" i="1"/>
  <c r="S113" i="1"/>
  <c r="S163" i="1"/>
  <c r="S94" i="1"/>
  <c r="S151" i="1"/>
  <c r="S75" i="1"/>
  <c r="S147" i="1"/>
  <c r="S188" i="1"/>
  <c r="S156" i="1"/>
  <c r="S30" i="1"/>
  <c r="S146" i="1"/>
  <c r="S195" i="1"/>
  <c r="S172" i="1"/>
  <c r="S59" i="1"/>
  <c r="S64" i="1"/>
  <c r="S47" i="1"/>
  <c r="S22" i="1"/>
  <c r="S95" i="1"/>
  <c r="S105" i="1"/>
  <c r="S84" i="1"/>
  <c r="S101" i="1"/>
  <c r="S115" i="1"/>
  <c r="S38" i="1"/>
  <c r="S133" i="1"/>
  <c r="S138" i="1"/>
  <c r="S158" i="1"/>
  <c r="S170" i="1"/>
  <c r="S192" i="1"/>
  <c r="S142" i="1"/>
  <c r="S82" i="1"/>
  <c r="S62" i="1"/>
  <c r="S44" i="1"/>
  <c r="S37" i="1"/>
  <c r="S112" i="1"/>
  <c r="S86" i="1"/>
  <c r="S135" i="1"/>
  <c r="S189" i="1"/>
  <c r="S97" i="1"/>
  <c r="S153" i="1"/>
  <c r="S125" i="1"/>
  <c r="S120" i="1"/>
  <c r="Q120" i="1"/>
  <c r="Q181" i="1"/>
  <c r="Q61" i="1"/>
  <c r="Q182" i="1"/>
  <c r="Q73" i="1"/>
  <c r="Q81" i="1"/>
  <c r="Q109" i="1"/>
  <c r="Q100" i="1"/>
  <c r="Q110" i="1"/>
  <c r="Q40" i="1"/>
  <c r="Q63" i="1"/>
  <c r="Q130" i="1"/>
  <c r="Q51" i="1"/>
  <c r="Q31" i="1"/>
  <c r="Q38" i="1"/>
  <c r="Q34" i="1"/>
  <c r="Q42" i="1"/>
  <c r="Q68" i="1"/>
  <c r="S144" i="1"/>
  <c r="Q144" i="1"/>
  <c r="Q194" i="1"/>
  <c r="Q129" i="1"/>
  <c r="Q108" i="1"/>
  <c r="Q33" i="1"/>
  <c r="Q25" i="1"/>
  <c r="Q82" i="1"/>
  <c r="Q187" i="1"/>
  <c r="Q156" i="1"/>
  <c r="Q160" i="1"/>
  <c r="S128" i="1"/>
  <c r="Q128" i="1"/>
  <c r="Q94" i="1"/>
  <c r="Q44" i="1"/>
  <c r="S193" i="1"/>
  <c r="Q193" i="1"/>
  <c r="Q32" i="1"/>
  <c r="Q191" i="1"/>
  <c r="Q152" i="1"/>
  <c r="S53" i="1"/>
  <c r="Q53" i="1"/>
  <c r="Q137" i="1"/>
  <c r="Q184" i="1"/>
  <c r="Q172" i="1"/>
  <c r="Q190" i="1"/>
  <c r="Q126" i="1"/>
  <c r="Q95" i="1"/>
  <c r="Q103" i="1"/>
  <c r="Q96" i="1"/>
  <c r="Q77" i="1"/>
  <c r="S102" i="1"/>
  <c r="S32" i="1"/>
  <c r="S123" i="1"/>
  <c r="S127" i="1"/>
  <c r="S108" i="1"/>
  <c r="S143" i="1"/>
  <c r="S121" i="1"/>
  <c r="S191" i="1"/>
  <c r="S70" i="1"/>
  <c r="S182" i="1"/>
  <c r="S184" i="1"/>
  <c r="S34" i="1"/>
  <c r="S183" i="1"/>
  <c r="S23" i="1"/>
  <c r="S175" i="1"/>
  <c r="S148" i="1"/>
  <c r="S69" i="1"/>
  <c r="S61" i="1"/>
  <c r="S68" i="1"/>
  <c r="S49" i="1"/>
  <c r="S80" i="1"/>
  <c r="S57" i="1"/>
  <c r="S43" i="1"/>
  <c r="S107" i="1"/>
  <c r="Q107" i="1"/>
  <c r="Q114" i="1"/>
  <c r="Q29" i="1"/>
  <c r="S73" i="1"/>
  <c r="S110" i="1"/>
  <c r="S106" i="1"/>
  <c r="S81" i="1"/>
  <c r="S39" i="1"/>
  <c r="Q72" i="1"/>
  <c r="Q177" i="1"/>
  <c r="Q150" i="1"/>
  <c r="Q119" i="1"/>
  <c r="Q171" i="1"/>
  <c r="Q167" i="1"/>
  <c r="Q46" i="1"/>
  <c r="Q47" i="1"/>
  <c r="Q102" i="1"/>
  <c r="Q60" i="1"/>
  <c r="Q87" i="1"/>
  <c r="Q134" i="1"/>
  <c r="Q192" i="1"/>
  <c r="Q161" i="1"/>
  <c r="Q166" i="1"/>
  <c r="Q176" i="1"/>
  <c r="Q165" i="1"/>
  <c r="Q138" i="1"/>
  <c r="Q41" i="1"/>
  <c r="Q49" i="1"/>
  <c r="Q92" i="1"/>
  <c r="Q67" i="1"/>
  <c r="Q70" i="1"/>
  <c r="S155" i="1"/>
  <c r="S162" i="1"/>
  <c r="S96" i="1"/>
  <c r="S145" i="1"/>
  <c r="S185" i="1"/>
  <c r="S56" i="1"/>
  <c r="S154" i="1"/>
  <c r="S98" i="1"/>
  <c r="S186" i="1"/>
  <c r="S196" i="1"/>
  <c r="S179" i="1"/>
  <c r="S150" i="1"/>
  <c r="S54" i="1"/>
  <c r="S42" i="1"/>
  <c r="S58" i="1"/>
  <c r="S78" i="1"/>
  <c r="S60" i="1"/>
  <c r="S118" i="1"/>
  <c r="S65" i="1"/>
  <c r="S35" i="1"/>
  <c r="Q186" i="1"/>
  <c r="Q158" i="1"/>
  <c r="Q155" i="1"/>
  <c r="Q163" i="1"/>
  <c r="Q142" i="1"/>
  <c r="Q37" i="1"/>
  <c r="Q112" i="1"/>
  <c r="Q97" i="1"/>
  <c r="Q45" i="1"/>
  <c r="Q117" i="1"/>
  <c r="Q83" i="1"/>
  <c r="Q66" i="1"/>
  <c r="S173" i="1"/>
  <c r="S24" i="1"/>
  <c r="S100" i="1"/>
  <c r="S161" i="1"/>
  <c r="S139" i="1"/>
  <c r="S129" i="1"/>
  <c r="S149" i="1"/>
  <c r="S157" i="1"/>
  <c r="S178" i="1"/>
  <c r="S194" i="1"/>
  <c r="S190" i="1"/>
  <c r="S77" i="1"/>
  <c r="S50" i="1"/>
  <c r="S165" i="1"/>
  <c r="S103" i="1"/>
  <c r="S99" i="1"/>
  <c r="S79" i="1"/>
  <c r="S40" i="1"/>
  <c r="S85" i="1"/>
  <c r="S33" i="1"/>
  <c r="S109" i="1"/>
  <c r="S67" i="1"/>
  <c r="S87" i="1"/>
  <c r="Q143" i="1"/>
  <c r="S104" i="1"/>
  <c r="Q183" i="1"/>
  <c r="Q58" i="1"/>
  <c r="Q78" i="1"/>
  <c r="Q75" i="1"/>
  <c r="S159" i="1"/>
  <c r="Q90" i="1"/>
  <c r="Q20" i="1"/>
  <c r="Q185" i="1"/>
  <c r="Q55" i="1"/>
  <c r="Q148" i="1"/>
  <c r="Q127" i="1"/>
  <c r="S136" i="1"/>
  <c r="Q136" i="1"/>
  <c r="S28" i="1"/>
  <c r="Q28" i="1"/>
  <c r="S132" i="1"/>
  <c r="Q132" i="1"/>
  <c r="Q135" i="1"/>
  <c r="Q115" i="1"/>
  <c r="Q133" i="1"/>
  <c r="Q180" i="1"/>
  <c r="Q151" i="1"/>
  <c r="S89" i="1"/>
  <c r="Q89" i="1"/>
  <c r="Q69" i="1"/>
  <c r="Q71" i="1"/>
  <c r="Q125" i="1"/>
  <c r="S72" i="1"/>
  <c r="S90" i="1"/>
  <c r="S169" i="1"/>
  <c r="S117" i="1"/>
  <c r="S137" i="1"/>
  <c r="S119" i="1"/>
  <c r="S176" i="1"/>
  <c r="S152" i="1"/>
  <c r="S130" i="1"/>
  <c r="S164" i="1"/>
  <c r="S52" i="1"/>
  <c r="S166" i="1"/>
  <c r="S126" i="1"/>
  <c r="S91" i="1"/>
  <c r="Q39" i="1"/>
  <c r="Q104" i="1"/>
  <c r="Q164" i="1"/>
  <c r="Q159" i="1"/>
  <c r="Q149" i="1"/>
  <c r="Q168" i="1"/>
  <c r="Q79" i="1"/>
  <c r="Q48" i="1"/>
  <c r="Q106" i="1"/>
  <c r="Q26" i="1"/>
  <c r="Q99" i="1"/>
  <c r="Q146" i="1"/>
  <c r="Q122" i="1"/>
  <c r="Q118" i="1"/>
  <c r="Q145" i="1"/>
  <c r="Q188" i="1"/>
  <c r="Q21" i="1"/>
  <c r="S21" i="1"/>
  <c r="Q64" i="1"/>
  <c r="Q131" i="1"/>
  <c r="S116" i="1"/>
  <c r="Q116" i="1"/>
  <c r="Q195" i="1"/>
  <c r="Q36" i="1"/>
  <c r="Q23" i="1"/>
  <c r="Q147" i="1"/>
  <c r="Q111" i="1"/>
  <c r="Q162" i="1"/>
  <c r="Q30" i="1"/>
  <c r="Q175" i="1"/>
  <c r="Q84" i="1"/>
  <c r="Q22" i="1"/>
  <c r="Q91" i="1"/>
  <c r="Q35" i="1"/>
  <c r="S197" i="1"/>
  <c r="Q197" i="1"/>
  <c r="Q76" i="1"/>
  <c r="Q154" i="1"/>
  <c r="Q123" i="1"/>
  <c r="Q105" i="1"/>
  <c r="Q54" i="1"/>
  <c r="S140" i="1"/>
  <c r="Q140" i="1"/>
  <c r="Q173" i="1"/>
  <c r="Q179" i="1"/>
  <c r="Q98" i="1"/>
  <c r="Q189" i="1"/>
  <c r="Q52" i="1"/>
  <c r="Q50" i="1"/>
  <c r="Q174" i="1"/>
  <c r="Q196" i="1"/>
  <c r="Q74" i="1"/>
  <c r="Q198" i="1"/>
  <c r="Q153" i="1"/>
  <c r="Q170" i="1"/>
  <c r="Q93" i="1"/>
  <c r="Q157" i="1"/>
  <c r="Q178" i="1"/>
  <c r="Q86" i="1"/>
  <c r="Q88" i="1"/>
  <c r="Q65" i="1"/>
  <c r="Q101" i="1"/>
  <c r="Q57" i="1"/>
  <c r="Q43" i="1"/>
  <c r="Q113" i="1"/>
  <c r="Q59" i="1"/>
  <c r="Q62" i="1"/>
  <c r="S48" i="1"/>
  <c r="S76" i="1"/>
  <c r="S88" i="1"/>
  <c r="S141" i="1"/>
  <c r="S171" i="1"/>
  <c r="S198" i="1"/>
  <c r="S25" i="1"/>
  <c r="S174" i="1"/>
  <c r="S83" i="1"/>
  <c r="S55" i="1"/>
  <c r="S93" i="1"/>
  <c r="S46" i="1"/>
  <c r="S71" i="1"/>
  <c r="S36" i="1"/>
  <c r="S114" i="1"/>
  <c r="S29" i="1"/>
  <c r="S45" i="1"/>
  <c r="S51" i="1"/>
  <c r="Q56" i="1"/>
  <c r="Q169" i="1"/>
  <c r="Q80" i="1"/>
  <c r="S124" i="1"/>
  <c r="Q124" i="1"/>
  <c r="Q24" i="1"/>
  <c r="Q141" i="1"/>
  <c r="Q139" i="1"/>
  <c r="Q27" i="1"/>
  <c r="Q85" i="1"/>
  <c r="Q121" i="1"/>
  <c r="S131" i="1"/>
  <c r="S177" i="1"/>
  <c r="S181" i="1"/>
  <c r="S167" i="1"/>
  <c r="S168" i="1"/>
  <c r="S134" i="1"/>
  <c r="S187" i="1"/>
  <c r="S160" i="1"/>
  <c r="S180" i="1"/>
  <c r="S122" i="1"/>
  <c r="S111" i="1"/>
  <c r="S66" i="1"/>
  <c r="S31" i="1"/>
  <c r="S41" i="1"/>
  <c r="S27" i="1"/>
  <c r="S26" i="1"/>
  <c r="S63" i="1"/>
  <c r="S74" i="1"/>
  <c r="S20" i="1"/>
  <c r="K8" i="1" l="1"/>
  <c r="K9" i="1"/>
  <c r="K7" i="1"/>
  <c r="K11" i="1" l="1"/>
  <c r="AV20" i="1" s="1"/>
  <c r="K10" i="1"/>
  <c r="AT198" i="1" l="1"/>
  <c r="X198" i="1"/>
  <c r="AW198" i="1"/>
  <c r="AA198" i="1"/>
  <c r="AK198" i="1"/>
  <c r="AZ198" i="1"/>
  <c r="BA198" i="1" s="1"/>
  <c r="AD198" i="1"/>
  <c r="AE198" i="1" s="1"/>
  <c r="AF198" i="1"/>
  <c r="AG198" i="1" s="1"/>
  <c r="AQ198" i="1"/>
  <c r="AR198" i="1" s="1"/>
  <c r="AO198" i="1"/>
  <c r="AP198" i="1" s="1"/>
  <c r="BB198" i="1"/>
  <c r="BC198" i="1" s="1"/>
  <c r="Y198" i="1"/>
  <c r="AU198" i="1"/>
  <c r="AV198" i="1"/>
  <c r="AL198" i="1"/>
  <c r="Z198" i="1"/>
  <c r="AI198" i="1"/>
  <c r="AJ198" i="1"/>
  <c r="AL197" i="1"/>
  <c r="AA197" i="1"/>
  <c r="AW197" i="1"/>
  <c r="Y197" i="1"/>
  <c r="BB197" i="1"/>
  <c r="BC197" i="1" s="1"/>
  <c r="AO197" i="1"/>
  <c r="AP197" i="1" s="1"/>
  <c r="AQ197" i="1"/>
  <c r="AR197" i="1" s="1"/>
  <c r="AD197" i="1"/>
  <c r="AE197" i="1" s="1"/>
  <c r="AF197" i="1"/>
  <c r="AG197" i="1" s="1"/>
  <c r="AZ197" i="1"/>
  <c r="BA197" i="1" s="1"/>
  <c r="AK197" i="1"/>
  <c r="AV197" i="1"/>
  <c r="AT197" i="1"/>
  <c r="Z197" i="1"/>
  <c r="AI197" i="1"/>
  <c r="AJ197" i="1"/>
  <c r="X197" i="1"/>
  <c r="AU197" i="1"/>
  <c r="AU196" i="1"/>
  <c r="AK196" i="1"/>
  <c r="AZ196" i="1"/>
  <c r="BA196" i="1" s="1"/>
  <c r="AD196" i="1"/>
  <c r="AE196" i="1" s="1"/>
  <c r="AF196" i="1"/>
  <c r="AG196" i="1" s="1"/>
  <c r="AO196" i="1"/>
  <c r="AP196" i="1" s="1"/>
  <c r="BB196" i="1"/>
  <c r="BC196" i="1" s="1"/>
  <c r="AQ196" i="1"/>
  <c r="AR196" i="1" s="1"/>
  <c r="AV196" i="1"/>
  <c r="AJ196" i="1"/>
  <c r="AT196" i="1"/>
  <c r="Y196" i="1"/>
  <c r="AI196" i="1"/>
  <c r="AW196" i="1"/>
  <c r="X196" i="1"/>
  <c r="AA196" i="1"/>
  <c r="Z196" i="1"/>
  <c r="AL196" i="1"/>
  <c r="Z195" i="1"/>
  <c r="AA195" i="1"/>
  <c r="AW195" i="1"/>
  <c r="AL195" i="1"/>
  <c r="AU195" i="1"/>
  <c r="X195" i="1"/>
  <c r="BB195" i="1"/>
  <c r="BC195" i="1" s="1"/>
  <c r="AZ195" i="1"/>
  <c r="BA195" i="1" s="1"/>
  <c r="AO195" i="1"/>
  <c r="AP195" i="1" s="1"/>
  <c r="AF195" i="1"/>
  <c r="AG195" i="1" s="1"/>
  <c r="AD195" i="1"/>
  <c r="AE195" i="1" s="1"/>
  <c r="AQ195" i="1"/>
  <c r="AR195" i="1" s="1"/>
  <c r="AV195" i="1"/>
  <c r="AI195" i="1"/>
  <c r="AJ195" i="1"/>
  <c r="AK195" i="1"/>
  <c r="AT195" i="1"/>
  <c r="Y195" i="1"/>
  <c r="AJ194" i="1"/>
  <c r="AQ194" i="1"/>
  <c r="AR194" i="1" s="1"/>
  <c r="BB194" i="1"/>
  <c r="BC194" i="1" s="1"/>
  <c r="AF194" i="1"/>
  <c r="AG194" i="1" s="1"/>
  <c r="AO194" i="1"/>
  <c r="AP194" i="1" s="1"/>
  <c r="AD194" i="1"/>
  <c r="AE194" i="1" s="1"/>
  <c r="AZ194" i="1"/>
  <c r="BA194" i="1" s="1"/>
  <c r="Z194" i="1"/>
  <c r="AV194" i="1"/>
  <c r="Y194" i="1"/>
  <c r="AL194" i="1"/>
  <c r="AU194" i="1"/>
  <c r="AW194" i="1"/>
  <c r="AI194" i="1"/>
  <c r="AA194" i="1"/>
  <c r="X194" i="1"/>
  <c r="AK194" i="1"/>
  <c r="AT194" i="1"/>
  <c r="AT193" i="1"/>
  <c r="X193" i="1"/>
  <c r="AV193" i="1"/>
  <c r="AD193" i="1"/>
  <c r="AE193" i="1" s="1"/>
  <c r="AQ193" i="1"/>
  <c r="AR193" i="1" s="1"/>
  <c r="BB193" i="1"/>
  <c r="BC193" i="1" s="1"/>
  <c r="AF193" i="1"/>
  <c r="AG193" i="1" s="1"/>
  <c r="AZ193" i="1"/>
  <c r="BA193" i="1" s="1"/>
  <c r="AO193" i="1"/>
  <c r="AP193" i="1" s="1"/>
  <c r="AJ193" i="1"/>
  <c r="AW193" i="1"/>
  <c r="AK193" i="1"/>
  <c r="AU193" i="1"/>
  <c r="AL193" i="1"/>
  <c r="Y193" i="1"/>
  <c r="AA193" i="1"/>
  <c r="AI193" i="1"/>
  <c r="Z193" i="1"/>
  <c r="Y192" i="1"/>
  <c r="Z192" i="1"/>
  <c r="AA192" i="1"/>
  <c r="AD192" i="1"/>
  <c r="AE192" i="1" s="1"/>
  <c r="BB192" i="1"/>
  <c r="BC192" i="1" s="1"/>
  <c r="AZ192" i="1"/>
  <c r="BA192" i="1" s="1"/>
  <c r="AO192" i="1"/>
  <c r="AP192" i="1" s="1"/>
  <c r="AQ192" i="1"/>
  <c r="AR192" i="1" s="1"/>
  <c r="AF192" i="1"/>
  <c r="AG192" i="1" s="1"/>
  <c r="AW192" i="1"/>
  <c r="AL192" i="1"/>
  <c r="AI192" i="1"/>
  <c r="AJ192" i="1"/>
  <c r="AK192" i="1"/>
  <c r="AT192" i="1"/>
  <c r="AV192" i="1"/>
  <c r="AU192" i="1"/>
  <c r="X192" i="1"/>
  <c r="Z191" i="1"/>
  <c r="Y191" i="1"/>
  <c r="AZ191" i="1"/>
  <c r="BA191" i="1" s="1"/>
  <c r="AQ191" i="1"/>
  <c r="AR191" i="1" s="1"/>
  <c r="AO191" i="1"/>
  <c r="AP191" i="1" s="1"/>
  <c r="BB191" i="1"/>
  <c r="BC191" i="1" s="1"/>
  <c r="AF191" i="1"/>
  <c r="AG191" i="1" s="1"/>
  <c r="AD191" i="1"/>
  <c r="AE191" i="1" s="1"/>
  <c r="AK191" i="1"/>
  <c r="Z190" i="1"/>
  <c r="AJ191" i="1"/>
  <c r="AI191" i="1"/>
  <c r="AV191" i="1"/>
  <c r="AT191" i="1"/>
  <c r="AL191" i="1"/>
  <c r="X191" i="1"/>
  <c r="AW191" i="1"/>
  <c r="AU191" i="1"/>
  <c r="AA191" i="1"/>
  <c r="AU190" i="1"/>
  <c r="AJ190" i="1"/>
  <c r="AO190" i="1"/>
  <c r="AP190" i="1" s="1"/>
  <c r="AD190" i="1"/>
  <c r="AE190" i="1" s="1"/>
  <c r="BB190" i="1"/>
  <c r="BC190" i="1" s="1"/>
  <c r="AZ190" i="1"/>
  <c r="BA190" i="1" s="1"/>
  <c r="AF190" i="1"/>
  <c r="AG190" i="1" s="1"/>
  <c r="AQ190" i="1"/>
  <c r="AR190" i="1" s="1"/>
  <c r="AK190" i="1"/>
  <c r="AI190" i="1"/>
  <c r="Y190" i="1"/>
  <c r="X190" i="1"/>
  <c r="AL190" i="1"/>
  <c r="AT190" i="1"/>
  <c r="AW190" i="1"/>
  <c r="AV190" i="1"/>
  <c r="AA190" i="1"/>
  <c r="AJ189" i="1"/>
  <c r="AA189" i="1"/>
  <c r="AU189" i="1"/>
  <c r="AW189" i="1"/>
  <c r="AK189" i="1"/>
  <c r="Y189" i="1"/>
  <c r="AZ189" i="1"/>
  <c r="BA189" i="1" s="1"/>
  <c r="AO189" i="1"/>
  <c r="AP189" i="1" s="1"/>
  <c r="AF189" i="1"/>
  <c r="AG189" i="1" s="1"/>
  <c r="BB189" i="1"/>
  <c r="BC189" i="1" s="1"/>
  <c r="AQ189" i="1"/>
  <c r="AR189" i="1" s="1"/>
  <c r="AD189" i="1"/>
  <c r="AE189" i="1" s="1"/>
  <c r="AT189" i="1"/>
  <c r="AI189" i="1"/>
  <c r="Z189" i="1"/>
  <c r="X189" i="1"/>
  <c r="AV189" i="1"/>
  <c r="AL189" i="1"/>
  <c r="Y188" i="1"/>
  <c r="AJ188" i="1"/>
  <c r="AI188" i="1"/>
  <c r="BB188" i="1"/>
  <c r="BC188" i="1" s="1"/>
  <c r="AF188" i="1"/>
  <c r="AG188" i="1" s="1"/>
  <c r="AD188" i="1"/>
  <c r="AE188" i="1" s="1"/>
  <c r="AO188" i="1"/>
  <c r="AP188" i="1" s="1"/>
  <c r="AQ188" i="1"/>
  <c r="AR188" i="1" s="1"/>
  <c r="AZ188" i="1"/>
  <c r="BA188" i="1" s="1"/>
  <c r="AV188" i="1"/>
  <c r="Z188" i="1"/>
  <c r="X188" i="1"/>
  <c r="AT188" i="1"/>
  <c r="AW188" i="1"/>
  <c r="AK188" i="1"/>
  <c r="AA188" i="1"/>
  <c r="AU188" i="1"/>
  <c r="AL188" i="1"/>
  <c r="AV187" i="1"/>
  <c r="AU187" i="1"/>
  <c r="AL187" i="1"/>
  <c r="AK187" i="1"/>
  <c r="X187" i="1"/>
  <c r="BB187" i="1"/>
  <c r="BC187" i="1" s="1"/>
  <c r="AD187" i="1"/>
  <c r="AE187" i="1" s="1"/>
  <c r="AZ187" i="1"/>
  <c r="BA187" i="1" s="1"/>
  <c r="AO187" i="1"/>
  <c r="AP187" i="1" s="1"/>
  <c r="AF187" i="1"/>
  <c r="AG187" i="1" s="1"/>
  <c r="AQ187" i="1"/>
  <c r="AR187" i="1" s="1"/>
  <c r="AT187" i="1"/>
  <c r="AA187" i="1"/>
  <c r="Z187" i="1"/>
  <c r="AI187" i="1"/>
  <c r="Y187" i="1"/>
  <c r="AJ187" i="1"/>
  <c r="AW187" i="1"/>
  <c r="AL186" i="1"/>
  <c r="AJ186" i="1"/>
  <c r="AV186" i="1"/>
  <c r="Y186" i="1"/>
  <c r="AZ186" i="1"/>
  <c r="BA186" i="1" s="1"/>
  <c r="AD186" i="1"/>
  <c r="AE186" i="1" s="1"/>
  <c r="AF186" i="1"/>
  <c r="AG186" i="1" s="1"/>
  <c r="AO186" i="1"/>
  <c r="AP186" i="1" s="1"/>
  <c r="AQ186" i="1"/>
  <c r="AR186" i="1" s="1"/>
  <c r="BB186" i="1"/>
  <c r="BC186" i="1" s="1"/>
  <c r="AK186" i="1"/>
  <c r="Z186" i="1"/>
  <c r="AI186" i="1"/>
  <c r="AU186" i="1"/>
  <c r="AT186" i="1"/>
  <c r="AA186" i="1"/>
  <c r="X186" i="1"/>
  <c r="AW186" i="1"/>
  <c r="AI185" i="1"/>
  <c r="X185" i="1"/>
  <c r="AQ185" i="1"/>
  <c r="AR185" i="1" s="1"/>
  <c r="AZ185" i="1"/>
  <c r="BA185" i="1" s="1"/>
  <c r="BB185" i="1"/>
  <c r="BC185" i="1" s="1"/>
  <c r="AO185" i="1"/>
  <c r="AP185" i="1" s="1"/>
  <c r="AD185" i="1"/>
  <c r="AE185" i="1" s="1"/>
  <c r="AF185" i="1"/>
  <c r="AG185" i="1" s="1"/>
  <c r="Z185" i="1"/>
  <c r="AK185" i="1"/>
  <c r="AU185" i="1"/>
  <c r="AJ185" i="1"/>
  <c r="AW185" i="1"/>
  <c r="AA185" i="1"/>
  <c r="AV185" i="1"/>
  <c r="AL185" i="1"/>
  <c r="AT185" i="1"/>
  <c r="Y185" i="1"/>
  <c r="AL184" i="1"/>
  <c r="AJ184" i="1"/>
  <c r="AU184" i="1"/>
  <c r="Z184" i="1"/>
  <c r="AK184" i="1"/>
  <c r="BB184" i="1"/>
  <c r="BC184" i="1" s="1"/>
  <c r="AF184" i="1"/>
  <c r="AG184" i="1" s="1"/>
  <c r="AO184" i="1"/>
  <c r="AP184" i="1" s="1"/>
  <c r="AZ184" i="1"/>
  <c r="BA184" i="1" s="1"/>
  <c r="AQ184" i="1"/>
  <c r="AR184" i="1" s="1"/>
  <c r="AD184" i="1"/>
  <c r="AE184" i="1" s="1"/>
  <c r="Y184" i="1"/>
  <c r="AT184" i="1"/>
  <c r="AV184" i="1"/>
  <c r="AI184" i="1"/>
  <c r="AA184" i="1"/>
  <c r="X184" i="1"/>
  <c r="AW184" i="1"/>
  <c r="Y183" i="1"/>
  <c r="AU183" i="1"/>
  <c r="AZ183" i="1"/>
  <c r="BA183" i="1" s="1"/>
  <c r="AQ183" i="1"/>
  <c r="AR183" i="1" s="1"/>
  <c r="AD183" i="1"/>
  <c r="AE183" i="1" s="1"/>
  <c r="AF183" i="1"/>
  <c r="AG183" i="1" s="1"/>
  <c r="AO183" i="1"/>
  <c r="AP183" i="1" s="1"/>
  <c r="BB183" i="1"/>
  <c r="BC183" i="1" s="1"/>
  <c r="AA183" i="1"/>
  <c r="AK183" i="1"/>
  <c r="AW183" i="1"/>
  <c r="AL183" i="1"/>
  <c r="Z183" i="1"/>
  <c r="X183" i="1"/>
  <c r="AV183" i="1"/>
  <c r="AI183" i="1"/>
  <c r="AJ183" i="1"/>
  <c r="AT183" i="1"/>
  <c r="AA182" i="1"/>
  <c r="AV182" i="1"/>
  <c r="AU182" i="1"/>
  <c r="Z182" i="1"/>
  <c r="AZ182" i="1"/>
  <c r="BA182" i="1" s="1"/>
  <c r="AQ182" i="1"/>
  <c r="AR182" i="1" s="1"/>
  <c r="AF182" i="1"/>
  <c r="AG182" i="1" s="1"/>
  <c r="AO182" i="1"/>
  <c r="AP182" i="1" s="1"/>
  <c r="AD182" i="1"/>
  <c r="AE182" i="1" s="1"/>
  <c r="BB182" i="1"/>
  <c r="BC182" i="1" s="1"/>
  <c r="AT182" i="1"/>
  <c r="AJ182" i="1"/>
  <c r="AW182" i="1"/>
  <c r="AI182" i="1"/>
  <c r="X182" i="1"/>
  <c r="Y182" i="1"/>
  <c r="AK182" i="1"/>
  <c r="AL182" i="1"/>
  <c r="AU181" i="1"/>
  <c r="AV181" i="1"/>
  <c r="AA181" i="1"/>
  <c r="Y181" i="1"/>
  <c r="AF181" i="1"/>
  <c r="AG181" i="1" s="1"/>
  <c r="AQ181" i="1"/>
  <c r="AR181" i="1" s="1"/>
  <c r="AZ181" i="1"/>
  <c r="BA181" i="1" s="1"/>
  <c r="AD181" i="1"/>
  <c r="AE181" i="1" s="1"/>
  <c r="AO181" i="1"/>
  <c r="AP181" i="1" s="1"/>
  <c r="BB181" i="1"/>
  <c r="BC181" i="1" s="1"/>
  <c r="Z181" i="1"/>
  <c r="AK181" i="1"/>
  <c r="AT181" i="1"/>
  <c r="AJ181" i="1"/>
  <c r="AI181" i="1"/>
  <c r="AW181" i="1"/>
  <c r="X181" i="1"/>
  <c r="AL181" i="1"/>
  <c r="Z180" i="1"/>
  <c r="AW180" i="1"/>
  <c r="AA180" i="1"/>
  <c r="AL180" i="1"/>
  <c r="AK180" i="1"/>
  <c r="AO180" i="1"/>
  <c r="AP180" i="1" s="1"/>
  <c r="AQ180" i="1"/>
  <c r="AR180" i="1" s="1"/>
  <c r="AD180" i="1"/>
  <c r="AE180" i="1" s="1"/>
  <c r="BB180" i="1"/>
  <c r="BC180" i="1" s="1"/>
  <c r="AF180" i="1"/>
  <c r="AG180" i="1" s="1"/>
  <c r="AZ180" i="1"/>
  <c r="BA180" i="1" s="1"/>
  <c r="AU180" i="1"/>
  <c r="X180" i="1"/>
  <c r="AJ180" i="1"/>
  <c r="AI180" i="1"/>
  <c r="Y180" i="1"/>
  <c r="AT180" i="1"/>
  <c r="AV180" i="1"/>
  <c r="AL179" i="1"/>
  <c r="AK179" i="1"/>
  <c r="AA179" i="1"/>
  <c r="AW179" i="1"/>
  <c r="AQ179" i="1"/>
  <c r="AR179" i="1" s="1"/>
  <c r="AO179" i="1"/>
  <c r="AP179" i="1" s="1"/>
  <c r="AZ179" i="1"/>
  <c r="BA179" i="1" s="1"/>
  <c r="AF179" i="1"/>
  <c r="AG179" i="1" s="1"/>
  <c r="AD179" i="1"/>
  <c r="AE179" i="1" s="1"/>
  <c r="BB179" i="1"/>
  <c r="BC179" i="1" s="1"/>
  <c r="AV179" i="1"/>
  <c r="AA178" i="1"/>
  <c r="Y179" i="1"/>
  <c r="AI179" i="1"/>
  <c r="AU179" i="1"/>
  <c r="AT179" i="1"/>
  <c r="AJ179" i="1"/>
  <c r="X179" i="1"/>
  <c r="Z179" i="1"/>
  <c r="Y178" i="1"/>
  <c r="AW178" i="1"/>
  <c r="AL178" i="1"/>
  <c r="AU178" i="1"/>
  <c r="AZ178" i="1"/>
  <c r="BA178" i="1" s="1"/>
  <c r="BB178" i="1"/>
  <c r="BC178" i="1" s="1"/>
  <c r="AQ178" i="1"/>
  <c r="AR178" i="1" s="1"/>
  <c r="AD178" i="1"/>
  <c r="AE178" i="1" s="1"/>
  <c r="AF178" i="1"/>
  <c r="AG178" i="1" s="1"/>
  <c r="AO178" i="1"/>
  <c r="AP178" i="1" s="1"/>
  <c r="AV178" i="1"/>
  <c r="AI178" i="1"/>
  <c r="Z178" i="1"/>
  <c r="AT178" i="1"/>
  <c r="AJ178" i="1"/>
  <c r="X178" i="1"/>
  <c r="AK178" i="1"/>
  <c r="AJ177" i="1"/>
  <c r="Z177" i="1"/>
  <c r="Y177" i="1"/>
  <c r="AA177" i="1"/>
  <c r="AI177" i="1"/>
  <c r="AW177" i="1"/>
  <c r="AZ177" i="1"/>
  <c r="BA177" i="1" s="1"/>
  <c r="AF177" i="1"/>
  <c r="AG177" i="1" s="1"/>
  <c r="AO177" i="1"/>
  <c r="AP177" i="1" s="1"/>
  <c r="BB177" i="1"/>
  <c r="BC177" i="1" s="1"/>
  <c r="AD177" i="1"/>
  <c r="AE177" i="1" s="1"/>
  <c r="AQ177" i="1"/>
  <c r="AR177" i="1" s="1"/>
  <c r="X177" i="1"/>
  <c r="AT177" i="1"/>
  <c r="AV177" i="1"/>
  <c r="AU177" i="1"/>
  <c r="AK177" i="1"/>
  <c r="AL177" i="1"/>
  <c r="AV176" i="1"/>
  <c r="AJ176" i="1"/>
  <c r="AU176" i="1"/>
  <c r="AW176" i="1"/>
  <c r="Z176" i="1"/>
  <c r="BB176" i="1"/>
  <c r="BC176" i="1" s="1"/>
  <c r="AF176" i="1"/>
  <c r="AG176" i="1" s="1"/>
  <c r="AO176" i="1"/>
  <c r="AP176" i="1" s="1"/>
  <c r="AD176" i="1"/>
  <c r="AE176" i="1" s="1"/>
  <c r="AQ176" i="1"/>
  <c r="AR176" i="1" s="1"/>
  <c r="AZ176" i="1"/>
  <c r="BA176" i="1" s="1"/>
  <c r="Y176" i="1"/>
  <c r="AI176" i="1"/>
  <c r="AK176" i="1"/>
  <c r="X176" i="1"/>
  <c r="AA176" i="1"/>
  <c r="AT176" i="1"/>
  <c r="AL176" i="1"/>
  <c r="AL175" i="1"/>
  <c r="AJ175" i="1"/>
  <c r="AV175" i="1"/>
  <c r="AU175" i="1"/>
  <c r="AI175" i="1"/>
  <c r="BB175" i="1"/>
  <c r="BC175" i="1" s="1"/>
  <c r="AD175" i="1"/>
  <c r="AE175" i="1" s="1"/>
  <c r="AF175" i="1"/>
  <c r="AG175" i="1" s="1"/>
  <c r="AO175" i="1"/>
  <c r="AP175" i="1" s="1"/>
  <c r="AZ175" i="1"/>
  <c r="BA175" i="1" s="1"/>
  <c r="AQ175" i="1"/>
  <c r="AR175" i="1" s="1"/>
  <c r="X175" i="1"/>
  <c r="Y175" i="1"/>
  <c r="AT175" i="1"/>
  <c r="Z175" i="1"/>
  <c r="AW175" i="1"/>
  <c r="AK175" i="1"/>
  <c r="AA175" i="1"/>
  <c r="AT174" i="1"/>
  <c r="AI174" i="1"/>
  <c r="Y174" i="1"/>
  <c r="AZ174" i="1"/>
  <c r="BA174" i="1" s="1"/>
  <c r="BB174" i="1"/>
  <c r="BC174" i="1" s="1"/>
  <c r="AD174" i="1"/>
  <c r="AE174" i="1" s="1"/>
  <c r="AF174" i="1"/>
  <c r="AG174" i="1" s="1"/>
  <c r="AQ174" i="1"/>
  <c r="AR174" i="1" s="1"/>
  <c r="AO174" i="1"/>
  <c r="AP174" i="1" s="1"/>
  <c r="AV174" i="1"/>
  <c r="AW174" i="1"/>
  <c r="Z174" i="1"/>
  <c r="AL174" i="1"/>
  <c r="AU174" i="1"/>
  <c r="AA174" i="1"/>
  <c r="AJ174" i="1"/>
  <c r="X174" i="1"/>
  <c r="AK174" i="1"/>
  <c r="AV173" i="1"/>
  <c r="AU173" i="1"/>
  <c r="AJ173" i="1"/>
  <c r="AO173" i="1"/>
  <c r="AP173" i="1" s="1"/>
  <c r="AQ173" i="1"/>
  <c r="AR173" i="1" s="1"/>
  <c r="AZ173" i="1"/>
  <c r="BA173" i="1" s="1"/>
  <c r="AF173" i="1"/>
  <c r="AG173" i="1" s="1"/>
  <c r="AD173" i="1"/>
  <c r="AE173" i="1" s="1"/>
  <c r="BB173" i="1"/>
  <c r="BC173" i="1" s="1"/>
  <c r="Y173" i="1"/>
  <c r="Z173" i="1"/>
  <c r="AA173" i="1"/>
  <c r="AT173" i="1"/>
  <c r="AI173" i="1"/>
  <c r="AL173" i="1"/>
  <c r="X173" i="1"/>
  <c r="AK173" i="1"/>
  <c r="AW173" i="1"/>
  <c r="AW172" i="1"/>
  <c r="AL172" i="1"/>
  <c r="AQ172" i="1"/>
  <c r="AR172" i="1" s="1"/>
  <c r="AF172" i="1"/>
  <c r="AG172" i="1" s="1"/>
  <c r="AZ172" i="1"/>
  <c r="BA172" i="1" s="1"/>
  <c r="AO172" i="1"/>
  <c r="AP172" i="1" s="1"/>
  <c r="BB172" i="1"/>
  <c r="BC172" i="1" s="1"/>
  <c r="AD172" i="1"/>
  <c r="AE172" i="1" s="1"/>
  <c r="AJ172" i="1"/>
  <c r="AU172" i="1"/>
  <c r="X172" i="1"/>
  <c r="AV172" i="1"/>
  <c r="AI172" i="1"/>
  <c r="Y172" i="1"/>
  <c r="AT172" i="1"/>
  <c r="Z172" i="1"/>
  <c r="AA172" i="1"/>
  <c r="AK172" i="1"/>
  <c r="Z171" i="1"/>
  <c r="Y171" i="1"/>
  <c r="AV171" i="1"/>
  <c r="AF171" i="1"/>
  <c r="AG171" i="1" s="1"/>
  <c r="AD171" i="1"/>
  <c r="AE171" i="1" s="1"/>
  <c r="AZ171" i="1"/>
  <c r="BA171" i="1" s="1"/>
  <c r="BB171" i="1"/>
  <c r="BC171" i="1" s="1"/>
  <c r="AO171" i="1"/>
  <c r="AP171" i="1" s="1"/>
  <c r="AQ171" i="1"/>
  <c r="AR171" i="1" s="1"/>
  <c r="AI171" i="1"/>
  <c r="AT171" i="1"/>
  <c r="AL171" i="1"/>
  <c r="AK171" i="1"/>
  <c r="AU171" i="1"/>
  <c r="AA171" i="1"/>
  <c r="X171" i="1"/>
  <c r="AJ171" i="1"/>
  <c r="AW171" i="1"/>
  <c r="AW170" i="1"/>
  <c r="AA170" i="1"/>
  <c r="AL170" i="1"/>
  <c r="AK170" i="1"/>
  <c r="AU170" i="1"/>
  <c r="AQ170" i="1"/>
  <c r="AR170" i="1" s="1"/>
  <c r="AF170" i="1"/>
  <c r="AG170" i="1" s="1"/>
  <c r="AO170" i="1"/>
  <c r="AP170" i="1" s="1"/>
  <c r="AZ170" i="1"/>
  <c r="BA170" i="1" s="1"/>
  <c r="BB170" i="1"/>
  <c r="BC170" i="1" s="1"/>
  <c r="AD170" i="1"/>
  <c r="AE170" i="1" s="1"/>
  <c r="Z170" i="1"/>
  <c r="X170" i="1"/>
  <c r="AJ170" i="1"/>
  <c r="AT170" i="1"/>
  <c r="Y170" i="1"/>
  <c r="AI170" i="1"/>
  <c r="AV170" i="1"/>
  <c r="Z169" i="1"/>
  <c r="AA169" i="1"/>
  <c r="AL169" i="1"/>
  <c r="AF169" i="1"/>
  <c r="AG169" i="1" s="1"/>
  <c r="AD169" i="1"/>
  <c r="AE169" i="1" s="1"/>
  <c r="BB169" i="1"/>
  <c r="BC169" i="1" s="1"/>
  <c r="AO169" i="1"/>
  <c r="AP169" i="1" s="1"/>
  <c r="AQ169" i="1"/>
  <c r="AR169" i="1" s="1"/>
  <c r="AZ169" i="1"/>
  <c r="BA169" i="1" s="1"/>
  <c r="AV169" i="1"/>
  <c r="AT169" i="1"/>
  <c r="AU169" i="1"/>
  <c r="AI169" i="1"/>
  <c r="Y169" i="1"/>
  <c r="X169" i="1"/>
  <c r="AK169" i="1"/>
  <c r="AW169" i="1"/>
  <c r="AJ169" i="1"/>
  <c r="Y168" i="1"/>
  <c r="AA168" i="1"/>
  <c r="AL168" i="1"/>
  <c r="AW168" i="1"/>
  <c r="Z168" i="1"/>
  <c r="AZ168" i="1"/>
  <c r="BA168" i="1" s="1"/>
  <c r="AF168" i="1"/>
  <c r="AG168" i="1" s="1"/>
  <c r="AQ168" i="1"/>
  <c r="AR168" i="1" s="1"/>
  <c r="AO168" i="1"/>
  <c r="AP168" i="1" s="1"/>
  <c r="AD168" i="1"/>
  <c r="AE168" i="1" s="1"/>
  <c r="BB168" i="1"/>
  <c r="BC168" i="1" s="1"/>
  <c r="AK168" i="1"/>
  <c r="X168" i="1"/>
  <c r="AU168" i="1"/>
  <c r="AT168" i="1"/>
  <c r="AV168" i="1"/>
  <c r="AI168" i="1"/>
  <c r="AJ168" i="1"/>
  <c r="Y167" i="1"/>
  <c r="AJ167" i="1"/>
  <c r="AZ167" i="1"/>
  <c r="BA167" i="1" s="1"/>
  <c r="AO167" i="1"/>
  <c r="AP167" i="1" s="1"/>
  <c r="BB167" i="1"/>
  <c r="BC167" i="1" s="1"/>
  <c r="AF167" i="1"/>
  <c r="AG167" i="1" s="1"/>
  <c r="AD167" i="1"/>
  <c r="AE167" i="1" s="1"/>
  <c r="AQ167" i="1"/>
  <c r="AR167" i="1" s="1"/>
  <c r="AU167" i="1"/>
  <c r="AK167" i="1"/>
  <c r="AT167" i="1"/>
  <c r="Z167" i="1"/>
  <c r="AI167" i="1"/>
  <c r="AA167" i="1"/>
  <c r="X167" i="1"/>
  <c r="AW167" i="1"/>
  <c r="AV167" i="1"/>
  <c r="AL167" i="1"/>
  <c r="AT166" i="1"/>
  <c r="AI166" i="1"/>
  <c r="X166" i="1"/>
  <c r="AA166" i="1"/>
  <c r="AV166" i="1"/>
  <c r="Y166" i="1"/>
  <c r="AW166" i="1"/>
  <c r="AJ166" i="1"/>
  <c r="AL166" i="1"/>
  <c r="AF166" i="1"/>
  <c r="AG166" i="1" s="1"/>
  <c r="AO166" i="1"/>
  <c r="AP166" i="1" s="1"/>
  <c r="AZ166" i="1"/>
  <c r="BA166" i="1" s="1"/>
  <c r="AQ166" i="1"/>
  <c r="AR166" i="1" s="1"/>
  <c r="BB166" i="1"/>
  <c r="BC166" i="1" s="1"/>
  <c r="AD166" i="1"/>
  <c r="AE166" i="1" s="1"/>
  <c r="AK166" i="1"/>
  <c r="AU166" i="1"/>
  <c r="Z166" i="1"/>
  <c r="AK165" i="1"/>
  <c r="AU165" i="1"/>
  <c r="AJ165" i="1"/>
  <c r="AQ165" i="1"/>
  <c r="AR165" i="1" s="1"/>
  <c r="AF165" i="1"/>
  <c r="AG165" i="1" s="1"/>
  <c r="AO165" i="1"/>
  <c r="AP165" i="1" s="1"/>
  <c r="BB165" i="1"/>
  <c r="BC165" i="1" s="1"/>
  <c r="AZ165" i="1"/>
  <c r="BA165" i="1" s="1"/>
  <c r="AD165" i="1"/>
  <c r="AE165" i="1" s="1"/>
  <c r="Y165" i="1"/>
  <c r="AI165" i="1"/>
  <c r="Z165" i="1"/>
  <c r="AT165" i="1"/>
  <c r="AW165" i="1"/>
  <c r="X165" i="1"/>
  <c r="AL165" i="1"/>
  <c r="AV165" i="1"/>
  <c r="AA165" i="1"/>
  <c r="AU164" i="1"/>
  <c r="AK164" i="1"/>
  <c r="AV164" i="1"/>
  <c r="AJ164" i="1"/>
  <c r="AL164" i="1"/>
  <c r="AA164" i="1"/>
  <c r="AO164" i="1"/>
  <c r="AP164" i="1" s="1"/>
  <c r="AD164" i="1"/>
  <c r="AE164" i="1" s="1"/>
  <c r="AF164" i="1"/>
  <c r="AG164" i="1" s="1"/>
  <c r="AZ164" i="1"/>
  <c r="BA164" i="1" s="1"/>
  <c r="BB164" i="1"/>
  <c r="BC164" i="1" s="1"/>
  <c r="AQ164" i="1"/>
  <c r="AR164" i="1" s="1"/>
  <c r="Z164" i="1"/>
  <c r="X164" i="1"/>
  <c r="AT164" i="1"/>
  <c r="AI164" i="1"/>
  <c r="Y164" i="1"/>
  <c r="AW164" i="1"/>
  <c r="AT163" i="1"/>
  <c r="X163" i="1"/>
  <c r="Y163" i="1"/>
  <c r="AD163" i="1"/>
  <c r="AE163" i="1" s="1"/>
  <c r="BB163" i="1"/>
  <c r="BC163" i="1" s="1"/>
  <c r="AQ163" i="1"/>
  <c r="AR163" i="1" s="1"/>
  <c r="AF163" i="1"/>
  <c r="AG163" i="1" s="1"/>
  <c r="AO163" i="1"/>
  <c r="AP163" i="1" s="1"/>
  <c r="AZ163" i="1"/>
  <c r="BA163" i="1" s="1"/>
  <c r="AV163" i="1"/>
  <c r="AA163" i="1"/>
  <c r="Z163" i="1"/>
  <c r="AL163" i="1"/>
  <c r="AJ163" i="1"/>
  <c r="AW163" i="1"/>
  <c r="AU163" i="1"/>
  <c r="AI163" i="1"/>
  <c r="AK163" i="1"/>
  <c r="AK162" i="1"/>
  <c r="AL162" i="1"/>
  <c r="Y162" i="1"/>
  <c r="Z162" i="1"/>
  <c r="AF162" i="1"/>
  <c r="AG162" i="1" s="1"/>
  <c r="AQ162" i="1"/>
  <c r="AR162" i="1" s="1"/>
  <c r="AZ162" i="1"/>
  <c r="BA162" i="1" s="1"/>
  <c r="BB162" i="1"/>
  <c r="BC162" i="1" s="1"/>
  <c r="AO162" i="1"/>
  <c r="AP162" i="1" s="1"/>
  <c r="AD162" i="1"/>
  <c r="AE162" i="1" s="1"/>
  <c r="AU162" i="1"/>
  <c r="AV162" i="1"/>
  <c r="X162" i="1"/>
  <c r="AJ162" i="1"/>
  <c r="AT162" i="1"/>
  <c r="AA162" i="1"/>
  <c r="AI162" i="1"/>
  <c r="AW162" i="1"/>
  <c r="AL161" i="1"/>
  <c r="AW161" i="1"/>
  <c r="X161" i="1"/>
  <c r="AT161" i="1"/>
  <c r="AJ161" i="1"/>
  <c r="AZ161" i="1"/>
  <c r="BA161" i="1" s="1"/>
  <c r="AD161" i="1"/>
  <c r="AE161" i="1" s="1"/>
  <c r="BB161" i="1"/>
  <c r="BC161" i="1" s="1"/>
  <c r="AQ161" i="1"/>
  <c r="AR161" i="1" s="1"/>
  <c r="AF161" i="1"/>
  <c r="AG161" i="1" s="1"/>
  <c r="AO161" i="1"/>
  <c r="AP161" i="1" s="1"/>
  <c r="AU161" i="1"/>
  <c r="AV161" i="1"/>
  <c r="AK161" i="1"/>
  <c r="Z161" i="1"/>
  <c r="AI161" i="1"/>
  <c r="AA161" i="1"/>
  <c r="Y161" i="1"/>
  <c r="AL160" i="1"/>
  <c r="AU160" i="1"/>
  <c r="AA160" i="1"/>
  <c r="AW160" i="1"/>
  <c r="AJ160" i="1"/>
  <c r="AF160" i="1"/>
  <c r="AG160" i="1" s="1"/>
  <c r="AZ160" i="1"/>
  <c r="BA160" i="1" s="1"/>
  <c r="AQ160" i="1"/>
  <c r="AR160" i="1" s="1"/>
  <c r="AO160" i="1"/>
  <c r="AP160" i="1" s="1"/>
  <c r="BB160" i="1"/>
  <c r="BC160" i="1" s="1"/>
  <c r="AD160" i="1"/>
  <c r="AE160" i="1" s="1"/>
  <c r="AK160" i="1"/>
  <c r="AI160" i="1"/>
  <c r="Y160" i="1"/>
  <c r="AT160" i="1"/>
  <c r="Z160" i="1"/>
  <c r="X160" i="1"/>
  <c r="AV160" i="1"/>
  <c r="AL159" i="1"/>
  <c r="AA159" i="1"/>
  <c r="AV159" i="1"/>
  <c r="AW159" i="1"/>
  <c r="BB159" i="1"/>
  <c r="BC159" i="1" s="1"/>
  <c r="AZ159" i="1"/>
  <c r="BA159" i="1" s="1"/>
  <c r="AQ159" i="1"/>
  <c r="AR159" i="1" s="1"/>
  <c r="AO159" i="1"/>
  <c r="AP159" i="1" s="1"/>
  <c r="AD159" i="1"/>
  <c r="AE159" i="1" s="1"/>
  <c r="AF159" i="1"/>
  <c r="AG159" i="1" s="1"/>
  <c r="AU159" i="1"/>
  <c r="AJ159" i="1"/>
  <c r="AI159" i="1"/>
  <c r="AK159" i="1"/>
  <c r="AT159" i="1"/>
  <c r="Z159" i="1"/>
  <c r="X159" i="1"/>
  <c r="Y159" i="1"/>
  <c r="AU158" i="1"/>
  <c r="Z158" i="1"/>
  <c r="AA158" i="1"/>
  <c r="AL158" i="1"/>
  <c r="AQ158" i="1"/>
  <c r="AR158" i="1" s="1"/>
  <c r="AO158" i="1"/>
  <c r="AP158" i="1" s="1"/>
  <c r="AZ158" i="1"/>
  <c r="BA158" i="1" s="1"/>
  <c r="AD158" i="1"/>
  <c r="AE158" i="1" s="1"/>
  <c r="AF158" i="1"/>
  <c r="AG158" i="1" s="1"/>
  <c r="BB158" i="1"/>
  <c r="BC158" i="1" s="1"/>
  <c r="AV158" i="1"/>
  <c r="AJ158" i="1"/>
  <c r="AK158" i="1"/>
  <c r="AW158" i="1"/>
  <c r="AI158" i="1"/>
  <c r="X158" i="1"/>
  <c r="Y158" i="1"/>
  <c r="AT158" i="1"/>
  <c r="AU157" i="1"/>
  <c r="Y157" i="1"/>
  <c r="AT157" i="1"/>
  <c r="AI157" i="1"/>
  <c r="X157" i="1"/>
  <c r="AO157" i="1"/>
  <c r="AP157" i="1" s="1"/>
  <c r="BB157" i="1"/>
  <c r="BC157" i="1" s="1"/>
  <c r="AZ157" i="1"/>
  <c r="BA157" i="1" s="1"/>
  <c r="AF157" i="1"/>
  <c r="AG157" i="1" s="1"/>
  <c r="AD157" i="1"/>
  <c r="AE157" i="1" s="1"/>
  <c r="AQ157" i="1"/>
  <c r="AR157" i="1" s="1"/>
  <c r="AK157" i="1"/>
  <c r="AA157" i="1"/>
  <c r="AJ157" i="1"/>
  <c r="AL157" i="1"/>
  <c r="AV157" i="1"/>
  <c r="AW157" i="1"/>
  <c r="Z157" i="1"/>
  <c r="AT156" i="1"/>
  <c r="AA156" i="1"/>
  <c r="AK156" i="1"/>
  <c r="AL156" i="1"/>
  <c r="Z156" i="1"/>
  <c r="AU156" i="1"/>
  <c r="AO156" i="1"/>
  <c r="AP156" i="1" s="1"/>
  <c r="AQ156" i="1"/>
  <c r="AR156" i="1" s="1"/>
  <c r="AD156" i="1"/>
  <c r="AE156" i="1" s="1"/>
  <c r="BB156" i="1"/>
  <c r="BC156" i="1" s="1"/>
  <c r="AF156" i="1"/>
  <c r="AG156" i="1" s="1"/>
  <c r="AZ156" i="1"/>
  <c r="BA156" i="1" s="1"/>
  <c r="Y156" i="1"/>
  <c r="AV156" i="1"/>
  <c r="AI156" i="1"/>
  <c r="AJ156" i="1"/>
  <c r="X156" i="1"/>
  <c r="AW156" i="1"/>
  <c r="AK155" i="1"/>
  <c r="AW155" i="1"/>
  <c r="AL155" i="1"/>
  <c r="AA155" i="1"/>
  <c r="AV155" i="1"/>
  <c r="AO155" i="1"/>
  <c r="AP155" i="1" s="1"/>
  <c r="AZ155" i="1"/>
  <c r="BA155" i="1" s="1"/>
  <c r="BB155" i="1"/>
  <c r="BC155" i="1" s="1"/>
  <c r="AD155" i="1"/>
  <c r="AE155" i="1" s="1"/>
  <c r="AQ155" i="1"/>
  <c r="AR155" i="1" s="1"/>
  <c r="AF155" i="1"/>
  <c r="AG155" i="1" s="1"/>
  <c r="AU155" i="1"/>
  <c r="AI155" i="1"/>
  <c r="AJ155" i="1"/>
  <c r="X155" i="1"/>
  <c r="Y155" i="1"/>
  <c r="AT155" i="1"/>
  <c r="Z155" i="1"/>
  <c r="AA154" i="1"/>
  <c r="AW154" i="1"/>
  <c r="AL154" i="1"/>
  <c r="AK154" i="1"/>
  <c r="Y154" i="1"/>
  <c r="AO154" i="1"/>
  <c r="AP154" i="1" s="1"/>
  <c r="AF154" i="1"/>
  <c r="AG154" i="1" s="1"/>
  <c r="AD154" i="1"/>
  <c r="AE154" i="1" s="1"/>
  <c r="BB154" i="1"/>
  <c r="BC154" i="1" s="1"/>
  <c r="AZ154" i="1"/>
  <c r="BA154" i="1" s="1"/>
  <c r="AQ154" i="1"/>
  <c r="AR154" i="1" s="1"/>
  <c r="AJ154" i="1"/>
  <c r="AT154" i="1"/>
  <c r="AU154" i="1"/>
  <c r="AI154" i="1"/>
  <c r="Z154" i="1"/>
  <c r="X154" i="1"/>
  <c r="AV154" i="1"/>
  <c r="AA153" i="1"/>
  <c r="AL153" i="1"/>
  <c r="AW153" i="1"/>
  <c r="Y153" i="1"/>
  <c r="BB153" i="1"/>
  <c r="BC153" i="1" s="1"/>
  <c r="AO153" i="1"/>
  <c r="AP153" i="1" s="1"/>
  <c r="AD153" i="1"/>
  <c r="AE153" i="1" s="1"/>
  <c r="AZ153" i="1"/>
  <c r="BA153" i="1" s="1"/>
  <c r="AF153" i="1"/>
  <c r="AG153" i="1" s="1"/>
  <c r="AQ153" i="1"/>
  <c r="AR153" i="1" s="1"/>
  <c r="AV153" i="1"/>
  <c r="AU153" i="1"/>
  <c r="X153" i="1"/>
  <c r="AK153" i="1"/>
  <c r="AT153" i="1"/>
  <c r="AJ153" i="1"/>
  <c r="AI153" i="1"/>
  <c r="Z153" i="1"/>
  <c r="AI152" i="1"/>
  <c r="Z152" i="1"/>
  <c r="AA152" i="1"/>
  <c r="Y152" i="1"/>
  <c r="AW152" i="1"/>
  <c r="AL152" i="1"/>
  <c r="AQ152" i="1"/>
  <c r="AR152" i="1" s="1"/>
  <c r="AZ152" i="1"/>
  <c r="BA152" i="1" s="1"/>
  <c r="AF152" i="1"/>
  <c r="AG152" i="1" s="1"/>
  <c r="AO152" i="1"/>
  <c r="AP152" i="1" s="1"/>
  <c r="BB152" i="1"/>
  <c r="BC152" i="1" s="1"/>
  <c r="AD152" i="1"/>
  <c r="AE152" i="1" s="1"/>
  <c r="AJ152" i="1"/>
  <c r="AV152" i="1"/>
  <c r="X152" i="1"/>
  <c r="AU152" i="1"/>
  <c r="AT152" i="1"/>
  <c r="AK152" i="1"/>
  <c r="AW151" i="1"/>
  <c r="Y151" i="1"/>
  <c r="AA151" i="1"/>
  <c r="AQ151" i="1"/>
  <c r="AR151" i="1" s="1"/>
  <c r="BB151" i="1"/>
  <c r="BC151" i="1" s="1"/>
  <c r="AF151" i="1"/>
  <c r="AG151" i="1" s="1"/>
  <c r="AO151" i="1"/>
  <c r="AP151" i="1" s="1"/>
  <c r="AD151" i="1"/>
  <c r="AE151" i="1" s="1"/>
  <c r="AZ151" i="1"/>
  <c r="BA151" i="1" s="1"/>
  <c r="AL151" i="1"/>
  <c r="AK151" i="1"/>
  <c r="AJ150" i="1"/>
  <c r="Z151" i="1"/>
  <c r="X151" i="1"/>
  <c r="AV151" i="1"/>
  <c r="AI151" i="1"/>
  <c r="AU151" i="1"/>
  <c r="AT151" i="1"/>
  <c r="AJ151" i="1"/>
  <c r="AV150" i="1"/>
  <c r="AW150" i="1"/>
  <c r="AK150" i="1"/>
  <c r="AQ150" i="1"/>
  <c r="AR150" i="1" s="1"/>
  <c r="BB150" i="1"/>
  <c r="BC150" i="1" s="1"/>
  <c r="AO150" i="1"/>
  <c r="AP150" i="1" s="1"/>
  <c r="AF150" i="1"/>
  <c r="AG150" i="1" s="1"/>
  <c r="AZ150" i="1"/>
  <c r="BA150" i="1" s="1"/>
  <c r="AD150" i="1"/>
  <c r="AE150" i="1" s="1"/>
  <c r="Y150" i="1"/>
  <c r="Z150" i="1"/>
  <c r="X150" i="1"/>
  <c r="AU150" i="1"/>
  <c r="AI150" i="1"/>
  <c r="AL150" i="1"/>
  <c r="AT150" i="1"/>
  <c r="AA150" i="1"/>
  <c r="AL149" i="1"/>
  <c r="AW149" i="1"/>
  <c r="AF149" i="1"/>
  <c r="AG149" i="1" s="1"/>
  <c r="AD149" i="1"/>
  <c r="AE149" i="1" s="1"/>
  <c r="AQ149" i="1"/>
  <c r="AR149" i="1" s="1"/>
  <c r="AZ149" i="1"/>
  <c r="BA149" i="1" s="1"/>
  <c r="BB149" i="1"/>
  <c r="BC149" i="1" s="1"/>
  <c r="AO149" i="1"/>
  <c r="AP149" i="1" s="1"/>
  <c r="Z149" i="1"/>
  <c r="AK149" i="1"/>
  <c r="X149" i="1"/>
  <c r="AV149" i="1"/>
  <c r="AI149" i="1"/>
  <c r="AU149" i="1"/>
  <c r="AT149" i="1"/>
  <c r="Y149" i="1"/>
  <c r="AA149" i="1"/>
  <c r="AJ149" i="1"/>
  <c r="AL148" i="1"/>
  <c r="AW148" i="1"/>
  <c r="AA148" i="1"/>
  <c r="AU148" i="1"/>
  <c r="AJ148" i="1"/>
  <c r="AF148" i="1"/>
  <c r="AG148" i="1" s="1"/>
  <c r="AQ148" i="1"/>
  <c r="AR148" i="1" s="1"/>
  <c r="BB148" i="1"/>
  <c r="BC148" i="1" s="1"/>
  <c r="AD148" i="1"/>
  <c r="AE148" i="1" s="1"/>
  <c r="AO148" i="1"/>
  <c r="AP148" i="1" s="1"/>
  <c r="AZ148" i="1"/>
  <c r="BA148" i="1" s="1"/>
  <c r="Z148" i="1"/>
  <c r="X148" i="1"/>
  <c r="Y148" i="1"/>
  <c r="AI148" i="1"/>
  <c r="AK148" i="1"/>
  <c r="AT148" i="1"/>
  <c r="AV148" i="1"/>
  <c r="AU147" i="1"/>
  <c r="AQ147" i="1"/>
  <c r="AR147" i="1" s="1"/>
  <c r="AF147" i="1"/>
  <c r="AG147" i="1" s="1"/>
  <c r="AZ147" i="1"/>
  <c r="BA147" i="1" s="1"/>
  <c r="AD147" i="1"/>
  <c r="AE147" i="1" s="1"/>
  <c r="BB147" i="1"/>
  <c r="BC147" i="1" s="1"/>
  <c r="AO147" i="1"/>
  <c r="AP147" i="1" s="1"/>
  <c r="AV147" i="1"/>
  <c r="Z147" i="1"/>
  <c r="AJ147" i="1"/>
  <c r="AW147" i="1"/>
  <c r="AK147" i="1"/>
  <c r="AL147" i="1"/>
  <c r="AT147" i="1"/>
  <c r="AA147" i="1"/>
  <c r="X147" i="1"/>
  <c r="Y147" i="1"/>
  <c r="AI147" i="1"/>
  <c r="Z146" i="1"/>
  <c r="AW146" i="1"/>
  <c r="AL146" i="1"/>
  <c r="AA146" i="1"/>
  <c r="AK146" i="1"/>
  <c r="AQ146" i="1"/>
  <c r="AR146" i="1" s="1"/>
  <c r="AZ146" i="1"/>
  <c r="BA146" i="1" s="1"/>
  <c r="AD146" i="1"/>
  <c r="AE146" i="1" s="1"/>
  <c r="AF146" i="1"/>
  <c r="AG146" i="1" s="1"/>
  <c r="BB146" i="1"/>
  <c r="BC146" i="1" s="1"/>
  <c r="AO146" i="1"/>
  <c r="AP146" i="1" s="1"/>
  <c r="Y146" i="1"/>
  <c r="AT146" i="1"/>
  <c r="AV146" i="1"/>
  <c r="AI146" i="1"/>
  <c r="AJ146" i="1"/>
  <c r="X146" i="1"/>
  <c r="AU146" i="1"/>
  <c r="AV145" i="1"/>
  <c r="Z145" i="1"/>
  <c r="AA145" i="1"/>
  <c r="AW145" i="1"/>
  <c r="X145" i="1"/>
  <c r="AO145" i="1"/>
  <c r="AP145" i="1" s="1"/>
  <c r="AQ145" i="1"/>
  <c r="AR145" i="1" s="1"/>
  <c r="AF145" i="1"/>
  <c r="AG145" i="1" s="1"/>
  <c r="AD145" i="1"/>
  <c r="AE145" i="1" s="1"/>
  <c r="AZ145" i="1"/>
  <c r="BA145" i="1" s="1"/>
  <c r="BB145" i="1"/>
  <c r="BC145" i="1" s="1"/>
  <c r="Y145" i="1"/>
  <c r="AK145" i="1"/>
  <c r="AU145" i="1"/>
  <c r="AT145" i="1"/>
  <c r="AL145" i="1"/>
  <c r="AJ145" i="1"/>
  <c r="AI145" i="1"/>
  <c r="AK144" i="1"/>
  <c r="AA144" i="1"/>
  <c r="AL144" i="1"/>
  <c r="AF144" i="1"/>
  <c r="AG144" i="1" s="1"/>
  <c r="BB144" i="1"/>
  <c r="BC144" i="1" s="1"/>
  <c r="AZ144" i="1"/>
  <c r="BA144" i="1" s="1"/>
  <c r="AQ144" i="1"/>
  <c r="AR144" i="1" s="1"/>
  <c r="AO144" i="1"/>
  <c r="AP144" i="1" s="1"/>
  <c r="AD144" i="1"/>
  <c r="AE144" i="1" s="1"/>
  <c r="AJ144" i="1"/>
  <c r="X144" i="1"/>
  <c r="Z144" i="1"/>
  <c r="AI144" i="1"/>
  <c r="AU144" i="1"/>
  <c r="AT144" i="1"/>
  <c r="Y144" i="1"/>
  <c r="AW144" i="1"/>
  <c r="AV144" i="1"/>
  <c r="AA143" i="1"/>
  <c r="AL143" i="1"/>
  <c r="AV143" i="1"/>
  <c r="AK143" i="1"/>
  <c r="AD143" i="1"/>
  <c r="AE143" i="1" s="1"/>
  <c r="AO143" i="1"/>
  <c r="AP143" i="1" s="1"/>
  <c r="AF143" i="1"/>
  <c r="AG143" i="1" s="1"/>
  <c r="BB143" i="1"/>
  <c r="BC143" i="1" s="1"/>
  <c r="AQ143" i="1"/>
  <c r="AR143" i="1" s="1"/>
  <c r="AZ143" i="1"/>
  <c r="BA143" i="1" s="1"/>
  <c r="Y143" i="1"/>
  <c r="Z143" i="1"/>
  <c r="X143" i="1"/>
  <c r="AT143" i="1"/>
  <c r="AU143" i="1"/>
  <c r="AI143" i="1"/>
  <c r="AW143" i="1"/>
  <c r="AJ143" i="1"/>
  <c r="AL142" i="1"/>
  <c r="Y142" i="1"/>
  <c r="AU142" i="1"/>
  <c r="Z142" i="1"/>
  <c r="AI142" i="1"/>
  <c r="AO142" i="1"/>
  <c r="AP142" i="1" s="1"/>
  <c r="AF142" i="1"/>
  <c r="AG142" i="1" s="1"/>
  <c r="AD142" i="1"/>
  <c r="AE142" i="1" s="1"/>
  <c r="AQ142" i="1"/>
  <c r="AR142" i="1" s="1"/>
  <c r="BB142" i="1"/>
  <c r="BC142" i="1" s="1"/>
  <c r="AZ142" i="1"/>
  <c r="BA142" i="1" s="1"/>
  <c r="X142" i="1"/>
  <c r="AJ142" i="1"/>
  <c r="AT142" i="1"/>
  <c r="AV142" i="1"/>
  <c r="AA142" i="1"/>
  <c r="AK142" i="1"/>
  <c r="AW142" i="1"/>
  <c r="AT141" i="1"/>
  <c r="X141" i="1"/>
  <c r="AO141" i="1"/>
  <c r="AP141" i="1" s="1"/>
  <c r="AQ141" i="1"/>
  <c r="AR141" i="1" s="1"/>
  <c r="AD141" i="1"/>
  <c r="AE141" i="1" s="1"/>
  <c r="AZ141" i="1"/>
  <c r="BA141" i="1" s="1"/>
  <c r="BB141" i="1"/>
  <c r="BC141" i="1" s="1"/>
  <c r="AF141" i="1"/>
  <c r="AG141" i="1" s="1"/>
  <c r="AJ141" i="1"/>
  <c r="AW141" i="1"/>
  <c r="AU141" i="1"/>
  <c r="Z141" i="1"/>
  <c r="Y141" i="1"/>
  <c r="AL141" i="1"/>
  <c r="AA141" i="1"/>
  <c r="AV141" i="1"/>
  <c r="AI141" i="1"/>
  <c r="AK141" i="1"/>
  <c r="Y140" i="1"/>
  <c r="AU140" i="1"/>
  <c r="AZ140" i="1"/>
  <c r="BA140" i="1" s="1"/>
  <c r="BB140" i="1"/>
  <c r="BC140" i="1" s="1"/>
  <c r="AQ140" i="1"/>
  <c r="AR140" i="1" s="1"/>
  <c r="AF140" i="1"/>
  <c r="AG140" i="1" s="1"/>
  <c r="AD140" i="1"/>
  <c r="AE140" i="1" s="1"/>
  <c r="AO140" i="1"/>
  <c r="AP140" i="1" s="1"/>
  <c r="AI140" i="1"/>
  <c r="X140" i="1"/>
  <c r="AV140" i="1"/>
  <c r="AT140" i="1"/>
  <c r="AK140" i="1"/>
  <c r="AW140" i="1"/>
  <c r="Z140" i="1"/>
  <c r="AA140" i="1"/>
  <c r="AJ140" i="1"/>
  <c r="AL140" i="1"/>
  <c r="AL139" i="1"/>
  <c r="AV139" i="1"/>
  <c r="AU139" i="1"/>
  <c r="AJ139" i="1"/>
  <c r="BB139" i="1"/>
  <c r="BC139" i="1" s="1"/>
  <c r="AZ139" i="1"/>
  <c r="BA139" i="1" s="1"/>
  <c r="AD139" i="1"/>
  <c r="AE139" i="1" s="1"/>
  <c r="AO139" i="1"/>
  <c r="AP139" i="1" s="1"/>
  <c r="AQ139" i="1"/>
  <c r="AR139" i="1" s="1"/>
  <c r="AF139" i="1"/>
  <c r="AG139" i="1" s="1"/>
  <c r="Y139" i="1"/>
  <c r="AK139" i="1"/>
  <c r="AI139" i="1"/>
  <c r="Z139" i="1"/>
  <c r="AT139" i="1"/>
  <c r="AW139" i="1"/>
  <c r="X139" i="1"/>
  <c r="AA139" i="1"/>
  <c r="AU138" i="1"/>
  <c r="Z138" i="1"/>
  <c r="Y138" i="1"/>
  <c r="AL138" i="1"/>
  <c r="AD138" i="1"/>
  <c r="AE138" i="1" s="1"/>
  <c r="BB138" i="1"/>
  <c r="BC138" i="1" s="1"/>
  <c r="AO138" i="1"/>
  <c r="AP138" i="1" s="1"/>
  <c r="AF138" i="1"/>
  <c r="AG138" i="1" s="1"/>
  <c r="AZ138" i="1"/>
  <c r="BA138" i="1" s="1"/>
  <c r="AQ138" i="1"/>
  <c r="AR138" i="1" s="1"/>
  <c r="AV138" i="1"/>
  <c r="AI137" i="1"/>
  <c r="AK138" i="1"/>
  <c r="X138" i="1"/>
  <c r="AJ138" i="1"/>
  <c r="AT138" i="1"/>
  <c r="AA138" i="1"/>
  <c r="AI138" i="1"/>
  <c r="AW138" i="1"/>
  <c r="AV137" i="1"/>
  <c r="Y137" i="1"/>
  <c r="AA137" i="1"/>
  <c r="AJ137" i="1"/>
  <c r="BB137" i="1"/>
  <c r="BC137" i="1" s="1"/>
  <c r="AZ137" i="1"/>
  <c r="BA137" i="1" s="1"/>
  <c r="AF137" i="1"/>
  <c r="AG137" i="1" s="1"/>
  <c r="AD137" i="1"/>
  <c r="AE137" i="1" s="1"/>
  <c r="AO137" i="1"/>
  <c r="AP137" i="1" s="1"/>
  <c r="AQ137" i="1"/>
  <c r="AR137" i="1" s="1"/>
  <c r="AW137" i="1"/>
  <c r="AK137" i="1"/>
  <c r="AL137" i="1"/>
  <c r="AU137" i="1"/>
  <c r="AT137" i="1"/>
  <c r="Z137" i="1"/>
  <c r="X137" i="1"/>
  <c r="AV136" i="1"/>
  <c r="AD136" i="1"/>
  <c r="AE136" i="1" s="1"/>
  <c r="BB136" i="1"/>
  <c r="BC136" i="1" s="1"/>
  <c r="AZ136" i="1"/>
  <c r="BA136" i="1" s="1"/>
  <c r="AF136" i="1"/>
  <c r="AG136" i="1" s="1"/>
  <c r="AO136" i="1"/>
  <c r="AP136" i="1" s="1"/>
  <c r="AQ136" i="1"/>
  <c r="AR136" i="1" s="1"/>
  <c r="AA135" i="1"/>
  <c r="AK136" i="1"/>
  <c r="AU136" i="1"/>
  <c r="AW136" i="1"/>
  <c r="AJ136" i="1"/>
  <c r="AI136" i="1"/>
  <c r="X136" i="1"/>
  <c r="AT136" i="1"/>
  <c r="AA136" i="1"/>
  <c r="Z136" i="1"/>
  <c r="Y136" i="1"/>
  <c r="AL136" i="1"/>
  <c r="AW135" i="1"/>
  <c r="AK135" i="1"/>
  <c r="AD135" i="1"/>
  <c r="AE135" i="1" s="1"/>
  <c r="AZ135" i="1"/>
  <c r="BA135" i="1" s="1"/>
  <c r="AO135" i="1"/>
  <c r="AP135" i="1" s="1"/>
  <c r="AF135" i="1"/>
  <c r="AG135" i="1" s="1"/>
  <c r="BB135" i="1"/>
  <c r="BC135" i="1" s="1"/>
  <c r="AQ135" i="1"/>
  <c r="AR135" i="1" s="1"/>
  <c r="AU135" i="1"/>
  <c r="AT135" i="1"/>
  <c r="Y135" i="1"/>
  <c r="X135" i="1"/>
  <c r="Z135" i="1"/>
  <c r="AI135" i="1"/>
  <c r="AV135" i="1"/>
  <c r="AL135" i="1"/>
  <c r="AJ135" i="1"/>
  <c r="AV134" i="1"/>
  <c r="AK134" i="1"/>
  <c r="AU134" i="1"/>
  <c r="Z134" i="1"/>
  <c r="AL134" i="1"/>
  <c r="AI134" i="1"/>
  <c r="AW134" i="1"/>
  <c r="BB134" i="1"/>
  <c r="BC134" i="1" s="1"/>
  <c r="AD134" i="1"/>
  <c r="AE134" i="1" s="1"/>
  <c r="AO134" i="1"/>
  <c r="AP134" i="1" s="1"/>
  <c r="AF134" i="1"/>
  <c r="AG134" i="1" s="1"/>
  <c r="AZ134" i="1"/>
  <c r="BA134" i="1" s="1"/>
  <c r="AQ134" i="1"/>
  <c r="AR134" i="1" s="1"/>
  <c r="Y134" i="1"/>
  <c r="AJ134" i="1"/>
  <c r="X134" i="1"/>
  <c r="AT134" i="1"/>
  <c r="AA134" i="1"/>
  <c r="AJ133" i="1"/>
  <c r="AV133" i="1"/>
  <c r="Y133" i="1"/>
  <c r="AF133" i="1"/>
  <c r="AG133" i="1" s="1"/>
  <c r="AZ133" i="1"/>
  <c r="BA133" i="1" s="1"/>
  <c r="AO133" i="1"/>
  <c r="AP133" i="1" s="1"/>
  <c r="BB133" i="1"/>
  <c r="BC133" i="1" s="1"/>
  <c r="AQ133" i="1"/>
  <c r="AR133" i="1" s="1"/>
  <c r="AD133" i="1"/>
  <c r="AE133" i="1" s="1"/>
  <c r="AK133" i="1"/>
  <c r="AW133" i="1"/>
  <c r="Z133" i="1"/>
  <c r="AL133" i="1"/>
  <c r="AI133" i="1"/>
  <c r="AA133" i="1"/>
  <c r="AT133" i="1"/>
  <c r="AU133" i="1"/>
  <c r="X133" i="1"/>
  <c r="X132" i="1"/>
  <c r="AT132" i="1"/>
  <c r="AI132" i="1"/>
  <c r="AV132" i="1"/>
  <c r="Z132" i="1"/>
  <c r="AO132" i="1"/>
  <c r="AP132" i="1" s="1"/>
  <c r="BB132" i="1"/>
  <c r="BC132" i="1" s="1"/>
  <c r="AF132" i="1"/>
  <c r="AG132" i="1" s="1"/>
  <c r="AQ132" i="1"/>
  <c r="AR132" i="1" s="1"/>
  <c r="AD132" i="1"/>
  <c r="AE132" i="1" s="1"/>
  <c r="AZ132" i="1"/>
  <c r="BA132" i="1" s="1"/>
  <c r="AJ132" i="1"/>
  <c r="AW132" i="1"/>
  <c r="AU132" i="1"/>
  <c r="AA132" i="1"/>
  <c r="Y132" i="1"/>
  <c r="AL132" i="1"/>
  <c r="AK132" i="1"/>
  <c r="AL131" i="1"/>
  <c r="AV131" i="1"/>
  <c r="AW131" i="1"/>
  <c r="AA131" i="1"/>
  <c r="AZ131" i="1"/>
  <c r="BA131" i="1" s="1"/>
  <c r="AO131" i="1"/>
  <c r="AP131" i="1" s="1"/>
  <c r="AD131" i="1"/>
  <c r="AE131" i="1" s="1"/>
  <c r="AQ131" i="1"/>
  <c r="AR131" i="1" s="1"/>
  <c r="BB131" i="1"/>
  <c r="BC131" i="1" s="1"/>
  <c r="AF131" i="1"/>
  <c r="AG131" i="1" s="1"/>
  <c r="AJ131" i="1"/>
  <c r="AU131" i="1"/>
  <c r="X131" i="1"/>
  <c r="Y131" i="1"/>
  <c r="AT131" i="1"/>
  <c r="Z131" i="1"/>
  <c r="AI131" i="1"/>
  <c r="AK131" i="1"/>
  <c r="AJ130" i="1"/>
  <c r="AV130" i="1"/>
  <c r="AL130" i="1"/>
  <c r="AA130" i="1"/>
  <c r="X130" i="1"/>
  <c r="AZ130" i="1"/>
  <c r="BA130" i="1" s="1"/>
  <c r="AF130" i="1"/>
  <c r="AG130" i="1" s="1"/>
  <c r="AQ130" i="1"/>
  <c r="AR130" i="1" s="1"/>
  <c r="AD130" i="1"/>
  <c r="AE130" i="1" s="1"/>
  <c r="BB130" i="1"/>
  <c r="BC130" i="1" s="1"/>
  <c r="AO130" i="1"/>
  <c r="AP130" i="1" s="1"/>
  <c r="Z130" i="1"/>
  <c r="AU130" i="1"/>
  <c r="AK130" i="1"/>
  <c r="AI130" i="1"/>
  <c r="AW130" i="1"/>
  <c r="Y130" i="1"/>
  <c r="AT130" i="1"/>
  <c r="AA129" i="1"/>
  <c r="AU129" i="1"/>
  <c r="Y129" i="1"/>
  <c r="AJ129" i="1"/>
  <c r="AT129" i="1"/>
  <c r="BB129" i="1"/>
  <c r="BC129" i="1" s="1"/>
  <c r="AQ129" i="1"/>
  <c r="AR129" i="1" s="1"/>
  <c r="AF129" i="1"/>
  <c r="AG129" i="1" s="1"/>
  <c r="AZ129" i="1"/>
  <c r="BA129" i="1" s="1"/>
  <c r="AD129" i="1"/>
  <c r="AE129" i="1" s="1"/>
  <c r="AO129" i="1"/>
  <c r="AP129" i="1" s="1"/>
  <c r="X129" i="1"/>
  <c r="Z129" i="1"/>
  <c r="AI129" i="1"/>
  <c r="AV129" i="1"/>
  <c r="AL129" i="1"/>
  <c r="AK129" i="1"/>
  <c r="AW129" i="1"/>
  <c r="Y128" i="1"/>
  <c r="AK128" i="1"/>
  <c r="Z128" i="1"/>
  <c r="AV128" i="1"/>
  <c r="AW128" i="1"/>
  <c r="AI128" i="1"/>
  <c r="AU128" i="1"/>
  <c r="AT128" i="1"/>
  <c r="X128" i="1"/>
  <c r="AL128" i="1"/>
  <c r="AO128" i="1"/>
  <c r="AP128" i="1" s="1"/>
  <c r="AQ128" i="1"/>
  <c r="AR128" i="1" s="1"/>
  <c r="AD128" i="1"/>
  <c r="AE128" i="1" s="1"/>
  <c r="AZ128" i="1"/>
  <c r="BA128" i="1" s="1"/>
  <c r="AF128" i="1"/>
  <c r="AG128" i="1" s="1"/>
  <c r="BB128" i="1"/>
  <c r="BC128" i="1" s="1"/>
  <c r="AJ128" i="1"/>
  <c r="AA128" i="1"/>
  <c r="Y127" i="1"/>
  <c r="X127" i="1"/>
  <c r="AJ127" i="1"/>
  <c r="AA127" i="1"/>
  <c r="AL127" i="1"/>
  <c r="AK127" i="1"/>
  <c r="AT127" i="1"/>
  <c r="AI127" i="1"/>
  <c r="AV127" i="1"/>
  <c r="AW127" i="1"/>
  <c r="AQ127" i="1"/>
  <c r="AR127" i="1" s="1"/>
  <c r="AF127" i="1"/>
  <c r="AG127" i="1" s="1"/>
  <c r="AZ127" i="1"/>
  <c r="BA127" i="1" s="1"/>
  <c r="AD127" i="1"/>
  <c r="AE127" i="1" s="1"/>
  <c r="BB127" i="1"/>
  <c r="BC127" i="1" s="1"/>
  <c r="AO127" i="1"/>
  <c r="AP127" i="1" s="1"/>
  <c r="AU127" i="1"/>
  <c r="Z127" i="1"/>
  <c r="Y126" i="1"/>
  <c r="AU126" i="1"/>
  <c r="AJ126" i="1"/>
  <c r="AV126" i="1"/>
  <c r="AW126" i="1"/>
  <c r="AQ126" i="1"/>
  <c r="AR126" i="1" s="1"/>
  <c r="AO126" i="1"/>
  <c r="AP126" i="1" s="1"/>
  <c r="AF126" i="1"/>
  <c r="AG126" i="1" s="1"/>
  <c r="AD126" i="1"/>
  <c r="AE126" i="1" s="1"/>
  <c r="AZ126" i="1"/>
  <c r="BA126" i="1" s="1"/>
  <c r="BB126" i="1"/>
  <c r="BC126" i="1" s="1"/>
  <c r="Z126" i="1"/>
  <c r="X126" i="1"/>
  <c r="AK126" i="1"/>
  <c r="AI126" i="1"/>
  <c r="AL126" i="1"/>
  <c r="AT126" i="1"/>
  <c r="AA126" i="1"/>
  <c r="X125" i="1"/>
  <c r="AI125" i="1"/>
  <c r="AT125" i="1"/>
  <c r="AK125" i="1"/>
  <c r="AQ125" i="1"/>
  <c r="AR125" i="1" s="1"/>
  <c r="AZ125" i="1"/>
  <c r="BA125" i="1" s="1"/>
  <c r="BB125" i="1"/>
  <c r="BC125" i="1" s="1"/>
  <c r="AD125" i="1"/>
  <c r="AE125" i="1" s="1"/>
  <c r="AF125" i="1"/>
  <c r="AG125" i="1" s="1"/>
  <c r="AO125" i="1"/>
  <c r="AP125" i="1" s="1"/>
  <c r="AU125" i="1"/>
  <c r="AK124" i="1"/>
  <c r="Y125" i="1"/>
  <c r="AA125" i="1"/>
  <c r="AV125" i="1"/>
  <c r="AL125" i="1"/>
  <c r="Z125" i="1"/>
  <c r="AW125" i="1"/>
  <c r="AJ125" i="1"/>
  <c r="AJ124" i="1"/>
  <c r="Z124" i="1"/>
  <c r="BB124" i="1"/>
  <c r="BC124" i="1" s="1"/>
  <c r="AO124" i="1"/>
  <c r="AP124" i="1" s="1"/>
  <c r="AD124" i="1"/>
  <c r="AE124" i="1" s="1"/>
  <c r="AQ124" i="1"/>
  <c r="AR124" i="1" s="1"/>
  <c r="AZ124" i="1"/>
  <c r="BA124" i="1" s="1"/>
  <c r="AF124" i="1"/>
  <c r="AG124" i="1" s="1"/>
  <c r="AT124" i="1"/>
  <c r="AL124" i="1"/>
  <c r="AV124" i="1"/>
  <c r="Y124" i="1"/>
  <c r="X124" i="1"/>
  <c r="AA124" i="1"/>
  <c r="AI124" i="1"/>
  <c r="AU124" i="1"/>
  <c r="AW124" i="1"/>
  <c r="Z123" i="1"/>
  <c r="AU123" i="1"/>
  <c r="AK123" i="1"/>
  <c r="AZ123" i="1"/>
  <c r="BA123" i="1" s="1"/>
  <c r="AF123" i="1"/>
  <c r="AG123" i="1" s="1"/>
  <c r="AD123" i="1"/>
  <c r="AE123" i="1" s="1"/>
  <c r="AQ123" i="1"/>
  <c r="AR123" i="1" s="1"/>
  <c r="AO123" i="1"/>
  <c r="AP123" i="1" s="1"/>
  <c r="BB123" i="1"/>
  <c r="BC123" i="1" s="1"/>
  <c r="AV123" i="1"/>
  <c r="AJ123" i="1"/>
  <c r="X123" i="1"/>
  <c r="AT123" i="1"/>
  <c r="AW123" i="1"/>
  <c r="AI123" i="1"/>
  <c r="AA123" i="1"/>
  <c r="Y123" i="1"/>
  <c r="AL123" i="1"/>
  <c r="AK122" i="1"/>
  <c r="AL122" i="1"/>
  <c r="AA122" i="1"/>
  <c r="AW122" i="1"/>
  <c r="AU122" i="1"/>
  <c r="AO122" i="1"/>
  <c r="AP122" i="1" s="1"/>
  <c r="AD122" i="1"/>
  <c r="AE122" i="1" s="1"/>
  <c r="AF122" i="1"/>
  <c r="AG122" i="1" s="1"/>
  <c r="AQ122" i="1"/>
  <c r="AR122" i="1" s="1"/>
  <c r="AZ122" i="1"/>
  <c r="BA122" i="1" s="1"/>
  <c r="BB122" i="1"/>
  <c r="BC122" i="1" s="1"/>
  <c r="AJ122" i="1"/>
  <c r="AI122" i="1"/>
  <c r="Z122" i="1"/>
  <c r="X122" i="1"/>
  <c r="AV122" i="1"/>
  <c r="AT122" i="1"/>
  <c r="Y122" i="1"/>
  <c r="Y121" i="1"/>
  <c r="Z121" i="1"/>
  <c r="AV121" i="1"/>
  <c r="AI121" i="1"/>
  <c r="AZ121" i="1"/>
  <c r="BA121" i="1" s="1"/>
  <c r="AQ121" i="1"/>
  <c r="AR121" i="1" s="1"/>
  <c r="AD121" i="1"/>
  <c r="AE121" i="1" s="1"/>
  <c r="AO121" i="1"/>
  <c r="AP121" i="1" s="1"/>
  <c r="AF121" i="1"/>
  <c r="AG121" i="1" s="1"/>
  <c r="BB121" i="1"/>
  <c r="BC121" i="1" s="1"/>
  <c r="AK121" i="1"/>
  <c r="AJ121" i="1"/>
  <c r="X121" i="1"/>
  <c r="AT121" i="1"/>
  <c r="AA121" i="1"/>
  <c r="AW121" i="1"/>
  <c r="AU121" i="1"/>
  <c r="AL121" i="1"/>
  <c r="AU120" i="1"/>
  <c r="X120" i="1"/>
  <c r="AV120" i="1"/>
  <c r="AK120" i="1"/>
  <c r="AO120" i="1"/>
  <c r="AP120" i="1" s="1"/>
  <c r="AQ120" i="1"/>
  <c r="AR120" i="1" s="1"/>
  <c r="AD120" i="1"/>
  <c r="AE120" i="1" s="1"/>
  <c r="AZ120" i="1"/>
  <c r="BA120" i="1" s="1"/>
  <c r="BB120" i="1"/>
  <c r="BC120" i="1" s="1"/>
  <c r="AF120" i="1"/>
  <c r="AG120" i="1" s="1"/>
  <c r="Z120" i="1"/>
  <c r="AT120" i="1"/>
  <c r="AJ120" i="1"/>
  <c r="AI120" i="1"/>
  <c r="AW120" i="1"/>
  <c r="AA120" i="1"/>
  <c r="Y120" i="1"/>
  <c r="AL120" i="1"/>
  <c r="AA119" i="1"/>
  <c r="AW119" i="1"/>
  <c r="AJ119" i="1"/>
  <c r="AO119" i="1"/>
  <c r="AP119" i="1" s="1"/>
  <c r="AF119" i="1"/>
  <c r="AG119" i="1" s="1"/>
  <c r="AZ119" i="1"/>
  <c r="BA119" i="1" s="1"/>
  <c r="BB119" i="1"/>
  <c r="BC119" i="1" s="1"/>
  <c r="AQ119" i="1"/>
  <c r="AR119" i="1" s="1"/>
  <c r="AD119" i="1"/>
  <c r="AE119" i="1" s="1"/>
  <c r="AU119" i="1"/>
  <c r="AI119" i="1"/>
  <c r="AK119" i="1"/>
  <c r="AT119" i="1"/>
  <c r="Y119" i="1"/>
  <c r="X119" i="1"/>
  <c r="AV119" i="1"/>
  <c r="AL119" i="1"/>
  <c r="Z119" i="1"/>
  <c r="X118" i="1"/>
  <c r="AT118" i="1"/>
  <c r="AZ118" i="1"/>
  <c r="BA118" i="1" s="1"/>
  <c r="BB118" i="1"/>
  <c r="BC118" i="1" s="1"/>
  <c r="AQ118" i="1"/>
  <c r="AR118" i="1" s="1"/>
  <c r="AO118" i="1"/>
  <c r="AP118" i="1" s="1"/>
  <c r="AD118" i="1"/>
  <c r="AE118" i="1" s="1"/>
  <c r="AF118" i="1"/>
  <c r="AG118" i="1" s="1"/>
  <c r="AK118" i="1"/>
  <c r="AV118" i="1"/>
  <c r="AW118" i="1"/>
  <c r="Z118" i="1"/>
  <c r="AA118" i="1"/>
  <c r="Y118" i="1"/>
  <c r="AL118" i="1"/>
  <c r="AJ118" i="1"/>
  <c r="AI118" i="1"/>
  <c r="AU118" i="1"/>
  <c r="AV117" i="1"/>
  <c r="AK117" i="1"/>
  <c r="AD117" i="1"/>
  <c r="AE117" i="1" s="1"/>
  <c r="BB117" i="1"/>
  <c r="BC117" i="1" s="1"/>
  <c r="AF117" i="1"/>
  <c r="AG117" i="1" s="1"/>
  <c r="AO117" i="1"/>
  <c r="AP117" i="1" s="1"/>
  <c r="AZ117" i="1"/>
  <c r="BA117" i="1" s="1"/>
  <c r="AQ117" i="1"/>
  <c r="AR117" i="1" s="1"/>
  <c r="AI117" i="1"/>
  <c r="AT117" i="1"/>
  <c r="X117" i="1"/>
  <c r="AL117" i="1"/>
  <c r="AJ117" i="1"/>
  <c r="Z117" i="1"/>
  <c r="AW117" i="1"/>
  <c r="AU117" i="1"/>
  <c r="Y117" i="1"/>
  <c r="AA117" i="1"/>
  <c r="AU116" i="1"/>
  <c r="AT116" i="1"/>
  <c r="Z116" i="1"/>
  <c r="AW116" i="1"/>
  <c r="AJ116" i="1"/>
  <c r="AL116" i="1"/>
  <c r="AA116" i="1"/>
  <c r="AF116" i="1"/>
  <c r="AG116" i="1" s="1"/>
  <c r="AQ116" i="1"/>
  <c r="AR116" i="1" s="1"/>
  <c r="AZ116" i="1"/>
  <c r="BA116" i="1" s="1"/>
  <c r="AD116" i="1"/>
  <c r="AE116" i="1" s="1"/>
  <c r="BB116" i="1"/>
  <c r="BC116" i="1" s="1"/>
  <c r="AO116" i="1"/>
  <c r="AP116" i="1" s="1"/>
  <c r="AV116" i="1"/>
  <c r="Y116" i="1"/>
  <c r="AI116" i="1"/>
  <c r="AK116" i="1"/>
  <c r="X116" i="1"/>
  <c r="Z115" i="1"/>
  <c r="Y115" i="1"/>
  <c r="AJ115" i="1"/>
  <c r="AF115" i="1"/>
  <c r="AG115" i="1" s="1"/>
  <c r="AO115" i="1"/>
  <c r="AP115" i="1" s="1"/>
  <c r="AZ115" i="1"/>
  <c r="BA115" i="1" s="1"/>
  <c r="AQ115" i="1"/>
  <c r="AR115" i="1" s="1"/>
  <c r="BB115" i="1"/>
  <c r="BC115" i="1" s="1"/>
  <c r="AD115" i="1"/>
  <c r="AE115" i="1" s="1"/>
  <c r="AI115" i="1"/>
  <c r="AA115" i="1"/>
  <c r="AW115" i="1"/>
  <c r="AV115" i="1"/>
  <c r="AK115" i="1"/>
  <c r="AT115" i="1"/>
  <c r="X115" i="1"/>
  <c r="AU115" i="1"/>
  <c r="AL115" i="1"/>
  <c r="AJ114" i="1"/>
  <c r="AI114" i="1"/>
  <c r="AU114" i="1"/>
  <c r="Z114" i="1"/>
  <c r="Y114" i="1"/>
  <c r="AA114" i="1"/>
  <c r="AD114" i="1"/>
  <c r="AE114" i="1" s="1"/>
  <c r="AQ114" i="1"/>
  <c r="AR114" i="1" s="1"/>
  <c r="AO114" i="1"/>
  <c r="AP114" i="1" s="1"/>
  <c r="AF114" i="1"/>
  <c r="AG114" i="1" s="1"/>
  <c r="AZ114" i="1"/>
  <c r="BA114" i="1" s="1"/>
  <c r="BB114" i="1"/>
  <c r="BC114" i="1" s="1"/>
  <c r="AV114" i="1"/>
  <c r="X114" i="1"/>
  <c r="AW114" i="1"/>
  <c r="AT114" i="1"/>
  <c r="AK114" i="1"/>
  <c r="AL114" i="1"/>
  <c r="AA113" i="1"/>
  <c r="AO113" i="1"/>
  <c r="AP113" i="1" s="1"/>
  <c r="AQ113" i="1"/>
  <c r="AR113" i="1" s="1"/>
  <c r="AZ113" i="1"/>
  <c r="BA113" i="1" s="1"/>
  <c r="AD113" i="1"/>
  <c r="AE113" i="1" s="1"/>
  <c r="AF113" i="1"/>
  <c r="AG113" i="1" s="1"/>
  <c r="BB113" i="1"/>
  <c r="BC113" i="1" s="1"/>
  <c r="AL113" i="1"/>
  <c r="AU113" i="1"/>
  <c r="AJ112" i="1"/>
  <c r="AV113" i="1"/>
  <c r="Y113" i="1"/>
  <c r="AJ113" i="1"/>
  <c r="AI113" i="1"/>
  <c r="AT113" i="1"/>
  <c r="AK113" i="1"/>
  <c r="X113" i="1"/>
  <c r="AW113" i="1"/>
  <c r="Z113" i="1"/>
  <c r="AA112" i="1"/>
  <c r="AL112" i="1"/>
  <c r="AW112" i="1"/>
  <c r="AZ112" i="1"/>
  <c r="BA112" i="1" s="1"/>
  <c r="AF112" i="1"/>
  <c r="AG112" i="1" s="1"/>
  <c r="AD112" i="1"/>
  <c r="AE112" i="1" s="1"/>
  <c r="BB112" i="1"/>
  <c r="BC112" i="1" s="1"/>
  <c r="AQ112" i="1"/>
  <c r="AR112" i="1" s="1"/>
  <c r="AO112" i="1"/>
  <c r="AP112" i="1" s="1"/>
  <c r="AV112" i="1"/>
  <c r="AK112" i="1"/>
  <c r="X112" i="1"/>
  <c r="AU112" i="1"/>
  <c r="AT112" i="1"/>
  <c r="Z112" i="1"/>
  <c r="AI112" i="1"/>
  <c r="Y112" i="1"/>
  <c r="AK111" i="1"/>
  <c r="AJ111" i="1"/>
  <c r="BB111" i="1"/>
  <c r="BC111" i="1" s="1"/>
  <c r="AQ111" i="1"/>
  <c r="AR111" i="1" s="1"/>
  <c r="AO111" i="1"/>
  <c r="AP111" i="1" s="1"/>
  <c r="AD111" i="1"/>
  <c r="AE111" i="1" s="1"/>
  <c r="AZ111" i="1"/>
  <c r="BA111" i="1" s="1"/>
  <c r="AF111" i="1"/>
  <c r="AG111" i="1" s="1"/>
  <c r="AT111" i="1"/>
  <c r="Y111" i="1"/>
  <c r="AU111" i="1"/>
  <c r="AL111" i="1"/>
  <c r="Z111" i="1"/>
  <c r="AI111" i="1"/>
  <c r="AW111" i="1"/>
  <c r="X111" i="1"/>
  <c r="AV111" i="1"/>
  <c r="AA111" i="1"/>
  <c r="X110" i="1"/>
  <c r="AI110" i="1"/>
  <c r="AO110" i="1"/>
  <c r="AP110" i="1" s="1"/>
  <c r="AQ110" i="1"/>
  <c r="AR110" i="1" s="1"/>
  <c r="AF110" i="1"/>
  <c r="AG110" i="1" s="1"/>
  <c r="AD110" i="1"/>
  <c r="AE110" i="1" s="1"/>
  <c r="BB110" i="1"/>
  <c r="BC110" i="1" s="1"/>
  <c r="AZ110" i="1"/>
  <c r="BA110" i="1" s="1"/>
  <c r="Z110" i="1"/>
  <c r="Y110" i="1"/>
  <c r="AV110" i="1"/>
  <c r="AW110" i="1"/>
  <c r="AL110" i="1"/>
  <c r="AA110" i="1"/>
  <c r="AU110" i="1"/>
  <c r="AJ110" i="1"/>
  <c r="AT110" i="1"/>
  <c r="AK110" i="1"/>
  <c r="AU109" i="1"/>
  <c r="AK109" i="1"/>
  <c r="X109" i="1"/>
  <c r="AI109" i="1"/>
  <c r="AD109" i="1"/>
  <c r="AE109" i="1" s="1"/>
  <c r="AF109" i="1"/>
  <c r="AG109" i="1" s="1"/>
  <c r="AQ109" i="1"/>
  <c r="AR109" i="1" s="1"/>
  <c r="AO109" i="1"/>
  <c r="AP109" i="1" s="1"/>
  <c r="AZ109" i="1"/>
  <c r="BA109" i="1" s="1"/>
  <c r="BB109" i="1"/>
  <c r="BC109" i="1" s="1"/>
  <c r="AJ109" i="1"/>
  <c r="AV109" i="1"/>
  <c r="Z109" i="1"/>
  <c r="AT109" i="1"/>
  <c r="AL109" i="1"/>
  <c r="AA109" i="1"/>
  <c r="Y109" i="1"/>
  <c r="AW109" i="1"/>
  <c r="AU108" i="1"/>
  <c r="AV108" i="1"/>
  <c r="AK108" i="1"/>
  <c r="AQ108" i="1"/>
  <c r="AR108" i="1" s="1"/>
  <c r="BB108" i="1"/>
  <c r="BC108" i="1" s="1"/>
  <c r="AD108" i="1"/>
  <c r="AE108" i="1" s="1"/>
  <c r="AO108" i="1"/>
  <c r="AP108" i="1" s="1"/>
  <c r="AZ108" i="1"/>
  <c r="BA108" i="1" s="1"/>
  <c r="AF108" i="1"/>
  <c r="AG108" i="1" s="1"/>
  <c r="Z108" i="1"/>
  <c r="AA108" i="1"/>
  <c r="X108" i="1"/>
  <c r="AJ108" i="1"/>
  <c r="AI108" i="1"/>
  <c r="AW108" i="1"/>
  <c r="AT108" i="1"/>
  <c r="Y108" i="1"/>
  <c r="AL108" i="1"/>
  <c r="AI107" i="1"/>
  <c r="Z107" i="1"/>
  <c r="AJ107" i="1"/>
  <c r="AQ107" i="1"/>
  <c r="AR107" i="1" s="1"/>
  <c r="BB107" i="1"/>
  <c r="BC107" i="1" s="1"/>
  <c r="AD107" i="1"/>
  <c r="AE107" i="1" s="1"/>
  <c r="AF107" i="1"/>
  <c r="AG107" i="1" s="1"/>
  <c r="AO107" i="1"/>
  <c r="AP107" i="1" s="1"/>
  <c r="AZ107" i="1"/>
  <c r="BA107" i="1" s="1"/>
  <c r="AV107" i="1"/>
  <c r="X107" i="1"/>
  <c r="AT107" i="1"/>
  <c r="Y107" i="1"/>
  <c r="AW107" i="1"/>
  <c r="AK107" i="1"/>
  <c r="AL107" i="1"/>
  <c r="AU107" i="1"/>
  <c r="AA107" i="1"/>
  <c r="AV106" i="1"/>
  <c r="AU106" i="1"/>
  <c r="AJ106" i="1"/>
  <c r="BB106" i="1"/>
  <c r="BC106" i="1" s="1"/>
  <c r="AO106" i="1"/>
  <c r="AP106" i="1" s="1"/>
  <c r="AQ106" i="1"/>
  <c r="AR106" i="1" s="1"/>
  <c r="AF106" i="1"/>
  <c r="AG106" i="1" s="1"/>
  <c r="AZ106" i="1"/>
  <c r="BA106" i="1" s="1"/>
  <c r="AD106" i="1"/>
  <c r="AE106" i="1" s="1"/>
  <c r="AI106" i="1"/>
  <c r="Z106" i="1"/>
  <c r="X106" i="1"/>
  <c r="AL106" i="1"/>
  <c r="Y106" i="1"/>
  <c r="AW106" i="1"/>
  <c r="AT106" i="1"/>
  <c r="AK106" i="1"/>
  <c r="AA106" i="1"/>
  <c r="Z105" i="1"/>
  <c r="AK105" i="1"/>
  <c r="BB105" i="1"/>
  <c r="BC105" i="1" s="1"/>
  <c r="AO105" i="1"/>
  <c r="AP105" i="1" s="1"/>
  <c r="AQ105" i="1"/>
  <c r="AR105" i="1" s="1"/>
  <c r="AZ105" i="1"/>
  <c r="BA105" i="1" s="1"/>
  <c r="AD105" i="1"/>
  <c r="AE105" i="1" s="1"/>
  <c r="AF105" i="1"/>
  <c r="AG105" i="1" s="1"/>
  <c r="Y105" i="1"/>
  <c r="AJ105" i="1"/>
  <c r="AL105" i="1"/>
  <c r="AU105" i="1"/>
  <c r="AW105" i="1"/>
  <c r="AI105" i="1"/>
  <c r="AA105" i="1"/>
  <c r="X105" i="1"/>
  <c r="AV105" i="1"/>
  <c r="AT105" i="1"/>
  <c r="AJ104" i="1"/>
  <c r="AT104" i="1"/>
  <c r="X104" i="1"/>
  <c r="AI104" i="1"/>
  <c r="AU104" i="1"/>
  <c r="AF104" i="1"/>
  <c r="AG104" i="1" s="1"/>
  <c r="BB104" i="1"/>
  <c r="BC104" i="1" s="1"/>
  <c r="AD104" i="1"/>
  <c r="AE104" i="1" s="1"/>
  <c r="AO104" i="1"/>
  <c r="AP104" i="1" s="1"/>
  <c r="AQ104" i="1"/>
  <c r="AR104" i="1" s="1"/>
  <c r="AZ104" i="1"/>
  <c r="BA104" i="1" s="1"/>
  <c r="AK104" i="1"/>
  <c r="AW104" i="1"/>
  <c r="AV104" i="1"/>
  <c r="AA104" i="1"/>
  <c r="Z104" i="1"/>
  <c r="AL104" i="1"/>
  <c r="Y104" i="1"/>
  <c r="Z103" i="1"/>
  <c r="Y103" i="1"/>
  <c r="AJ103" i="1"/>
  <c r="AU103" i="1"/>
  <c r="AL103" i="1"/>
  <c r="AZ103" i="1"/>
  <c r="BA103" i="1" s="1"/>
  <c r="AF103" i="1"/>
  <c r="AG103" i="1" s="1"/>
  <c r="AO103" i="1"/>
  <c r="AP103" i="1" s="1"/>
  <c r="AD103" i="1"/>
  <c r="AE103" i="1" s="1"/>
  <c r="AQ103" i="1"/>
  <c r="AR103" i="1" s="1"/>
  <c r="BB103" i="1"/>
  <c r="BC103" i="1" s="1"/>
  <c r="AK103" i="1"/>
  <c r="X103" i="1"/>
  <c r="AV103" i="1"/>
  <c r="AT103" i="1"/>
  <c r="AA103" i="1"/>
  <c r="AI103" i="1"/>
  <c r="AW103" i="1"/>
  <c r="Z102" i="1"/>
  <c r="X102" i="1"/>
  <c r="AI102" i="1"/>
  <c r="AT102" i="1"/>
  <c r="AJ102" i="1"/>
  <c r="AO102" i="1"/>
  <c r="AP102" i="1" s="1"/>
  <c r="AD102" i="1"/>
  <c r="AE102" i="1" s="1"/>
  <c r="AQ102" i="1"/>
  <c r="AR102" i="1" s="1"/>
  <c r="BB102" i="1"/>
  <c r="BC102" i="1" s="1"/>
  <c r="AZ102" i="1"/>
  <c r="BA102" i="1" s="1"/>
  <c r="AF102" i="1"/>
  <c r="AG102" i="1" s="1"/>
  <c r="Y102" i="1"/>
  <c r="AW102" i="1"/>
  <c r="AV102" i="1"/>
  <c r="AL102" i="1"/>
  <c r="AU102" i="1"/>
  <c r="AA102" i="1"/>
  <c r="AK102" i="1"/>
  <c r="AJ101" i="1"/>
  <c r="AV101" i="1"/>
  <c r="Z101" i="1"/>
  <c r="AL101" i="1"/>
  <c r="AU101" i="1"/>
  <c r="AW101" i="1"/>
  <c r="AA101" i="1"/>
  <c r="AK101" i="1"/>
  <c r="AI101" i="1"/>
  <c r="AT101" i="1"/>
  <c r="AQ101" i="1"/>
  <c r="AR101" i="1" s="1"/>
  <c r="AD101" i="1"/>
  <c r="AE101" i="1" s="1"/>
  <c r="AO101" i="1"/>
  <c r="AP101" i="1" s="1"/>
  <c r="AF101" i="1"/>
  <c r="AG101" i="1" s="1"/>
  <c r="AZ101" i="1"/>
  <c r="BA101" i="1" s="1"/>
  <c r="BB101" i="1"/>
  <c r="BC101" i="1" s="1"/>
  <c r="Y101" i="1"/>
  <c r="X101" i="1"/>
  <c r="AA100" i="1"/>
  <c r="AK100" i="1"/>
  <c r="AU100" i="1"/>
  <c r="Y100" i="1"/>
  <c r="Z100" i="1"/>
  <c r="AD100" i="1"/>
  <c r="AE100" i="1" s="1"/>
  <c r="AQ100" i="1"/>
  <c r="AR100" i="1" s="1"/>
  <c r="AZ100" i="1"/>
  <c r="BA100" i="1" s="1"/>
  <c r="AF100" i="1"/>
  <c r="AG100" i="1" s="1"/>
  <c r="AO100" i="1"/>
  <c r="AP100" i="1" s="1"/>
  <c r="BB100" i="1"/>
  <c r="BC100" i="1" s="1"/>
  <c r="AV100" i="1"/>
  <c r="X100" i="1"/>
  <c r="AJ100" i="1"/>
  <c r="AI100" i="1"/>
  <c r="AW100" i="1"/>
  <c r="AT100" i="1"/>
  <c r="AL100" i="1"/>
  <c r="X99" i="1"/>
  <c r="AL99" i="1"/>
  <c r="AA99" i="1"/>
  <c r="AJ99" i="1"/>
  <c r="AU99" i="1"/>
  <c r="AW99" i="1"/>
  <c r="Z99" i="1"/>
  <c r="AT99" i="1"/>
  <c r="AK99" i="1"/>
  <c r="AO99" i="1"/>
  <c r="AP99" i="1" s="1"/>
  <c r="BB99" i="1"/>
  <c r="BC99" i="1" s="1"/>
  <c r="AD99" i="1"/>
  <c r="AE99" i="1" s="1"/>
  <c r="AZ99" i="1"/>
  <c r="BA99" i="1" s="1"/>
  <c r="AF99" i="1"/>
  <c r="AG99" i="1" s="1"/>
  <c r="AQ99" i="1"/>
  <c r="AR99" i="1" s="1"/>
  <c r="Y99" i="1"/>
  <c r="AI99" i="1"/>
  <c r="AV99" i="1"/>
  <c r="AL98" i="1"/>
  <c r="Z98" i="1"/>
  <c r="Y98" i="1"/>
  <c r="AV98" i="1"/>
  <c r="AU98" i="1"/>
  <c r="BB98" i="1"/>
  <c r="BC98" i="1" s="1"/>
  <c r="AQ98" i="1"/>
  <c r="AR98" i="1" s="1"/>
  <c r="AF98" i="1"/>
  <c r="AG98" i="1" s="1"/>
  <c r="AO98" i="1"/>
  <c r="AP98" i="1" s="1"/>
  <c r="AZ98" i="1"/>
  <c r="BA98" i="1" s="1"/>
  <c r="AD98" i="1"/>
  <c r="AE98" i="1" s="1"/>
  <c r="AK98" i="1"/>
  <c r="AW98" i="1"/>
  <c r="X98" i="1"/>
  <c r="AJ98" i="1"/>
  <c r="AT98" i="1"/>
  <c r="AI98" i="1"/>
  <c r="AA98" i="1"/>
  <c r="Y97" i="1"/>
  <c r="Z97" i="1"/>
  <c r="AO97" i="1"/>
  <c r="AP97" i="1" s="1"/>
  <c r="AQ97" i="1"/>
  <c r="AR97" i="1" s="1"/>
  <c r="AZ97" i="1"/>
  <c r="BA97" i="1" s="1"/>
  <c r="AD97" i="1"/>
  <c r="AE97" i="1" s="1"/>
  <c r="AF97" i="1"/>
  <c r="AG97" i="1" s="1"/>
  <c r="BB97" i="1"/>
  <c r="BC97" i="1" s="1"/>
  <c r="X97" i="1"/>
  <c r="AI97" i="1"/>
  <c r="AL97" i="1"/>
  <c r="AA97" i="1"/>
  <c r="AT97" i="1"/>
  <c r="AJ97" i="1"/>
  <c r="AK97" i="1"/>
  <c r="AU97" i="1"/>
  <c r="AV97" i="1"/>
  <c r="AW97" i="1"/>
  <c r="AJ96" i="1"/>
  <c r="X96" i="1"/>
  <c r="AI96" i="1"/>
  <c r="AU96" i="1"/>
  <c r="AW96" i="1"/>
  <c r="AT96" i="1"/>
  <c r="Z96" i="1"/>
  <c r="AF96" i="1"/>
  <c r="AG96" i="1" s="1"/>
  <c r="AD96" i="1"/>
  <c r="AE96" i="1" s="1"/>
  <c r="AZ96" i="1"/>
  <c r="BA96" i="1" s="1"/>
  <c r="BB96" i="1"/>
  <c r="BC96" i="1" s="1"/>
  <c r="AQ96" i="1"/>
  <c r="AR96" i="1" s="1"/>
  <c r="AO96" i="1"/>
  <c r="AP96" i="1" s="1"/>
  <c r="Y96" i="1"/>
  <c r="AA96" i="1"/>
  <c r="AK96" i="1"/>
  <c r="AL96" i="1"/>
  <c r="AV96" i="1"/>
  <c r="AK95" i="1"/>
  <c r="AI95" i="1"/>
  <c r="AA95" i="1"/>
  <c r="AT95" i="1"/>
  <c r="AV95" i="1"/>
  <c r="AL95" i="1"/>
  <c r="AW95" i="1"/>
  <c r="AF95" i="1"/>
  <c r="AG95" i="1" s="1"/>
  <c r="AO95" i="1"/>
  <c r="AP95" i="1" s="1"/>
  <c r="AQ95" i="1"/>
  <c r="AR95" i="1" s="1"/>
  <c r="AZ95" i="1"/>
  <c r="BA95" i="1" s="1"/>
  <c r="AD95" i="1"/>
  <c r="AE95" i="1" s="1"/>
  <c r="BB95" i="1"/>
  <c r="BC95" i="1" s="1"/>
  <c r="Y95" i="1"/>
  <c r="X95" i="1"/>
  <c r="AJ95" i="1"/>
  <c r="AU95" i="1"/>
  <c r="Z95" i="1"/>
  <c r="AL94" i="1"/>
  <c r="Z94" i="1"/>
  <c r="AV94" i="1"/>
  <c r="Y94" i="1"/>
  <c r="AK94" i="1"/>
  <c r="BB94" i="1"/>
  <c r="BC94" i="1" s="1"/>
  <c r="AF94" i="1"/>
  <c r="AG94" i="1" s="1"/>
  <c r="AZ94" i="1"/>
  <c r="BA94" i="1" s="1"/>
  <c r="AO94" i="1"/>
  <c r="AP94" i="1" s="1"/>
  <c r="AD94" i="1"/>
  <c r="AE94" i="1" s="1"/>
  <c r="AQ94" i="1"/>
  <c r="AR94" i="1" s="1"/>
  <c r="AJ94" i="1"/>
  <c r="AW94" i="1"/>
  <c r="X94" i="1"/>
  <c r="AU94" i="1"/>
  <c r="AI94" i="1"/>
  <c r="AT94" i="1"/>
  <c r="AA94" i="1"/>
  <c r="AV93" i="1"/>
  <c r="Y93" i="1"/>
  <c r="AJ93" i="1"/>
  <c r="AU93" i="1"/>
  <c r="AW93" i="1"/>
  <c r="X93" i="1"/>
  <c r="AT93" i="1"/>
  <c r="AI93" i="1"/>
  <c r="AA93" i="1"/>
  <c r="AK93" i="1"/>
  <c r="AL93" i="1"/>
  <c r="AD93" i="1"/>
  <c r="AE93" i="1" s="1"/>
  <c r="AZ93" i="1"/>
  <c r="BA93" i="1" s="1"/>
  <c r="AO93" i="1"/>
  <c r="AP93" i="1" s="1"/>
  <c r="AQ93" i="1"/>
  <c r="AR93" i="1" s="1"/>
  <c r="BB93" i="1"/>
  <c r="BC93" i="1" s="1"/>
  <c r="AF93" i="1"/>
  <c r="AG93" i="1" s="1"/>
  <c r="Z93" i="1"/>
  <c r="Y92" i="1"/>
  <c r="AK92" i="1"/>
  <c r="X92" i="1"/>
  <c r="AI92" i="1"/>
  <c r="AW92" i="1"/>
  <c r="AO92" i="1"/>
  <c r="AP92" i="1" s="1"/>
  <c r="AD92" i="1"/>
  <c r="AE92" i="1" s="1"/>
  <c r="AQ92" i="1"/>
  <c r="AR92" i="1" s="1"/>
  <c r="AZ92" i="1"/>
  <c r="BA92" i="1" s="1"/>
  <c r="BB92" i="1"/>
  <c r="BC92" i="1" s="1"/>
  <c r="AF92" i="1"/>
  <c r="AG92" i="1" s="1"/>
  <c r="AJ92" i="1"/>
  <c r="AU92" i="1"/>
  <c r="Z92" i="1"/>
  <c r="AA92" i="1"/>
  <c r="AT92" i="1"/>
  <c r="AV92" i="1"/>
  <c r="AL92" i="1"/>
  <c r="Z91" i="1"/>
  <c r="AV91" i="1"/>
  <c r="AK91" i="1"/>
  <c r="AZ91" i="1"/>
  <c r="BA91" i="1" s="1"/>
  <c r="BB91" i="1"/>
  <c r="BC91" i="1" s="1"/>
  <c r="AF91" i="1"/>
  <c r="AG91" i="1" s="1"/>
  <c r="AO91" i="1"/>
  <c r="AP91" i="1" s="1"/>
  <c r="AD91" i="1"/>
  <c r="AE91" i="1" s="1"/>
  <c r="AQ91" i="1"/>
  <c r="AR91" i="1" s="1"/>
  <c r="Y91" i="1"/>
  <c r="AU91" i="1"/>
  <c r="AI91" i="1"/>
  <c r="AT91" i="1"/>
  <c r="AW91" i="1"/>
  <c r="X91" i="1"/>
  <c r="AL91" i="1"/>
  <c r="AJ91" i="1"/>
  <c r="AA91" i="1"/>
  <c r="AI90" i="1"/>
  <c r="AW90" i="1"/>
  <c r="AV90" i="1"/>
  <c r="AL90" i="1"/>
  <c r="Z90" i="1"/>
  <c r="Y90" i="1"/>
  <c r="AZ90" i="1"/>
  <c r="BA90" i="1" s="1"/>
  <c r="AO90" i="1"/>
  <c r="AP90" i="1" s="1"/>
  <c r="AD90" i="1"/>
  <c r="AE90" i="1" s="1"/>
  <c r="AQ90" i="1"/>
  <c r="AR90" i="1" s="1"/>
  <c r="AF90" i="1"/>
  <c r="AG90" i="1" s="1"/>
  <c r="BB90" i="1"/>
  <c r="BC90" i="1" s="1"/>
  <c r="AJ90" i="1"/>
  <c r="AK90" i="1"/>
  <c r="AT90" i="1"/>
  <c r="AU90" i="1"/>
  <c r="X90" i="1"/>
  <c r="AA90" i="1"/>
  <c r="Z89" i="1"/>
  <c r="AU89" i="1"/>
  <c r="AT89" i="1"/>
  <c r="AK89" i="1"/>
  <c r="AL89" i="1"/>
  <c r="AA89" i="1"/>
  <c r="AW89" i="1"/>
  <c r="AZ89" i="1"/>
  <c r="BA89" i="1" s="1"/>
  <c r="AF89" i="1"/>
  <c r="AG89" i="1" s="1"/>
  <c r="AD89" i="1"/>
  <c r="AE89" i="1" s="1"/>
  <c r="AQ89" i="1"/>
  <c r="AR89" i="1" s="1"/>
  <c r="BB89" i="1"/>
  <c r="BC89" i="1" s="1"/>
  <c r="AO89" i="1"/>
  <c r="AP89" i="1" s="1"/>
  <c r="AJ89" i="1"/>
  <c r="X89" i="1"/>
  <c r="AV89" i="1"/>
  <c r="AI89" i="1"/>
  <c r="Y89" i="1"/>
  <c r="Y88" i="1"/>
  <c r="AT88" i="1"/>
  <c r="Z88" i="1"/>
  <c r="AQ88" i="1"/>
  <c r="AR88" i="1" s="1"/>
  <c r="BB88" i="1"/>
  <c r="BC88" i="1" s="1"/>
  <c r="AF88" i="1"/>
  <c r="AG88" i="1" s="1"/>
  <c r="AD88" i="1"/>
  <c r="AE88" i="1" s="1"/>
  <c r="AO88" i="1"/>
  <c r="AP88" i="1" s="1"/>
  <c r="AZ88" i="1"/>
  <c r="BA88" i="1" s="1"/>
  <c r="X88" i="1"/>
  <c r="AI88" i="1"/>
  <c r="AA88" i="1"/>
  <c r="AU88" i="1"/>
  <c r="AJ88" i="1"/>
  <c r="AL88" i="1"/>
  <c r="AK88" i="1"/>
  <c r="AV88" i="1"/>
  <c r="AW88" i="1"/>
  <c r="AU87" i="1"/>
  <c r="X87" i="1"/>
  <c r="Y87" i="1"/>
  <c r="AL87" i="1"/>
  <c r="Z87" i="1"/>
  <c r="AA87" i="1"/>
  <c r="AW87" i="1"/>
  <c r="AZ87" i="1"/>
  <c r="BA87" i="1" s="1"/>
  <c r="AD87" i="1"/>
  <c r="AE87" i="1" s="1"/>
  <c r="AO87" i="1"/>
  <c r="AP87" i="1" s="1"/>
  <c r="AF87" i="1"/>
  <c r="AG87" i="1" s="1"/>
  <c r="BB87" i="1"/>
  <c r="BC87" i="1" s="1"/>
  <c r="AQ87" i="1"/>
  <c r="AR87" i="1" s="1"/>
  <c r="AK87" i="1"/>
  <c r="AT87" i="1"/>
  <c r="AJ87" i="1"/>
  <c r="AI87" i="1"/>
  <c r="AV87" i="1"/>
  <c r="AW86" i="1"/>
  <c r="AK86" i="1"/>
  <c r="AA86" i="1"/>
  <c r="AL86" i="1"/>
  <c r="Y86" i="1"/>
  <c r="AF86" i="1"/>
  <c r="AG86" i="1" s="1"/>
  <c r="AZ86" i="1"/>
  <c r="BA86" i="1" s="1"/>
  <c r="AO86" i="1"/>
  <c r="AP86" i="1" s="1"/>
  <c r="BB86" i="1"/>
  <c r="BC86" i="1" s="1"/>
  <c r="AQ86" i="1"/>
  <c r="AR86" i="1" s="1"/>
  <c r="AD86" i="1"/>
  <c r="AE86" i="1" s="1"/>
  <c r="AV86" i="1"/>
  <c r="AI86" i="1"/>
  <c r="AJ86" i="1"/>
  <c r="X86" i="1"/>
  <c r="Z86" i="1"/>
  <c r="AT86" i="1"/>
  <c r="AU86" i="1"/>
  <c r="AL85" i="1"/>
  <c r="AI85" i="1"/>
  <c r="X85" i="1"/>
  <c r="AT85" i="1"/>
  <c r="AV85" i="1"/>
  <c r="Y85" i="1"/>
  <c r="AJ85" i="1"/>
  <c r="AZ85" i="1"/>
  <c r="BA85" i="1" s="1"/>
  <c r="AQ85" i="1"/>
  <c r="AR85" i="1" s="1"/>
  <c r="AF85" i="1"/>
  <c r="AG85" i="1" s="1"/>
  <c r="AO85" i="1"/>
  <c r="AP85" i="1" s="1"/>
  <c r="AD85" i="1"/>
  <c r="AE85" i="1" s="1"/>
  <c r="BB85" i="1"/>
  <c r="BC85" i="1" s="1"/>
  <c r="AK85" i="1"/>
  <c r="AW85" i="1"/>
  <c r="AU85" i="1"/>
  <c r="AA85" i="1"/>
  <c r="Z85" i="1"/>
  <c r="AL84" i="1"/>
  <c r="AA84" i="1"/>
  <c r="AV84" i="1"/>
  <c r="AK84" i="1"/>
  <c r="Z84" i="1"/>
  <c r="AZ84" i="1"/>
  <c r="BA84" i="1" s="1"/>
  <c r="AO84" i="1"/>
  <c r="AP84" i="1" s="1"/>
  <c r="AD84" i="1"/>
  <c r="AE84" i="1" s="1"/>
  <c r="AQ84" i="1"/>
  <c r="AR84" i="1" s="1"/>
  <c r="BB84" i="1"/>
  <c r="BC84" i="1" s="1"/>
  <c r="AF84" i="1"/>
  <c r="AG84" i="1" s="1"/>
  <c r="Y84" i="1"/>
  <c r="AI84" i="1"/>
  <c r="AT84" i="1"/>
  <c r="AU84" i="1"/>
  <c r="X84" i="1"/>
  <c r="AW84" i="1"/>
  <c r="AJ84" i="1"/>
  <c r="AL83" i="1"/>
  <c r="AA83" i="1"/>
  <c r="Z83" i="1"/>
  <c r="X83" i="1"/>
  <c r="AT83" i="1"/>
  <c r="AJ83" i="1"/>
  <c r="AF83" i="1"/>
  <c r="AG83" i="1" s="1"/>
  <c r="AD83" i="1"/>
  <c r="AE83" i="1" s="1"/>
  <c r="AQ83" i="1"/>
  <c r="AR83" i="1" s="1"/>
  <c r="AO83" i="1"/>
  <c r="AP83" i="1" s="1"/>
  <c r="AZ83" i="1"/>
  <c r="BA83" i="1" s="1"/>
  <c r="BB83" i="1"/>
  <c r="BC83" i="1" s="1"/>
  <c r="Y83" i="1"/>
  <c r="AK83" i="1"/>
  <c r="AI83" i="1"/>
  <c r="AU83" i="1"/>
  <c r="AW83" i="1"/>
  <c r="AV83" i="1"/>
  <c r="AI82" i="1"/>
  <c r="AT82" i="1"/>
  <c r="AO82" i="1"/>
  <c r="AP82" i="1" s="1"/>
  <c r="AF82" i="1"/>
  <c r="AG82" i="1" s="1"/>
  <c r="BB82" i="1"/>
  <c r="BC82" i="1" s="1"/>
  <c r="AQ82" i="1"/>
  <c r="AR82" i="1" s="1"/>
  <c r="AZ82" i="1"/>
  <c r="BA82" i="1" s="1"/>
  <c r="AD82" i="1"/>
  <c r="AE82" i="1" s="1"/>
  <c r="Z82" i="1"/>
  <c r="AV82" i="1"/>
  <c r="AA82" i="1"/>
  <c r="AU82" i="1"/>
  <c r="AW82" i="1"/>
  <c r="AK82" i="1"/>
  <c r="AL82" i="1"/>
  <c r="Y82" i="1"/>
  <c r="X82" i="1"/>
  <c r="AJ82" i="1"/>
  <c r="AA81" i="1"/>
  <c r="Y81" i="1"/>
  <c r="AU81" i="1"/>
  <c r="AV81" i="1"/>
  <c r="AF81" i="1"/>
  <c r="AG81" i="1" s="1"/>
  <c r="AQ81" i="1"/>
  <c r="AR81" i="1" s="1"/>
  <c r="AD81" i="1"/>
  <c r="AE81" i="1" s="1"/>
  <c r="AZ81" i="1"/>
  <c r="BA81" i="1" s="1"/>
  <c r="AO81" i="1"/>
  <c r="AP81" i="1" s="1"/>
  <c r="BB81" i="1"/>
  <c r="BC81" i="1" s="1"/>
  <c r="AK81" i="1"/>
  <c r="AJ81" i="1"/>
  <c r="AT81" i="1"/>
  <c r="Z81" i="1"/>
  <c r="AI81" i="1"/>
  <c r="AL81" i="1"/>
  <c r="X81" i="1"/>
  <c r="AW81" i="1"/>
  <c r="AJ80" i="1"/>
  <c r="AU80" i="1"/>
  <c r="AV80" i="1"/>
  <c r="Y80" i="1"/>
  <c r="AA80" i="1"/>
  <c r="AL80" i="1"/>
  <c r="BB80" i="1"/>
  <c r="BC80" i="1" s="1"/>
  <c r="AO80" i="1"/>
  <c r="AP80" i="1" s="1"/>
  <c r="AF80" i="1"/>
  <c r="AG80" i="1" s="1"/>
  <c r="AD80" i="1"/>
  <c r="AE80" i="1" s="1"/>
  <c r="AZ80" i="1"/>
  <c r="BA80" i="1" s="1"/>
  <c r="AQ80" i="1"/>
  <c r="AR80" i="1" s="1"/>
  <c r="AK80" i="1"/>
  <c r="AI80" i="1"/>
  <c r="X80" i="1"/>
  <c r="AT80" i="1"/>
  <c r="Z80" i="1"/>
  <c r="AW80" i="1"/>
  <c r="AW79" i="1"/>
  <c r="AA79" i="1"/>
  <c r="AK79" i="1"/>
  <c r="AD79" i="1"/>
  <c r="AE79" i="1" s="1"/>
  <c r="AO79" i="1"/>
  <c r="AP79" i="1" s="1"/>
  <c r="AQ79" i="1"/>
  <c r="AR79" i="1" s="1"/>
  <c r="AZ79" i="1"/>
  <c r="BA79" i="1" s="1"/>
  <c r="AF79" i="1"/>
  <c r="AG79" i="1" s="1"/>
  <c r="BB79" i="1"/>
  <c r="BC79" i="1" s="1"/>
  <c r="Y79" i="1"/>
  <c r="AJ79" i="1"/>
  <c r="AI79" i="1"/>
  <c r="Z79" i="1"/>
  <c r="X79" i="1"/>
  <c r="AT79" i="1"/>
  <c r="AU79" i="1"/>
  <c r="AL79" i="1"/>
  <c r="AV79" i="1"/>
  <c r="AJ78" i="1"/>
  <c r="AV78" i="1"/>
  <c r="AL78" i="1"/>
  <c r="AK78" i="1"/>
  <c r="Z78" i="1"/>
  <c r="AF78" i="1"/>
  <c r="AG78" i="1" s="1"/>
  <c r="AQ78" i="1"/>
  <c r="AR78" i="1" s="1"/>
  <c r="AD78" i="1"/>
  <c r="AE78" i="1" s="1"/>
  <c r="AZ78" i="1"/>
  <c r="BA78" i="1" s="1"/>
  <c r="BB78" i="1"/>
  <c r="BC78" i="1" s="1"/>
  <c r="AO78" i="1"/>
  <c r="AP78" i="1" s="1"/>
  <c r="AI78" i="1"/>
  <c r="Y78" i="1"/>
  <c r="AT78" i="1"/>
  <c r="AU78" i="1"/>
  <c r="AA78" i="1"/>
  <c r="X78" i="1"/>
  <c r="AW78" i="1"/>
  <c r="AT77" i="1"/>
  <c r="X77" i="1"/>
  <c r="AI77" i="1"/>
  <c r="AA77" i="1"/>
  <c r="Z77" i="1"/>
  <c r="AK77" i="1"/>
  <c r="AL77" i="1"/>
  <c r="AW77" i="1"/>
  <c r="AV77" i="1"/>
  <c r="Y77" i="1"/>
  <c r="AJ77" i="1"/>
  <c r="AO77" i="1"/>
  <c r="AP77" i="1" s="1"/>
  <c r="AD77" i="1"/>
  <c r="AE77" i="1" s="1"/>
  <c r="AZ77" i="1"/>
  <c r="BA77" i="1" s="1"/>
  <c r="AF77" i="1"/>
  <c r="AG77" i="1" s="1"/>
  <c r="AQ77" i="1"/>
  <c r="AR77" i="1" s="1"/>
  <c r="BB77" i="1"/>
  <c r="BC77" i="1" s="1"/>
  <c r="AU77" i="1"/>
  <c r="AV76" i="1"/>
  <c r="AK76" i="1"/>
  <c r="AJ76" i="1"/>
  <c r="AF76" i="1"/>
  <c r="AG76" i="1" s="1"/>
  <c r="AD76" i="1"/>
  <c r="AE76" i="1" s="1"/>
  <c r="BB76" i="1"/>
  <c r="BC76" i="1" s="1"/>
  <c r="AZ76" i="1"/>
  <c r="BA76" i="1" s="1"/>
  <c r="AO76" i="1"/>
  <c r="AP76" i="1" s="1"/>
  <c r="AQ76" i="1"/>
  <c r="AR76" i="1" s="1"/>
  <c r="AU76" i="1"/>
  <c r="X76" i="1"/>
  <c r="Y76" i="1"/>
  <c r="AT76" i="1"/>
  <c r="AA76" i="1"/>
  <c r="AI76" i="1"/>
  <c r="AL76" i="1"/>
  <c r="Z76" i="1"/>
  <c r="AW76" i="1"/>
  <c r="AW75" i="1"/>
  <c r="Z75" i="1"/>
  <c r="AL75" i="1"/>
  <c r="AA75" i="1"/>
  <c r="AZ75" i="1"/>
  <c r="BA75" i="1" s="1"/>
  <c r="AO75" i="1"/>
  <c r="AP75" i="1" s="1"/>
  <c r="AD75" i="1"/>
  <c r="AE75" i="1" s="1"/>
  <c r="BB75" i="1"/>
  <c r="BC75" i="1" s="1"/>
  <c r="AQ75" i="1"/>
  <c r="AR75" i="1" s="1"/>
  <c r="AF75" i="1"/>
  <c r="AG75" i="1" s="1"/>
  <c r="AJ75" i="1"/>
  <c r="AV75" i="1"/>
  <c r="X75" i="1"/>
  <c r="AK75" i="1"/>
  <c r="AI75" i="1"/>
  <c r="Y75" i="1"/>
  <c r="AT75" i="1"/>
  <c r="AU75" i="1"/>
  <c r="AV74" i="1"/>
  <c r="AA74" i="1"/>
  <c r="AL74" i="1"/>
  <c r="AW74" i="1"/>
  <c r="Y74" i="1"/>
  <c r="BB74" i="1"/>
  <c r="BC74" i="1" s="1"/>
  <c r="AD74" i="1"/>
  <c r="AE74" i="1" s="1"/>
  <c r="AZ74" i="1"/>
  <c r="BA74" i="1" s="1"/>
  <c r="AO74" i="1"/>
  <c r="AP74" i="1" s="1"/>
  <c r="AQ74" i="1"/>
  <c r="AR74" i="1" s="1"/>
  <c r="AF74" i="1"/>
  <c r="AG74" i="1" s="1"/>
  <c r="AJ74" i="1"/>
  <c r="X74" i="1"/>
  <c r="Z74" i="1"/>
  <c r="AT74" i="1"/>
  <c r="AU74" i="1"/>
  <c r="AI74" i="1"/>
  <c r="AK74" i="1"/>
  <c r="AW73" i="1"/>
  <c r="AK73" i="1"/>
  <c r="X73" i="1"/>
  <c r="AA73" i="1"/>
  <c r="AL73" i="1"/>
  <c r="AJ73" i="1"/>
  <c r="AV73" i="1"/>
  <c r="BB73" i="1"/>
  <c r="BC73" i="1" s="1"/>
  <c r="AO73" i="1"/>
  <c r="AP73" i="1" s="1"/>
  <c r="AD73" i="1"/>
  <c r="AE73" i="1" s="1"/>
  <c r="AF73" i="1"/>
  <c r="AG73" i="1" s="1"/>
  <c r="AZ73" i="1"/>
  <c r="BA73" i="1" s="1"/>
  <c r="AQ73" i="1"/>
  <c r="AR73" i="1" s="1"/>
  <c r="Y73" i="1"/>
  <c r="AI73" i="1"/>
  <c r="Z73" i="1"/>
  <c r="AT73" i="1"/>
  <c r="AU73" i="1"/>
  <c r="X72" i="1"/>
  <c r="AA72" i="1"/>
  <c r="AU72" i="1"/>
  <c r="AK72" i="1"/>
  <c r="AJ72" i="1"/>
  <c r="AW72" i="1"/>
  <c r="Z71" i="1"/>
  <c r="AT72" i="1"/>
  <c r="AV72" i="1"/>
  <c r="AO72" i="1"/>
  <c r="AP72" i="1" s="1"/>
  <c r="AQ72" i="1"/>
  <c r="AR72" i="1" s="1"/>
  <c r="BB72" i="1"/>
  <c r="BC72" i="1" s="1"/>
  <c r="AZ72" i="1"/>
  <c r="BA72" i="1" s="1"/>
  <c r="AD72" i="1"/>
  <c r="AE72" i="1" s="1"/>
  <c r="AF72" i="1"/>
  <c r="AG72" i="1" s="1"/>
  <c r="Z72" i="1"/>
  <c r="Y72" i="1"/>
  <c r="AI72" i="1"/>
  <c r="AL72" i="1"/>
  <c r="AJ71" i="1"/>
  <c r="AU71" i="1"/>
  <c r="AO71" i="1"/>
  <c r="AP71" i="1" s="1"/>
  <c r="AZ71" i="1"/>
  <c r="BA71" i="1" s="1"/>
  <c r="AD71" i="1"/>
  <c r="AE71" i="1" s="1"/>
  <c r="AF71" i="1"/>
  <c r="AG71" i="1" s="1"/>
  <c r="AQ71" i="1"/>
  <c r="AR71" i="1" s="1"/>
  <c r="BB71" i="1"/>
  <c r="BC71" i="1" s="1"/>
  <c r="AK71" i="1"/>
  <c r="AI71" i="1"/>
  <c r="Y71" i="1"/>
  <c r="X71" i="1"/>
  <c r="AL71" i="1"/>
  <c r="AT71" i="1"/>
  <c r="AW71" i="1"/>
  <c r="AV71" i="1"/>
  <c r="AA71" i="1"/>
  <c r="AV70" i="1"/>
  <c r="AU70" i="1"/>
  <c r="AJ70" i="1"/>
  <c r="AF70" i="1"/>
  <c r="AG70" i="1" s="1"/>
  <c r="BB70" i="1"/>
  <c r="BC70" i="1" s="1"/>
  <c r="AD70" i="1"/>
  <c r="AE70" i="1" s="1"/>
  <c r="AO70" i="1"/>
  <c r="AP70" i="1" s="1"/>
  <c r="AZ70" i="1"/>
  <c r="BA70" i="1" s="1"/>
  <c r="AQ70" i="1"/>
  <c r="AR70" i="1" s="1"/>
  <c r="AK70" i="1"/>
  <c r="AA70" i="1"/>
  <c r="AW70" i="1"/>
  <c r="AT70" i="1"/>
  <c r="Y70" i="1"/>
  <c r="AI70" i="1"/>
  <c r="AL70" i="1"/>
  <c r="Z70" i="1"/>
  <c r="X70" i="1"/>
  <c r="AV69" i="1"/>
  <c r="AJ69" i="1"/>
  <c r="Z69" i="1"/>
  <c r="AL69" i="1"/>
  <c r="AF69" i="1"/>
  <c r="AG69" i="1" s="1"/>
  <c r="AO69" i="1"/>
  <c r="AP69" i="1" s="1"/>
  <c r="BB69" i="1"/>
  <c r="BC69" i="1" s="1"/>
  <c r="AD69" i="1"/>
  <c r="AE69" i="1" s="1"/>
  <c r="AQ69" i="1"/>
  <c r="AR69" i="1" s="1"/>
  <c r="AZ69" i="1"/>
  <c r="BA69" i="1" s="1"/>
  <c r="AU69" i="1"/>
  <c r="Y69" i="1"/>
  <c r="X69" i="1"/>
  <c r="AK69" i="1"/>
  <c r="AI69" i="1"/>
  <c r="AW69" i="1"/>
  <c r="AT69" i="1"/>
  <c r="AA69" i="1"/>
  <c r="Z68" i="1"/>
  <c r="AJ68" i="1"/>
  <c r="AV68" i="1"/>
  <c r="AU68" i="1"/>
  <c r="AL68" i="1"/>
  <c r="AF68" i="1"/>
  <c r="AG68" i="1" s="1"/>
  <c r="BB68" i="1"/>
  <c r="BC68" i="1" s="1"/>
  <c r="AZ68" i="1"/>
  <c r="BA68" i="1" s="1"/>
  <c r="AQ68" i="1"/>
  <c r="AR68" i="1" s="1"/>
  <c r="AO68" i="1"/>
  <c r="AP68" i="1" s="1"/>
  <c r="AD68" i="1"/>
  <c r="AE68" i="1" s="1"/>
  <c r="AK68" i="1"/>
  <c r="X68" i="1"/>
  <c r="Y68" i="1"/>
  <c r="AT68" i="1"/>
  <c r="AA68" i="1"/>
  <c r="AI68" i="1"/>
  <c r="AW68" i="1"/>
  <c r="AU67" i="1"/>
  <c r="AK67" i="1"/>
  <c r="AF67" i="1"/>
  <c r="AG67" i="1" s="1"/>
  <c r="AQ67" i="1"/>
  <c r="AR67" i="1" s="1"/>
  <c r="AZ67" i="1"/>
  <c r="BA67" i="1" s="1"/>
  <c r="AO67" i="1"/>
  <c r="AP67" i="1" s="1"/>
  <c r="BB67" i="1"/>
  <c r="BC67" i="1" s="1"/>
  <c r="AD67" i="1"/>
  <c r="AE67" i="1" s="1"/>
  <c r="AA67" i="1"/>
  <c r="AL67" i="1"/>
  <c r="AV67" i="1"/>
  <c r="AJ67" i="1"/>
  <c r="AT67" i="1"/>
  <c r="AW67" i="1"/>
  <c r="Z67" i="1"/>
  <c r="AI67" i="1"/>
  <c r="Y67" i="1"/>
  <c r="X67" i="1"/>
  <c r="AL66" i="1"/>
  <c r="AV66" i="1"/>
  <c r="Y66" i="1"/>
  <c r="Z66" i="1"/>
  <c r="AU66" i="1"/>
  <c r="AF66" i="1"/>
  <c r="AG66" i="1" s="1"/>
  <c r="AD66" i="1"/>
  <c r="AE66" i="1" s="1"/>
  <c r="AO66" i="1"/>
  <c r="AP66" i="1" s="1"/>
  <c r="AZ66" i="1"/>
  <c r="BA66" i="1" s="1"/>
  <c r="AQ66" i="1"/>
  <c r="AR66" i="1" s="1"/>
  <c r="BB66" i="1"/>
  <c r="BC66" i="1" s="1"/>
  <c r="AK66" i="1"/>
  <c r="AT66" i="1"/>
  <c r="AJ66" i="1"/>
  <c r="X66" i="1"/>
  <c r="AA66" i="1"/>
  <c r="AI66" i="1"/>
  <c r="AW66" i="1"/>
  <c r="Z65" i="1"/>
  <c r="AV65" i="1"/>
  <c r="AU65" i="1"/>
  <c r="AT65" i="1"/>
  <c r="AI65" i="1"/>
  <c r="AA65" i="1"/>
  <c r="AQ65" i="1"/>
  <c r="AR65" i="1" s="1"/>
  <c r="AF65" i="1"/>
  <c r="AG65" i="1" s="1"/>
  <c r="BB65" i="1"/>
  <c r="BC65" i="1" s="1"/>
  <c r="AZ65" i="1"/>
  <c r="BA65" i="1" s="1"/>
  <c r="AO65" i="1"/>
  <c r="AP65" i="1" s="1"/>
  <c r="AD65" i="1"/>
  <c r="AE65" i="1" s="1"/>
  <c r="Y65" i="1"/>
  <c r="AK65" i="1"/>
  <c r="AW65" i="1"/>
  <c r="X65" i="1"/>
  <c r="AJ65" i="1"/>
  <c r="AL65" i="1"/>
  <c r="AL64" i="1"/>
  <c r="AA64" i="1"/>
  <c r="AQ64" i="1"/>
  <c r="AR64" i="1" s="1"/>
  <c r="AD64" i="1"/>
  <c r="AE64" i="1" s="1"/>
  <c r="AZ64" i="1"/>
  <c r="BA64" i="1" s="1"/>
  <c r="BB64" i="1"/>
  <c r="BC64" i="1" s="1"/>
  <c r="AF64" i="1"/>
  <c r="AG64" i="1" s="1"/>
  <c r="AO64" i="1"/>
  <c r="AP64" i="1" s="1"/>
  <c r="AV64" i="1"/>
  <c r="AI64" i="1"/>
  <c r="X64" i="1"/>
  <c r="Z64" i="1"/>
  <c r="Y64" i="1"/>
  <c r="AK64" i="1"/>
  <c r="AU64" i="1"/>
  <c r="AT64" i="1"/>
  <c r="AW64" i="1"/>
  <c r="AJ64" i="1"/>
  <c r="AA63" i="1"/>
  <c r="AW63" i="1"/>
  <c r="AJ63" i="1"/>
  <c r="AQ63" i="1"/>
  <c r="AR63" i="1" s="1"/>
  <c r="AD63" i="1"/>
  <c r="AE63" i="1" s="1"/>
  <c r="AF63" i="1"/>
  <c r="AG63" i="1" s="1"/>
  <c r="BB63" i="1"/>
  <c r="BC63" i="1" s="1"/>
  <c r="AO63" i="1"/>
  <c r="AP63" i="1" s="1"/>
  <c r="AZ63" i="1"/>
  <c r="BA63" i="1" s="1"/>
  <c r="Y63" i="1"/>
  <c r="AI63" i="1"/>
  <c r="AK63" i="1"/>
  <c r="AT63" i="1"/>
  <c r="Z63" i="1"/>
  <c r="X63" i="1"/>
  <c r="AV63" i="1"/>
  <c r="AL63" i="1"/>
  <c r="AU63" i="1"/>
  <c r="Y62" i="1"/>
  <c r="AK62" i="1"/>
  <c r="AA62" i="1"/>
  <c r="AJ62" i="1"/>
  <c r="AL62" i="1"/>
  <c r="AV62" i="1"/>
  <c r="Z62" i="1"/>
  <c r="AO62" i="1"/>
  <c r="AP62" i="1" s="1"/>
  <c r="AZ62" i="1"/>
  <c r="BA62" i="1" s="1"/>
  <c r="AF62" i="1"/>
  <c r="AG62" i="1" s="1"/>
  <c r="BB62" i="1"/>
  <c r="BC62" i="1" s="1"/>
  <c r="AQ62" i="1"/>
  <c r="AR62" i="1" s="1"/>
  <c r="AD62" i="1"/>
  <c r="AE62" i="1" s="1"/>
  <c r="X62" i="1"/>
  <c r="AT62" i="1"/>
  <c r="AI62" i="1"/>
  <c r="AU62" i="1"/>
  <c r="AW62" i="1"/>
  <c r="AT61" i="1"/>
  <c r="X61" i="1"/>
  <c r="Y61" i="1"/>
  <c r="BB61" i="1"/>
  <c r="BC61" i="1" s="1"/>
  <c r="AZ61" i="1"/>
  <c r="BA61" i="1" s="1"/>
  <c r="AO61" i="1"/>
  <c r="AP61" i="1" s="1"/>
  <c r="AF61" i="1"/>
  <c r="AG61" i="1" s="1"/>
  <c r="AD61" i="1"/>
  <c r="AE61" i="1" s="1"/>
  <c r="AQ61" i="1"/>
  <c r="AR61" i="1" s="1"/>
  <c r="AA61" i="1"/>
  <c r="AV61" i="1"/>
  <c r="AJ61" i="1"/>
  <c r="AU61" i="1"/>
  <c r="AK61" i="1"/>
  <c r="AL61" i="1"/>
  <c r="AW61" i="1"/>
  <c r="AI61" i="1"/>
  <c r="Z61" i="1"/>
  <c r="Y60" i="1"/>
  <c r="Z60" i="1"/>
  <c r="AU60" i="1"/>
  <c r="AQ60" i="1"/>
  <c r="AR60" i="1" s="1"/>
  <c r="AF60" i="1"/>
  <c r="AG60" i="1" s="1"/>
  <c r="AO60" i="1"/>
  <c r="AP60" i="1" s="1"/>
  <c r="BB60" i="1"/>
  <c r="BC60" i="1" s="1"/>
  <c r="AD60" i="1"/>
  <c r="AE60" i="1" s="1"/>
  <c r="AZ60" i="1"/>
  <c r="BA60" i="1" s="1"/>
  <c r="AV60" i="1"/>
  <c r="AI60" i="1"/>
  <c r="AK60" i="1"/>
  <c r="X60" i="1"/>
  <c r="AL60" i="1"/>
  <c r="AT60" i="1"/>
  <c r="AW60" i="1"/>
  <c r="AJ60" i="1"/>
  <c r="AA60" i="1"/>
  <c r="AW59" i="1"/>
  <c r="AL59" i="1"/>
  <c r="AT59" i="1"/>
  <c r="Z59" i="1"/>
  <c r="AV59" i="1"/>
  <c r="AJ59" i="1"/>
  <c r="AU59" i="1"/>
  <c r="AO59" i="1"/>
  <c r="AP59" i="1" s="1"/>
  <c r="AD59" i="1"/>
  <c r="AE59" i="1" s="1"/>
  <c r="AQ59" i="1"/>
  <c r="AR59" i="1" s="1"/>
  <c r="AF59" i="1"/>
  <c r="AG59" i="1" s="1"/>
  <c r="AZ59" i="1"/>
  <c r="BA59" i="1" s="1"/>
  <c r="BB59" i="1"/>
  <c r="BC59" i="1" s="1"/>
  <c r="AK59" i="1"/>
  <c r="X59" i="1"/>
  <c r="Y59" i="1"/>
  <c r="AI59" i="1"/>
  <c r="AA59" i="1"/>
  <c r="AW58" i="1"/>
  <c r="AL58" i="1"/>
  <c r="AA58" i="1"/>
  <c r="AJ58" i="1"/>
  <c r="Y58" i="1"/>
  <c r="AO58" i="1"/>
  <c r="AP58" i="1" s="1"/>
  <c r="BB58" i="1"/>
  <c r="BC58" i="1" s="1"/>
  <c r="AQ58" i="1"/>
  <c r="AR58" i="1" s="1"/>
  <c r="AF58" i="1"/>
  <c r="AG58" i="1" s="1"/>
  <c r="AD58" i="1"/>
  <c r="AE58" i="1" s="1"/>
  <c r="AZ58" i="1"/>
  <c r="BA58" i="1" s="1"/>
  <c r="AV58" i="1"/>
  <c r="AI58" i="1"/>
  <c r="Z58" i="1"/>
  <c r="X58" i="1"/>
  <c r="AK58" i="1"/>
  <c r="AT58" i="1"/>
  <c r="AU58" i="1"/>
  <c r="AI57" i="1"/>
  <c r="X57" i="1"/>
  <c r="AT57" i="1"/>
  <c r="AW57" i="1"/>
  <c r="AA57" i="1"/>
  <c r="AV57" i="1"/>
  <c r="AU57" i="1"/>
  <c r="AJ57" i="1"/>
  <c r="Y57" i="1"/>
  <c r="Z57" i="1"/>
  <c r="AL57" i="1"/>
  <c r="AO57" i="1"/>
  <c r="AP57" i="1" s="1"/>
  <c r="AZ57" i="1"/>
  <c r="BA57" i="1" s="1"/>
  <c r="AQ57" i="1"/>
  <c r="AR57" i="1" s="1"/>
  <c r="BB57" i="1"/>
  <c r="BC57" i="1" s="1"/>
  <c r="AD57" i="1"/>
  <c r="AE57" i="1" s="1"/>
  <c r="AF57" i="1"/>
  <c r="AG57" i="1" s="1"/>
  <c r="AK57" i="1"/>
  <c r="AK56" i="1"/>
  <c r="AL56" i="1"/>
  <c r="AW56" i="1"/>
  <c r="AA56" i="1"/>
  <c r="AV56" i="1"/>
  <c r="BB56" i="1"/>
  <c r="BC56" i="1" s="1"/>
  <c r="AZ56" i="1"/>
  <c r="BA56" i="1" s="1"/>
  <c r="AF56" i="1"/>
  <c r="AG56" i="1" s="1"/>
  <c r="AD56" i="1"/>
  <c r="AE56" i="1" s="1"/>
  <c r="AQ56" i="1"/>
  <c r="AR56" i="1" s="1"/>
  <c r="AO56" i="1"/>
  <c r="AP56" i="1" s="1"/>
  <c r="AU56" i="1"/>
  <c r="AI56" i="1"/>
  <c r="Y56" i="1"/>
  <c r="X56" i="1"/>
  <c r="AJ56" i="1"/>
  <c r="AT56" i="1"/>
  <c r="Z56" i="1"/>
  <c r="Y55" i="1"/>
  <c r="AK55" i="1"/>
  <c r="AI55" i="1"/>
  <c r="AV55" i="1"/>
  <c r="Z55" i="1"/>
  <c r="AW55" i="1"/>
  <c r="AD55" i="1"/>
  <c r="AE55" i="1" s="1"/>
  <c r="AZ55" i="1"/>
  <c r="BA55" i="1" s="1"/>
  <c r="AO55" i="1"/>
  <c r="AP55" i="1" s="1"/>
  <c r="AQ55" i="1"/>
  <c r="AR55" i="1" s="1"/>
  <c r="AF55" i="1"/>
  <c r="AG55" i="1" s="1"/>
  <c r="BB55" i="1"/>
  <c r="BC55" i="1" s="1"/>
  <c r="AT55" i="1"/>
  <c r="X55" i="1"/>
  <c r="AA55" i="1"/>
  <c r="AJ55" i="1"/>
  <c r="AU55" i="1"/>
  <c r="AL55" i="1"/>
  <c r="Y54" i="1"/>
  <c r="AL54" i="1"/>
  <c r="Z54" i="1"/>
  <c r="AJ54" i="1"/>
  <c r="AV54" i="1"/>
  <c r="AO54" i="1"/>
  <c r="AP54" i="1" s="1"/>
  <c r="AF54" i="1"/>
  <c r="AG54" i="1" s="1"/>
  <c r="AZ54" i="1"/>
  <c r="BA54" i="1" s="1"/>
  <c r="BB54" i="1"/>
  <c r="BC54" i="1" s="1"/>
  <c r="AD54" i="1"/>
  <c r="AE54" i="1" s="1"/>
  <c r="AQ54" i="1"/>
  <c r="AR54" i="1" s="1"/>
  <c r="AK54" i="1"/>
  <c r="AW54" i="1"/>
  <c r="X54" i="1"/>
  <c r="AU54" i="1"/>
  <c r="AT54" i="1"/>
  <c r="AI54" i="1"/>
  <c r="AA54" i="1"/>
  <c r="AU53" i="1"/>
  <c r="Y53" i="1"/>
  <c r="AL53" i="1"/>
  <c r="AW53" i="1"/>
  <c r="AA53" i="1"/>
  <c r="AD53" i="1"/>
  <c r="AE53" i="1" s="1"/>
  <c r="AF53" i="1"/>
  <c r="AG53" i="1" s="1"/>
  <c r="BB53" i="1"/>
  <c r="BC53" i="1" s="1"/>
  <c r="AZ53" i="1"/>
  <c r="BA53" i="1" s="1"/>
  <c r="AQ53" i="1"/>
  <c r="AR53" i="1" s="1"/>
  <c r="AO53" i="1"/>
  <c r="AP53" i="1" s="1"/>
  <c r="Z53" i="1"/>
  <c r="AT53" i="1"/>
  <c r="AJ53" i="1"/>
  <c r="AI53" i="1"/>
  <c r="AV53" i="1"/>
  <c r="X53" i="1"/>
  <c r="AK53" i="1"/>
  <c r="AT52" i="1"/>
  <c r="AV52" i="1"/>
  <c r="AW52" i="1"/>
  <c r="AK52" i="1"/>
  <c r="AL52" i="1"/>
  <c r="Y52" i="1"/>
  <c r="AJ52" i="1"/>
  <c r="AD52" i="1"/>
  <c r="AE52" i="1" s="1"/>
  <c r="AF52" i="1"/>
  <c r="AG52" i="1" s="1"/>
  <c r="BB52" i="1"/>
  <c r="BC52" i="1" s="1"/>
  <c r="AZ52" i="1"/>
  <c r="BA52" i="1" s="1"/>
  <c r="AQ52" i="1"/>
  <c r="AR52" i="1" s="1"/>
  <c r="AO52" i="1"/>
  <c r="AP52" i="1" s="1"/>
  <c r="AI52" i="1"/>
  <c r="Z52" i="1"/>
  <c r="AU52" i="1"/>
  <c r="AA52" i="1"/>
  <c r="X52" i="1"/>
  <c r="AI51" i="1"/>
  <c r="Y51" i="1"/>
  <c r="AJ51" i="1"/>
  <c r="AF51" i="1"/>
  <c r="AG51" i="1" s="1"/>
  <c r="AD51" i="1"/>
  <c r="AE51" i="1" s="1"/>
  <c r="AO51" i="1"/>
  <c r="AP51" i="1" s="1"/>
  <c r="BB51" i="1"/>
  <c r="BC51" i="1" s="1"/>
  <c r="AQ51" i="1"/>
  <c r="AR51" i="1" s="1"/>
  <c r="AZ51" i="1"/>
  <c r="BA51" i="1" s="1"/>
  <c r="X51" i="1"/>
  <c r="AT51" i="1"/>
  <c r="AV51" i="1"/>
  <c r="Z51" i="1"/>
  <c r="AW51" i="1"/>
  <c r="AU51" i="1"/>
  <c r="AA51" i="1"/>
  <c r="AK51" i="1"/>
  <c r="AL51" i="1"/>
  <c r="AT50" i="1"/>
  <c r="X50" i="1"/>
  <c r="AL50" i="1"/>
  <c r="AJ50" i="1"/>
  <c r="AK50" i="1"/>
  <c r="AA50" i="1"/>
  <c r="Z50" i="1"/>
  <c r="AZ50" i="1"/>
  <c r="BA50" i="1" s="1"/>
  <c r="AO50" i="1"/>
  <c r="AP50" i="1" s="1"/>
  <c r="AF50" i="1"/>
  <c r="AG50" i="1" s="1"/>
  <c r="AQ50" i="1"/>
  <c r="AR50" i="1" s="1"/>
  <c r="AD50" i="1"/>
  <c r="AE50" i="1" s="1"/>
  <c r="BB50" i="1"/>
  <c r="BC50" i="1" s="1"/>
  <c r="AV50" i="1"/>
  <c r="Y50" i="1"/>
  <c r="AW50" i="1"/>
  <c r="AI50" i="1"/>
  <c r="AU50" i="1"/>
  <c r="AV49" i="1"/>
  <c r="AJ49" i="1"/>
  <c r="AF49" i="1"/>
  <c r="AG49" i="1" s="1"/>
  <c r="AQ49" i="1"/>
  <c r="AR49" i="1" s="1"/>
  <c r="BB49" i="1"/>
  <c r="BC49" i="1" s="1"/>
  <c r="AZ49" i="1"/>
  <c r="BA49" i="1" s="1"/>
  <c r="AO49" i="1"/>
  <c r="AP49" i="1" s="1"/>
  <c r="AD49" i="1"/>
  <c r="AE49" i="1" s="1"/>
  <c r="Y49" i="1"/>
  <c r="AI49" i="1"/>
  <c r="Z49" i="1"/>
  <c r="AU49" i="1"/>
  <c r="AL49" i="1"/>
  <c r="X49" i="1"/>
  <c r="AT49" i="1"/>
  <c r="AA49" i="1"/>
  <c r="AK49" i="1"/>
  <c r="AW49" i="1"/>
  <c r="AI48" i="1"/>
  <c r="AT48" i="1"/>
  <c r="X48" i="1"/>
  <c r="AA48" i="1"/>
  <c r="Z48" i="1"/>
  <c r="Y48" i="1"/>
  <c r="AW48" i="1"/>
  <c r="AJ48" i="1"/>
  <c r="AL48" i="1"/>
  <c r="AQ48" i="1"/>
  <c r="AR48" i="1" s="1"/>
  <c r="BB48" i="1"/>
  <c r="BC48" i="1" s="1"/>
  <c r="AZ48" i="1"/>
  <c r="BA48" i="1" s="1"/>
  <c r="AO48" i="1"/>
  <c r="AP48" i="1" s="1"/>
  <c r="AF48" i="1"/>
  <c r="AG48" i="1" s="1"/>
  <c r="AD48" i="1"/>
  <c r="AE48" i="1" s="1"/>
  <c r="AU48" i="1"/>
  <c r="AV48" i="1"/>
  <c r="AK48" i="1"/>
  <c r="Z47" i="1"/>
  <c r="AJ47" i="1"/>
  <c r="AZ47" i="1"/>
  <c r="BA47" i="1" s="1"/>
  <c r="BB47" i="1"/>
  <c r="BC47" i="1" s="1"/>
  <c r="AD47" i="1"/>
  <c r="AE47" i="1" s="1"/>
  <c r="AO47" i="1"/>
  <c r="AP47" i="1" s="1"/>
  <c r="AF47" i="1"/>
  <c r="AG47" i="1" s="1"/>
  <c r="AQ47" i="1"/>
  <c r="AR47" i="1" s="1"/>
  <c r="AK47" i="1"/>
  <c r="AT47" i="1"/>
  <c r="AW47" i="1"/>
  <c r="AA47" i="1"/>
  <c r="AU47" i="1"/>
  <c r="Y47" i="1"/>
  <c r="X47" i="1"/>
  <c r="AI47" i="1"/>
  <c r="AV47" i="1"/>
  <c r="AL47" i="1"/>
  <c r="AI46" i="1"/>
  <c r="AT46" i="1"/>
  <c r="X46" i="1"/>
  <c r="AV46" i="1"/>
  <c r="Y46" i="1"/>
  <c r="AZ46" i="1"/>
  <c r="BA46" i="1" s="1"/>
  <c r="AQ46" i="1"/>
  <c r="AR46" i="1" s="1"/>
  <c r="AF46" i="1"/>
  <c r="AG46" i="1" s="1"/>
  <c r="AD46" i="1"/>
  <c r="AE46" i="1" s="1"/>
  <c r="BB46" i="1"/>
  <c r="BC46" i="1" s="1"/>
  <c r="AO46" i="1"/>
  <c r="AP46" i="1" s="1"/>
  <c r="AK46" i="1"/>
  <c r="AW46" i="1"/>
  <c r="AJ46" i="1"/>
  <c r="AL46" i="1"/>
  <c r="AU46" i="1"/>
  <c r="AA46" i="1"/>
  <c r="Z46" i="1"/>
  <c r="Z45" i="1"/>
  <c r="AV45" i="1"/>
  <c r="AZ45" i="1"/>
  <c r="BA45" i="1" s="1"/>
  <c r="AQ45" i="1"/>
  <c r="AR45" i="1" s="1"/>
  <c r="AD45" i="1"/>
  <c r="AE45" i="1" s="1"/>
  <c r="AF45" i="1"/>
  <c r="AG45" i="1" s="1"/>
  <c r="AO45" i="1"/>
  <c r="AP45" i="1" s="1"/>
  <c r="BB45" i="1"/>
  <c r="BC45" i="1" s="1"/>
  <c r="AU45" i="1"/>
  <c r="AK45" i="1"/>
  <c r="AL45" i="1"/>
  <c r="AJ45" i="1"/>
  <c r="AW45" i="1"/>
  <c r="AT45" i="1"/>
  <c r="AA45" i="1"/>
  <c r="X45" i="1"/>
  <c r="Y45" i="1"/>
  <c r="AI45" i="1"/>
  <c r="Y44" i="1"/>
  <c r="AK44" i="1"/>
  <c r="AL44" i="1"/>
  <c r="Z44" i="1"/>
  <c r="AI44" i="1"/>
  <c r="AW44" i="1"/>
  <c r="AZ44" i="1"/>
  <c r="BA44" i="1" s="1"/>
  <c r="BB44" i="1"/>
  <c r="BC44" i="1" s="1"/>
  <c r="AQ44" i="1"/>
  <c r="AR44" i="1" s="1"/>
  <c r="AF44" i="1"/>
  <c r="AG44" i="1" s="1"/>
  <c r="AD44" i="1"/>
  <c r="AE44" i="1" s="1"/>
  <c r="AO44" i="1"/>
  <c r="AP44" i="1" s="1"/>
  <c r="AU44" i="1"/>
  <c r="AJ44" i="1"/>
  <c r="AT44" i="1"/>
  <c r="X44" i="1"/>
  <c r="AV44" i="1"/>
  <c r="AA44" i="1"/>
  <c r="Y43" i="1"/>
  <c r="AK43" i="1"/>
  <c r="AV43" i="1"/>
  <c r="AU43" i="1"/>
  <c r="AL43" i="1"/>
  <c r="AQ43" i="1"/>
  <c r="AR43" i="1" s="1"/>
  <c r="AO43" i="1"/>
  <c r="AP43" i="1" s="1"/>
  <c r="AD43" i="1"/>
  <c r="AE43" i="1" s="1"/>
  <c r="AZ43" i="1"/>
  <c r="BA43" i="1" s="1"/>
  <c r="BB43" i="1"/>
  <c r="BC43" i="1" s="1"/>
  <c r="AF43" i="1"/>
  <c r="AG43" i="1" s="1"/>
  <c r="Z43" i="1"/>
  <c r="AI43" i="1"/>
  <c r="AJ43" i="1"/>
  <c r="AT43" i="1"/>
  <c r="AA43" i="1"/>
  <c r="X43" i="1"/>
  <c r="AW43" i="1"/>
  <c r="Y42" i="1"/>
  <c r="AK42" i="1"/>
  <c r="Z42" i="1"/>
  <c r="AI42" i="1"/>
  <c r="AT42" i="1"/>
  <c r="AD42" i="1"/>
  <c r="AE42" i="1" s="1"/>
  <c r="AQ42" i="1"/>
  <c r="AR42" i="1" s="1"/>
  <c r="AO42" i="1"/>
  <c r="AP42" i="1" s="1"/>
  <c r="AZ42" i="1"/>
  <c r="BA42" i="1" s="1"/>
  <c r="AF42" i="1"/>
  <c r="AG42" i="1" s="1"/>
  <c r="BB42" i="1"/>
  <c r="BC42" i="1" s="1"/>
  <c r="AV42" i="1"/>
  <c r="AU42" i="1"/>
  <c r="AW42" i="1"/>
  <c r="AL42" i="1"/>
  <c r="AA42" i="1"/>
  <c r="AJ42" i="1"/>
  <c r="X42" i="1"/>
  <c r="AW41" i="1"/>
  <c r="Z41" i="1"/>
  <c r="AA41" i="1"/>
  <c r="AK41" i="1"/>
  <c r="AD41" i="1"/>
  <c r="AE41" i="1" s="1"/>
  <c r="BB41" i="1"/>
  <c r="BC41" i="1" s="1"/>
  <c r="AZ41" i="1"/>
  <c r="BA41" i="1" s="1"/>
  <c r="AQ41" i="1"/>
  <c r="AR41" i="1" s="1"/>
  <c r="AF41" i="1"/>
  <c r="AG41" i="1" s="1"/>
  <c r="AO41" i="1"/>
  <c r="AP41" i="1" s="1"/>
  <c r="AT41" i="1"/>
  <c r="X41" i="1"/>
  <c r="AU41" i="1"/>
  <c r="AI41" i="1"/>
  <c r="Y41" i="1"/>
  <c r="AV41" i="1"/>
  <c r="AL41" i="1"/>
  <c r="AJ41" i="1"/>
  <c r="AT40" i="1"/>
  <c r="AI40" i="1"/>
  <c r="Y40" i="1"/>
  <c r="AO40" i="1"/>
  <c r="AP40" i="1" s="1"/>
  <c r="AQ40" i="1"/>
  <c r="AR40" i="1" s="1"/>
  <c r="AD40" i="1"/>
  <c r="AE40" i="1" s="1"/>
  <c r="AF40" i="1"/>
  <c r="AG40" i="1" s="1"/>
  <c r="AZ40" i="1"/>
  <c r="BA40" i="1" s="1"/>
  <c r="BB40" i="1"/>
  <c r="BC40" i="1" s="1"/>
  <c r="AA40" i="1"/>
  <c r="AJ40" i="1"/>
  <c r="AL40" i="1"/>
  <c r="AW40" i="1"/>
  <c r="AV40" i="1"/>
  <c r="AK40" i="1"/>
  <c r="AU40" i="1"/>
  <c r="X40" i="1"/>
  <c r="Z40" i="1"/>
  <c r="AV39" i="1"/>
  <c r="AK39" i="1"/>
  <c r="AJ39" i="1"/>
  <c r="AQ39" i="1"/>
  <c r="AR39" i="1" s="1"/>
  <c r="AF39" i="1"/>
  <c r="AG39" i="1" s="1"/>
  <c r="AZ39" i="1"/>
  <c r="BA39" i="1" s="1"/>
  <c r="AO39" i="1"/>
  <c r="AP39" i="1" s="1"/>
  <c r="BB39" i="1"/>
  <c r="BC39" i="1" s="1"/>
  <c r="AD39" i="1"/>
  <c r="AE39" i="1" s="1"/>
  <c r="Y39" i="1"/>
  <c r="AU39" i="1"/>
  <c r="AA39" i="1"/>
  <c r="AI39" i="1"/>
  <c r="AT39" i="1"/>
  <c r="AW39" i="1"/>
  <c r="X39" i="1"/>
  <c r="Z39" i="1"/>
  <c r="AL39" i="1"/>
  <c r="AV38" i="1"/>
  <c r="Z38" i="1"/>
  <c r="AJ38" i="1"/>
  <c r="AW38" i="1"/>
  <c r="AD38" i="1"/>
  <c r="AE38" i="1" s="1"/>
  <c r="AF38" i="1"/>
  <c r="AG38" i="1" s="1"/>
  <c r="AO38" i="1"/>
  <c r="AP38" i="1" s="1"/>
  <c r="AQ38" i="1"/>
  <c r="AR38" i="1" s="1"/>
  <c r="AZ38" i="1"/>
  <c r="BA38" i="1" s="1"/>
  <c r="BB38" i="1"/>
  <c r="BC38" i="1" s="1"/>
  <c r="AU38" i="1"/>
  <c r="AK38" i="1"/>
  <c r="AT38" i="1"/>
  <c r="X38" i="1"/>
  <c r="AA38" i="1"/>
  <c r="AI38" i="1"/>
  <c r="Y38" i="1"/>
  <c r="AL38" i="1"/>
  <c r="AU37" i="1"/>
  <c r="Z37" i="1"/>
  <c r="Y37" i="1"/>
  <c r="AQ37" i="1"/>
  <c r="AR37" i="1" s="1"/>
  <c r="BB37" i="1"/>
  <c r="BC37" i="1" s="1"/>
  <c r="AD37" i="1"/>
  <c r="AE37" i="1" s="1"/>
  <c r="AF37" i="1"/>
  <c r="AG37" i="1" s="1"/>
  <c r="AZ37" i="1"/>
  <c r="BA37" i="1" s="1"/>
  <c r="AO37" i="1"/>
  <c r="AP37" i="1" s="1"/>
  <c r="AK37" i="1"/>
  <c r="AJ37" i="1"/>
  <c r="AI37" i="1"/>
  <c r="AT37" i="1"/>
  <c r="AA37" i="1"/>
  <c r="X37" i="1"/>
  <c r="AW37" i="1"/>
  <c r="AV37" i="1"/>
  <c r="AL37" i="1"/>
  <c r="Y36" i="1"/>
  <c r="AJ36" i="1"/>
  <c r="AK36" i="1"/>
  <c r="AT36" i="1"/>
  <c r="X36" i="1"/>
  <c r="AL36" i="1"/>
  <c r="AI36" i="1"/>
  <c r="AW36" i="1"/>
  <c r="AD36" i="1"/>
  <c r="AE36" i="1" s="1"/>
  <c r="AQ36" i="1"/>
  <c r="AR36" i="1" s="1"/>
  <c r="AF36" i="1"/>
  <c r="AG36" i="1" s="1"/>
  <c r="AZ36" i="1"/>
  <c r="BA36" i="1" s="1"/>
  <c r="AO36" i="1"/>
  <c r="AP36" i="1" s="1"/>
  <c r="BB36" i="1"/>
  <c r="BC36" i="1" s="1"/>
  <c r="AU36" i="1"/>
  <c r="Z36" i="1"/>
  <c r="AV36" i="1"/>
  <c r="AA36" i="1"/>
  <c r="AJ35" i="1"/>
  <c r="AU35" i="1"/>
  <c r="AK35" i="1"/>
  <c r="BB35" i="1"/>
  <c r="BC35" i="1" s="1"/>
  <c r="AQ35" i="1"/>
  <c r="AR35" i="1" s="1"/>
  <c r="AO35" i="1"/>
  <c r="AP35" i="1" s="1"/>
  <c r="AF35" i="1"/>
  <c r="AG35" i="1" s="1"/>
  <c r="AZ35" i="1"/>
  <c r="BA35" i="1" s="1"/>
  <c r="AD35" i="1"/>
  <c r="AE35" i="1" s="1"/>
  <c r="Z35" i="1"/>
  <c r="AA35" i="1"/>
  <c r="Y35" i="1"/>
  <c r="X35" i="1"/>
  <c r="AI35" i="1"/>
  <c r="AW35" i="1"/>
  <c r="AT35" i="1"/>
  <c r="AV35" i="1"/>
  <c r="AL35" i="1"/>
  <c r="Y34" i="1"/>
  <c r="Z34" i="1"/>
  <c r="AJ34" i="1"/>
  <c r="AK34" i="1"/>
  <c r="AW34" i="1"/>
  <c r="AZ34" i="1"/>
  <c r="BA34" i="1" s="1"/>
  <c r="BB34" i="1"/>
  <c r="BC34" i="1" s="1"/>
  <c r="AQ34" i="1"/>
  <c r="AR34" i="1" s="1"/>
  <c r="AO34" i="1"/>
  <c r="AP34" i="1" s="1"/>
  <c r="AD34" i="1"/>
  <c r="AE34" i="1" s="1"/>
  <c r="AF34" i="1"/>
  <c r="AG34" i="1" s="1"/>
  <c r="AV34" i="1"/>
  <c r="AT34" i="1"/>
  <c r="AI34" i="1"/>
  <c r="AL34" i="1"/>
  <c r="X34" i="1"/>
  <c r="AU34" i="1"/>
  <c r="AA34" i="1"/>
  <c r="AK33" i="1"/>
  <c r="Y33" i="1"/>
  <c r="X33" i="1"/>
  <c r="AF33" i="1"/>
  <c r="AG33" i="1" s="1"/>
  <c r="AQ33" i="1"/>
  <c r="AR33" i="1" s="1"/>
  <c r="AD33" i="1"/>
  <c r="AE33" i="1" s="1"/>
  <c r="AO33" i="1"/>
  <c r="AP33" i="1" s="1"/>
  <c r="AZ33" i="1"/>
  <c r="BA33" i="1" s="1"/>
  <c r="BB33" i="1"/>
  <c r="BC33" i="1" s="1"/>
  <c r="AT33" i="1"/>
  <c r="Z33" i="1"/>
  <c r="AI33" i="1"/>
  <c r="AV33" i="1"/>
  <c r="AA33" i="1"/>
  <c r="AJ33" i="1"/>
  <c r="AW33" i="1"/>
  <c r="AU33" i="1"/>
  <c r="AL33" i="1"/>
  <c r="AL32" i="1"/>
  <c r="AT32" i="1"/>
  <c r="AU32" i="1"/>
  <c r="AJ32" i="1"/>
  <c r="Z32" i="1"/>
  <c r="AK32" i="1"/>
  <c r="AW32" i="1"/>
  <c r="AV32" i="1"/>
  <c r="AD32" i="1"/>
  <c r="AE32" i="1" s="1"/>
  <c r="AZ32" i="1"/>
  <c r="BA32" i="1" s="1"/>
  <c r="AQ32" i="1"/>
  <c r="AR32" i="1" s="1"/>
  <c r="AO32" i="1"/>
  <c r="AP32" i="1" s="1"/>
  <c r="AF32" i="1"/>
  <c r="AG32" i="1" s="1"/>
  <c r="BB32" i="1"/>
  <c r="BC32" i="1" s="1"/>
  <c r="Y32" i="1"/>
  <c r="AI32" i="1"/>
  <c r="X32" i="1"/>
  <c r="AA32" i="1"/>
  <c r="Y31" i="1"/>
  <c r="AU31" i="1"/>
  <c r="Z31" i="1"/>
  <c r="AI31" i="1"/>
  <c r="AT31" i="1"/>
  <c r="X31" i="1"/>
  <c r="AW31" i="1"/>
  <c r="AF31" i="1"/>
  <c r="AG31" i="1" s="1"/>
  <c r="AO31" i="1"/>
  <c r="AP31" i="1" s="1"/>
  <c r="AZ31" i="1"/>
  <c r="BA31" i="1" s="1"/>
  <c r="AQ31" i="1"/>
  <c r="AR31" i="1" s="1"/>
  <c r="AD31" i="1"/>
  <c r="AE31" i="1" s="1"/>
  <c r="BB31" i="1"/>
  <c r="BC31" i="1" s="1"/>
  <c r="AJ31" i="1"/>
  <c r="AV31" i="1"/>
  <c r="AL31" i="1"/>
  <c r="AK31" i="1"/>
  <c r="AA31" i="1"/>
  <c r="Y30" i="1"/>
  <c r="AL30" i="1"/>
  <c r="AA30" i="1"/>
  <c r="AW30" i="1"/>
  <c r="Z30" i="1"/>
  <c r="AD30" i="1"/>
  <c r="AE30" i="1" s="1"/>
  <c r="AZ30" i="1"/>
  <c r="BA30" i="1" s="1"/>
  <c r="AF30" i="1"/>
  <c r="AG30" i="1" s="1"/>
  <c r="AQ30" i="1"/>
  <c r="AR30" i="1" s="1"/>
  <c r="BB30" i="1"/>
  <c r="BC30" i="1" s="1"/>
  <c r="AO30" i="1"/>
  <c r="AP30" i="1" s="1"/>
  <c r="AK30" i="1"/>
  <c r="X30" i="1"/>
  <c r="AV30" i="1"/>
  <c r="AT30" i="1"/>
  <c r="AJ30" i="1"/>
  <c r="AI30" i="1"/>
  <c r="AU30" i="1"/>
  <c r="AU29" i="1"/>
  <c r="AK29" i="1"/>
  <c r="Z29" i="1"/>
  <c r="AT29" i="1"/>
  <c r="AD29" i="1"/>
  <c r="AE29" i="1" s="1"/>
  <c r="AQ29" i="1"/>
  <c r="AR29" i="1" s="1"/>
  <c r="AF29" i="1"/>
  <c r="AG29" i="1" s="1"/>
  <c r="AO29" i="1"/>
  <c r="AP29" i="1" s="1"/>
  <c r="AZ29" i="1"/>
  <c r="BA29" i="1" s="1"/>
  <c r="BB29" i="1"/>
  <c r="BC29" i="1" s="1"/>
  <c r="AV29" i="1"/>
  <c r="AI29" i="1"/>
  <c r="AJ29" i="1"/>
  <c r="AA29" i="1"/>
  <c r="X29" i="1"/>
  <c r="AW29" i="1"/>
  <c r="Y29" i="1"/>
  <c r="AL29" i="1"/>
  <c r="AK28" i="1"/>
  <c r="Z28" i="1"/>
  <c r="Y28" i="1"/>
  <c r="AT28" i="1"/>
  <c r="AI28" i="1"/>
  <c r="AL28" i="1"/>
  <c r="X28" i="1"/>
  <c r="AA28" i="1"/>
  <c r="AQ28" i="1"/>
  <c r="AR28" i="1" s="1"/>
  <c r="AD28" i="1"/>
  <c r="AE28" i="1" s="1"/>
  <c r="BB28" i="1"/>
  <c r="BC28" i="1" s="1"/>
  <c r="AZ28" i="1"/>
  <c r="BA28" i="1" s="1"/>
  <c r="AO28" i="1"/>
  <c r="AP28" i="1" s="1"/>
  <c r="AF28" i="1"/>
  <c r="AG28" i="1" s="1"/>
  <c r="AV28" i="1"/>
  <c r="AJ28" i="1"/>
  <c r="AU28" i="1"/>
  <c r="AW28" i="1"/>
  <c r="AI27" i="1"/>
  <c r="AU27" i="1"/>
  <c r="AT27" i="1"/>
  <c r="X27" i="1"/>
  <c r="Y27" i="1"/>
  <c r="AO27" i="1"/>
  <c r="AP27" i="1" s="1"/>
  <c r="AD27" i="1"/>
  <c r="AE27" i="1" s="1"/>
  <c r="AF27" i="1"/>
  <c r="AG27" i="1" s="1"/>
  <c r="AQ27" i="1"/>
  <c r="AR27" i="1" s="1"/>
  <c r="AZ27" i="1"/>
  <c r="BA27" i="1" s="1"/>
  <c r="BB27" i="1"/>
  <c r="BC27" i="1" s="1"/>
  <c r="AV27" i="1"/>
  <c r="AA27" i="1"/>
  <c r="AJ27" i="1"/>
  <c r="AW27" i="1"/>
  <c r="Z27" i="1"/>
  <c r="AL27" i="1"/>
  <c r="AK27" i="1"/>
  <c r="AI26" i="1"/>
  <c r="AT26" i="1"/>
  <c r="AV26" i="1"/>
  <c r="AW26" i="1"/>
  <c r="AU26" i="1"/>
  <c r="AL26" i="1"/>
  <c r="Z26" i="1"/>
  <c r="AZ26" i="1"/>
  <c r="BA26" i="1" s="1"/>
  <c r="AO26" i="1"/>
  <c r="AP26" i="1" s="1"/>
  <c r="AD26" i="1"/>
  <c r="AE26" i="1" s="1"/>
  <c r="BB26" i="1"/>
  <c r="BC26" i="1" s="1"/>
  <c r="AF26" i="1"/>
  <c r="AG26" i="1" s="1"/>
  <c r="AQ26" i="1"/>
  <c r="AR26" i="1" s="1"/>
  <c r="Y26" i="1"/>
  <c r="AA26" i="1"/>
  <c r="AJ26" i="1"/>
  <c r="X26" i="1"/>
  <c r="AK26" i="1"/>
  <c r="X25" i="1"/>
  <c r="AT25" i="1"/>
  <c r="Y25" i="1"/>
  <c r="BB25" i="1"/>
  <c r="BC25" i="1" s="1"/>
  <c r="AO25" i="1"/>
  <c r="AP25" i="1" s="1"/>
  <c r="AF25" i="1"/>
  <c r="AG25" i="1" s="1"/>
  <c r="AQ25" i="1"/>
  <c r="AR25" i="1" s="1"/>
  <c r="AZ25" i="1"/>
  <c r="BA25" i="1" s="1"/>
  <c r="AD25" i="1"/>
  <c r="AE25" i="1" s="1"/>
  <c r="Z25" i="1"/>
  <c r="AK25" i="1"/>
  <c r="AW25" i="1"/>
  <c r="AV25" i="1"/>
  <c r="AA25" i="1"/>
  <c r="AL25" i="1"/>
  <c r="AU25" i="1"/>
  <c r="AI25" i="1"/>
  <c r="AJ25" i="1"/>
  <c r="AL24" i="1"/>
  <c r="AA24" i="1"/>
  <c r="AO24" i="1"/>
  <c r="AP24" i="1" s="1"/>
  <c r="AQ24" i="1"/>
  <c r="AR24" i="1" s="1"/>
  <c r="BB24" i="1"/>
  <c r="BC24" i="1" s="1"/>
  <c r="AZ24" i="1"/>
  <c r="BA24" i="1" s="1"/>
  <c r="AD24" i="1"/>
  <c r="AE24" i="1" s="1"/>
  <c r="AF24" i="1"/>
  <c r="AG24" i="1" s="1"/>
  <c r="AK24" i="1"/>
  <c r="AJ24" i="1"/>
  <c r="AV24" i="1"/>
  <c r="X24" i="1"/>
  <c r="AU24" i="1"/>
  <c r="Y24" i="1"/>
  <c r="AT24" i="1"/>
  <c r="AI24" i="1"/>
  <c r="AW24" i="1"/>
  <c r="Z24" i="1"/>
  <c r="AI23" i="1"/>
  <c r="AJ23" i="1"/>
  <c r="Z23" i="1"/>
  <c r="AK23" i="1"/>
  <c r="AW23" i="1"/>
  <c r="AU23" i="1"/>
  <c r="AZ23" i="1"/>
  <c r="BA23" i="1" s="1"/>
  <c r="BB23" i="1"/>
  <c r="BC23" i="1" s="1"/>
  <c r="AO23" i="1"/>
  <c r="AP23" i="1" s="1"/>
  <c r="AQ23" i="1"/>
  <c r="AR23" i="1" s="1"/>
  <c r="AD23" i="1"/>
  <c r="AE23" i="1" s="1"/>
  <c r="AF23" i="1"/>
  <c r="AG23" i="1" s="1"/>
  <c r="AV23" i="1"/>
  <c r="Y23" i="1"/>
  <c r="AT23" i="1"/>
  <c r="AL23" i="1"/>
  <c r="X23" i="1"/>
  <c r="AA23" i="1"/>
  <c r="AW22" i="1"/>
  <c r="AA22" i="1"/>
  <c r="Z22" i="1"/>
  <c r="AV22" i="1"/>
  <c r="Y22" i="1"/>
  <c r="AQ22" i="1"/>
  <c r="AR22" i="1" s="1"/>
  <c r="BB22" i="1"/>
  <c r="BC22" i="1" s="1"/>
  <c r="AZ22" i="1"/>
  <c r="BA22" i="1" s="1"/>
  <c r="AF22" i="1"/>
  <c r="AG22" i="1" s="1"/>
  <c r="AO22" i="1"/>
  <c r="AP22" i="1" s="1"/>
  <c r="AD22" i="1"/>
  <c r="AE22" i="1" s="1"/>
  <c r="AU22" i="1"/>
  <c r="AT22" i="1"/>
  <c r="AI22" i="1"/>
  <c r="AJ22" i="1"/>
  <c r="X22" i="1"/>
  <c r="AL22" i="1"/>
  <c r="AK22" i="1"/>
  <c r="AU21" i="1"/>
  <c r="Z21" i="1"/>
  <c r="Y21" i="1"/>
  <c r="AL21" i="1"/>
  <c r="AW21" i="1"/>
  <c r="X21" i="1"/>
  <c r="AZ21" i="1"/>
  <c r="BA21" i="1" s="1"/>
  <c r="AQ21" i="1"/>
  <c r="AR21" i="1" s="1"/>
  <c r="AF21" i="1"/>
  <c r="AG21" i="1" s="1"/>
  <c r="AD21" i="1"/>
  <c r="AE21" i="1" s="1"/>
  <c r="AO21" i="1"/>
  <c r="AP21" i="1" s="1"/>
  <c r="BB21" i="1"/>
  <c r="BC21" i="1" s="1"/>
  <c r="AK21" i="1"/>
  <c r="AJ21" i="1"/>
  <c r="AA21" i="1"/>
  <c r="AI21" i="1"/>
  <c r="AV21" i="1"/>
  <c r="AT21" i="1"/>
  <c r="AJ20" i="1"/>
  <c r="AU20" i="1"/>
  <c r="AW20" i="1"/>
  <c r="AK20" i="1"/>
  <c r="Z19" i="1"/>
  <c r="Z20" i="1"/>
  <c r="AW18" i="1"/>
  <c r="AJ19" i="1"/>
  <c r="AT20" i="1"/>
  <c r="X20" i="1"/>
  <c r="AI20" i="1"/>
  <c r="AA20" i="1"/>
  <c r="AL20" i="1"/>
  <c r="AK19" i="1"/>
  <c r="AQ20" i="1"/>
  <c r="AR20" i="1" s="1"/>
  <c r="AD20" i="1"/>
  <c r="AE20" i="1" s="1"/>
  <c r="AF20" i="1"/>
  <c r="AG20" i="1" s="1"/>
  <c r="AZ20" i="1"/>
  <c r="BA20" i="1" s="1"/>
  <c r="BB20" i="1"/>
  <c r="BC20" i="1" s="1"/>
  <c r="AO20" i="1"/>
  <c r="AP20" i="1" s="1"/>
  <c r="AL18" i="1"/>
  <c r="Y20" i="1"/>
  <c r="AJ18" i="1"/>
  <c r="AV19" i="1"/>
  <c r="AU18" i="1"/>
  <c r="X19" i="1"/>
  <c r="X18" i="1"/>
  <c r="AI19" i="1"/>
  <c r="AT19" i="1"/>
  <c r="AT18" i="1"/>
  <c r="AI18" i="1"/>
  <c r="AU19" i="1"/>
  <c r="AV18" i="1"/>
  <c r="AK18" i="1"/>
  <c r="AA19" i="1"/>
  <c r="AF18" i="1"/>
  <c r="AG18" i="1" s="1"/>
  <c r="AQ18" i="1"/>
  <c r="AR18" i="1" s="1"/>
  <c r="AD19" i="1"/>
  <c r="AE19" i="1" s="1"/>
  <c r="BB18" i="1"/>
  <c r="BC18" i="1" s="1"/>
  <c r="AO18" i="1"/>
  <c r="AP18" i="1" s="1"/>
  <c r="AZ18" i="1"/>
  <c r="BA18" i="1" s="1"/>
  <c r="AQ19" i="1"/>
  <c r="AR19" i="1" s="1"/>
  <c r="BB19" i="1"/>
  <c r="BC19" i="1" s="1"/>
  <c r="AO19" i="1"/>
  <c r="AP19" i="1" s="1"/>
  <c r="AZ19" i="1"/>
  <c r="BA19" i="1" s="1"/>
  <c r="AD18" i="1"/>
  <c r="AE18" i="1" s="1"/>
  <c r="AF19" i="1"/>
  <c r="AG19" i="1" s="1"/>
  <c r="Y19" i="1"/>
  <c r="AW19" i="1"/>
  <c r="Z18" i="1"/>
  <c r="AL19" i="1"/>
  <c r="Y18" i="1"/>
  <c r="AA18" i="1"/>
  <c r="AX197" i="1" l="1"/>
  <c r="AY197" i="1" s="1"/>
  <c r="BD197" i="1" s="1"/>
  <c r="AB198" i="1"/>
  <c r="AC198" i="1" s="1"/>
  <c r="AH198" i="1" s="1"/>
  <c r="AX198" i="1"/>
  <c r="AY198" i="1" s="1"/>
  <c r="BD198" i="1" s="1"/>
  <c r="AM198" i="1"/>
  <c r="AN198" i="1" s="1"/>
  <c r="AS198" i="1" s="1"/>
  <c r="AM197" i="1"/>
  <c r="AN197" i="1" s="1"/>
  <c r="AS197" i="1" s="1"/>
  <c r="AB197" i="1"/>
  <c r="AC197" i="1" s="1"/>
  <c r="AH197" i="1" s="1"/>
  <c r="AB196" i="1"/>
  <c r="AC196" i="1" s="1"/>
  <c r="AH196" i="1" s="1"/>
  <c r="AM196" i="1"/>
  <c r="AN196" i="1" s="1"/>
  <c r="AS196" i="1" s="1"/>
  <c r="AX196" i="1"/>
  <c r="AY196" i="1" s="1"/>
  <c r="BD196" i="1" s="1"/>
  <c r="AM195" i="1"/>
  <c r="AN195" i="1" s="1"/>
  <c r="AS195" i="1" s="1"/>
  <c r="AX195" i="1"/>
  <c r="AY195" i="1" s="1"/>
  <c r="BD195" i="1" s="1"/>
  <c r="AB194" i="1"/>
  <c r="AC194" i="1" s="1"/>
  <c r="AH194" i="1" s="1"/>
  <c r="AB195" i="1"/>
  <c r="AC195" i="1" s="1"/>
  <c r="AH195" i="1" s="1"/>
  <c r="AX193" i="1"/>
  <c r="AY193" i="1" s="1"/>
  <c r="BD193" i="1" s="1"/>
  <c r="AM194" i="1"/>
  <c r="AN194" i="1" s="1"/>
  <c r="AS194" i="1" s="1"/>
  <c r="AX194" i="1"/>
  <c r="AY194" i="1" s="1"/>
  <c r="BD194" i="1" s="1"/>
  <c r="AB193" i="1"/>
  <c r="AC193" i="1" s="1"/>
  <c r="AH193" i="1" s="1"/>
  <c r="AM193" i="1"/>
  <c r="AN193" i="1" s="1"/>
  <c r="AS193" i="1" s="1"/>
  <c r="AB192" i="1"/>
  <c r="AC192" i="1" s="1"/>
  <c r="AH192" i="1" s="1"/>
  <c r="AX192" i="1"/>
  <c r="AY192" i="1" s="1"/>
  <c r="BD192" i="1" s="1"/>
  <c r="AM192" i="1"/>
  <c r="AN192" i="1" s="1"/>
  <c r="AS192" i="1" s="1"/>
  <c r="AB191" i="1"/>
  <c r="AC191" i="1" s="1"/>
  <c r="AH191" i="1" s="1"/>
  <c r="AM191" i="1"/>
  <c r="AN191" i="1" s="1"/>
  <c r="AS191" i="1" s="1"/>
  <c r="AX191" i="1"/>
  <c r="AY191" i="1" s="1"/>
  <c r="BD191" i="1" s="1"/>
  <c r="AX190" i="1"/>
  <c r="AY190" i="1" s="1"/>
  <c r="BD190" i="1" s="1"/>
  <c r="AM190" i="1"/>
  <c r="AN190" i="1" s="1"/>
  <c r="AS190" i="1" s="1"/>
  <c r="AB190" i="1"/>
  <c r="AC190" i="1" s="1"/>
  <c r="AH190" i="1" s="1"/>
  <c r="AM188" i="1"/>
  <c r="AN188" i="1" s="1"/>
  <c r="AS188" i="1" s="1"/>
  <c r="AB189" i="1"/>
  <c r="AC189" i="1" s="1"/>
  <c r="AH189" i="1" s="1"/>
  <c r="AM189" i="1"/>
  <c r="AN189" i="1" s="1"/>
  <c r="AS189" i="1" s="1"/>
  <c r="AX189" i="1"/>
  <c r="AY189" i="1" s="1"/>
  <c r="BD189" i="1" s="1"/>
  <c r="AX188" i="1"/>
  <c r="AY188" i="1" s="1"/>
  <c r="BD188" i="1" s="1"/>
  <c r="AB188" i="1"/>
  <c r="AC188" i="1" s="1"/>
  <c r="AH188" i="1" s="1"/>
  <c r="AB187" i="1"/>
  <c r="AC187" i="1" s="1"/>
  <c r="AH187" i="1" s="1"/>
  <c r="AX187" i="1"/>
  <c r="AY187" i="1" s="1"/>
  <c r="BD187" i="1" s="1"/>
  <c r="AM187" i="1"/>
  <c r="AN187" i="1" s="1"/>
  <c r="AS187" i="1" s="1"/>
  <c r="AB186" i="1"/>
  <c r="AC186" i="1" s="1"/>
  <c r="AH186" i="1" s="1"/>
  <c r="AX186" i="1"/>
  <c r="AY186" i="1" s="1"/>
  <c r="BD186" i="1" s="1"/>
  <c r="AM186" i="1"/>
  <c r="AN186" i="1" s="1"/>
  <c r="AS186" i="1" s="1"/>
  <c r="AM185" i="1"/>
  <c r="AN185" i="1" s="1"/>
  <c r="AS185" i="1" s="1"/>
  <c r="AB185" i="1"/>
  <c r="AC185" i="1" s="1"/>
  <c r="AH185" i="1" s="1"/>
  <c r="AX185" i="1"/>
  <c r="AY185" i="1" s="1"/>
  <c r="BD185" i="1" s="1"/>
  <c r="AB184" i="1"/>
  <c r="AC184" i="1" s="1"/>
  <c r="AH184" i="1" s="1"/>
  <c r="AM184" i="1"/>
  <c r="AN184" i="1" s="1"/>
  <c r="AS184" i="1" s="1"/>
  <c r="AX184" i="1"/>
  <c r="AY184" i="1" s="1"/>
  <c r="BD184" i="1" s="1"/>
  <c r="AX183" i="1"/>
  <c r="AY183" i="1" s="1"/>
  <c r="BD183" i="1" s="1"/>
  <c r="AB183" i="1"/>
  <c r="AC183" i="1" s="1"/>
  <c r="AH183" i="1" s="1"/>
  <c r="AM183" i="1"/>
  <c r="AN183" i="1" s="1"/>
  <c r="AS183" i="1" s="1"/>
  <c r="AX182" i="1"/>
  <c r="AY182" i="1" s="1"/>
  <c r="BD182" i="1" s="1"/>
  <c r="AB182" i="1"/>
  <c r="AC182" i="1" s="1"/>
  <c r="AH182" i="1" s="1"/>
  <c r="AM182" i="1"/>
  <c r="AN182" i="1" s="1"/>
  <c r="AS182" i="1" s="1"/>
  <c r="AM181" i="1"/>
  <c r="AN181" i="1" s="1"/>
  <c r="AS181" i="1" s="1"/>
  <c r="AB181" i="1"/>
  <c r="AC181" i="1" s="1"/>
  <c r="AH181" i="1" s="1"/>
  <c r="AX181" i="1"/>
  <c r="AY181" i="1" s="1"/>
  <c r="BD181" i="1" s="1"/>
  <c r="AB180" i="1"/>
  <c r="AC180" i="1" s="1"/>
  <c r="AH180" i="1" s="1"/>
  <c r="AX180" i="1"/>
  <c r="AY180" i="1" s="1"/>
  <c r="BD180" i="1" s="1"/>
  <c r="AM180" i="1"/>
  <c r="AN180" i="1" s="1"/>
  <c r="AS180" i="1" s="1"/>
  <c r="AX179" i="1"/>
  <c r="AY179" i="1" s="1"/>
  <c r="BD179" i="1" s="1"/>
  <c r="AB179" i="1"/>
  <c r="AC179" i="1" s="1"/>
  <c r="AH179" i="1" s="1"/>
  <c r="AM179" i="1"/>
  <c r="AN179" i="1" s="1"/>
  <c r="AS179" i="1" s="1"/>
  <c r="AB178" i="1"/>
  <c r="AC178" i="1" s="1"/>
  <c r="AH178" i="1" s="1"/>
  <c r="AM178" i="1"/>
  <c r="AN178" i="1" s="1"/>
  <c r="AS178" i="1" s="1"/>
  <c r="AB177" i="1"/>
  <c r="AC177" i="1" s="1"/>
  <c r="AH177" i="1" s="1"/>
  <c r="AX178" i="1"/>
  <c r="AY178" i="1" s="1"/>
  <c r="BD178" i="1" s="1"/>
  <c r="AX177" i="1"/>
  <c r="AY177" i="1" s="1"/>
  <c r="BD177" i="1" s="1"/>
  <c r="AM177" i="1"/>
  <c r="AN177" i="1" s="1"/>
  <c r="AS177" i="1" s="1"/>
  <c r="AX176" i="1"/>
  <c r="AY176" i="1" s="1"/>
  <c r="BD176" i="1" s="1"/>
  <c r="AM176" i="1"/>
  <c r="AN176" i="1" s="1"/>
  <c r="AS176" i="1" s="1"/>
  <c r="AB176" i="1"/>
  <c r="AC176" i="1" s="1"/>
  <c r="AH176" i="1" s="1"/>
  <c r="AM175" i="1"/>
  <c r="AN175" i="1" s="1"/>
  <c r="AS175" i="1" s="1"/>
  <c r="AB175" i="1"/>
  <c r="AC175" i="1" s="1"/>
  <c r="AH175" i="1" s="1"/>
  <c r="AX175" i="1"/>
  <c r="AY175" i="1" s="1"/>
  <c r="BD175" i="1" s="1"/>
  <c r="AX174" i="1"/>
  <c r="AY174" i="1" s="1"/>
  <c r="BD174" i="1" s="1"/>
  <c r="AM174" i="1"/>
  <c r="AN174" i="1" s="1"/>
  <c r="AS174" i="1" s="1"/>
  <c r="AB174" i="1"/>
  <c r="AC174" i="1" s="1"/>
  <c r="AH174" i="1" s="1"/>
  <c r="AB173" i="1"/>
  <c r="AC173" i="1" s="1"/>
  <c r="AH173" i="1" s="1"/>
  <c r="AX173" i="1"/>
  <c r="AY173" i="1" s="1"/>
  <c r="BD173" i="1" s="1"/>
  <c r="AM173" i="1"/>
  <c r="AN173" i="1" s="1"/>
  <c r="AS173" i="1" s="1"/>
  <c r="AX172" i="1"/>
  <c r="AY172" i="1" s="1"/>
  <c r="BD172" i="1" s="1"/>
  <c r="AM172" i="1"/>
  <c r="AN172" i="1" s="1"/>
  <c r="AS172" i="1" s="1"/>
  <c r="AB172" i="1"/>
  <c r="AC172" i="1" s="1"/>
  <c r="AH172" i="1" s="1"/>
  <c r="AB171" i="1"/>
  <c r="AC171" i="1" s="1"/>
  <c r="AH171" i="1" s="1"/>
  <c r="AM171" i="1"/>
  <c r="AN171" i="1" s="1"/>
  <c r="AS171" i="1" s="1"/>
  <c r="AX171" i="1"/>
  <c r="AY171" i="1" s="1"/>
  <c r="BD171" i="1" s="1"/>
  <c r="AM170" i="1"/>
  <c r="AN170" i="1" s="1"/>
  <c r="AS170" i="1" s="1"/>
  <c r="AB170" i="1"/>
  <c r="AC170" i="1" s="1"/>
  <c r="AH170" i="1" s="1"/>
  <c r="AX170" i="1"/>
  <c r="AY170" i="1" s="1"/>
  <c r="BD170" i="1" s="1"/>
  <c r="AX169" i="1"/>
  <c r="AY169" i="1" s="1"/>
  <c r="BD169" i="1" s="1"/>
  <c r="AB168" i="1"/>
  <c r="AC168" i="1" s="1"/>
  <c r="AH168" i="1" s="1"/>
  <c r="AB169" i="1"/>
  <c r="AC169" i="1" s="1"/>
  <c r="AH169" i="1" s="1"/>
  <c r="AM169" i="1"/>
  <c r="AN169" i="1" s="1"/>
  <c r="AS169" i="1" s="1"/>
  <c r="AX168" i="1"/>
  <c r="AY168" i="1" s="1"/>
  <c r="BD168" i="1" s="1"/>
  <c r="AM168" i="1"/>
  <c r="AN168" i="1" s="1"/>
  <c r="AS168" i="1" s="1"/>
  <c r="AB167" i="1"/>
  <c r="AC167" i="1" s="1"/>
  <c r="AH167" i="1" s="1"/>
  <c r="AM167" i="1"/>
  <c r="AN167" i="1" s="1"/>
  <c r="AS167" i="1" s="1"/>
  <c r="AX167" i="1"/>
  <c r="AY167" i="1" s="1"/>
  <c r="BD167" i="1" s="1"/>
  <c r="AB166" i="1"/>
  <c r="AC166" i="1" s="1"/>
  <c r="AH166" i="1" s="1"/>
  <c r="AM166" i="1"/>
  <c r="AN166" i="1" s="1"/>
  <c r="AS166" i="1" s="1"/>
  <c r="AX166" i="1"/>
  <c r="AY166" i="1" s="1"/>
  <c r="BD166" i="1" s="1"/>
  <c r="AB165" i="1"/>
  <c r="AC165" i="1" s="1"/>
  <c r="AH165" i="1" s="1"/>
  <c r="AM165" i="1"/>
  <c r="AN165" i="1" s="1"/>
  <c r="AS165" i="1" s="1"/>
  <c r="AX165" i="1"/>
  <c r="AY165" i="1" s="1"/>
  <c r="BD165" i="1" s="1"/>
  <c r="AM164" i="1"/>
  <c r="AN164" i="1" s="1"/>
  <c r="AS164" i="1" s="1"/>
  <c r="AB164" i="1"/>
  <c r="AC164" i="1" s="1"/>
  <c r="AH164" i="1" s="1"/>
  <c r="AX164" i="1"/>
  <c r="AY164" i="1" s="1"/>
  <c r="BD164" i="1" s="1"/>
  <c r="AB163" i="1"/>
  <c r="AC163" i="1" s="1"/>
  <c r="AH163" i="1" s="1"/>
  <c r="AX163" i="1"/>
  <c r="AY163" i="1" s="1"/>
  <c r="BD163" i="1" s="1"/>
  <c r="AM163" i="1"/>
  <c r="AN163" i="1" s="1"/>
  <c r="AS163" i="1" s="1"/>
  <c r="AX162" i="1"/>
  <c r="AY162" i="1" s="1"/>
  <c r="BD162" i="1" s="1"/>
  <c r="AM162" i="1"/>
  <c r="AN162" i="1" s="1"/>
  <c r="AS162" i="1" s="1"/>
  <c r="AB162" i="1"/>
  <c r="AC162" i="1" s="1"/>
  <c r="AH162" i="1" s="1"/>
  <c r="AM161" i="1"/>
  <c r="AN161" i="1" s="1"/>
  <c r="AS161" i="1" s="1"/>
  <c r="AX161" i="1"/>
  <c r="AY161" i="1" s="1"/>
  <c r="BD161" i="1" s="1"/>
  <c r="AB161" i="1"/>
  <c r="AC161" i="1" s="1"/>
  <c r="AH161" i="1" s="1"/>
  <c r="AM160" i="1"/>
  <c r="AN160" i="1" s="1"/>
  <c r="AS160" i="1" s="1"/>
  <c r="AB160" i="1"/>
  <c r="AC160" i="1" s="1"/>
  <c r="AH160" i="1" s="1"/>
  <c r="AX160" i="1"/>
  <c r="AY160" i="1" s="1"/>
  <c r="BD160" i="1" s="1"/>
  <c r="AX159" i="1"/>
  <c r="AY159" i="1" s="1"/>
  <c r="BD159" i="1" s="1"/>
  <c r="AB159" i="1"/>
  <c r="AC159" i="1" s="1"/>
  <c r="AH159" i="1" s="1"/>
  <c r="AM159" i="1"/>
  <c r="AN159" i="1" s="1"/>
  <c r="AS159" i="1" s="1"/>
  <c r="AM158" i="1"/>
  <c r="AN158" i="1" s="1"/>
  <c r="AS158" i="1" s="1"/>
  <c r="AX158" i="1"/>
  <c r="AY158" i="1" s="1"/>
  <c r="BD158" i="1" s="1"/>
  <c r="AB158" i="1"/>
  <c r="AC158" i="1" s="1"/>
  <c r="AH158" i="1" s="1"/>
  <c r="AM157" i="1"/>
  <c r="AN157" i="1" s="1"/>
  <c r="AS157" i="1" s="1"/>
  <c r="AB157" i="1"/>
  <c r="AC157" i="1" s="1"/>
  <c r="AH157" i="1" s="1"/>
  <c r="AX157" i="1"/>
  <c r="AY157" i="1" s="1"/>
  <c r="BD157" i="1" s="1"/>
  <c r="AM156" i="1"/>
  <c r="AN156" i="1" s="1"/>
  <c r="AS156" i="1" s="1"/>
  <c r="AB156" i="1"/>
  <c r="AC156" i="1" s="1"/>
  <c r="AH156" i="1" s="1"/>
  <c r="AX156" i="1"/>
  <c r="AY156" i="1" s="1"/>
  <c r="BD156" i="1" s="1"/>
  <c r="AX155" i="1"/>
  <c r="AY155" i="1" s="1"/>
  <c r="BD155" i="1" s="1"/>
  <c r="AM155" i="1"/>
  <c r="AN155" i="1" s="1"/>
  <c r="AS155" i="1" s="1"/>
  <c r="AB155" i="1"/>
  <c r="AC155" i="1" s="1"/>
  <c r="AH155" i="1" s="1"/>
  <c r="AB154" i="1"/>
  <c r="AC154" i="1" s="1"/>
  <c r="AH154" i="1" s="1"/>
  <c r="AX154" i="1"/>
  <c r="AY154" i="1" s="1"/>
  <c r="BD154" i="1" s="1"/>
  <c r="AB153" i="1"/>
  <c r="AC153" i="1" s="1"/>
  <c r="AH153" i="1" s="1"/>
  <c r="AM154" i="1"/>
  <c r="AN154" i="1" s="1"/>
  <c r="AS154" i="1" s="1"/>
  <c r="AM153" i="1"/>
  <c r="AN153" i="1" s="1"/>
  <c r="AS153" i="1" s="1"/>
  <c r="AX153" i="1"/>
  <c r="AY153" i="1" s="1"/>
  <c r="BD153" i="1" s="1"/>
  <c r="AB152" i="1"/>
  <c r="AC152" i="1" s="1"/>
  <c r="AH152" i="1" s="1"/>
  <c r="AX152" i="1"/>
  <c r="AY152" i="1" s="1"/>
  <c r="BD152" i="1" s="1"/>
  <c r="AM152" i="1"/>
  <c r="AN152" i="1" s="1"/>
  <c r="AS152" i="1" s="1"/>
  <c r="AB150" i="1"/>
  <c r="AC150" i="1" s="1"/>
  <c r="AH150" i="1" s="1"/>
  <c r="AB151" i="1"/>
  <c r="AC151" i="1" s="1"/>
  <c r="AH151" i="1" s="1"/>
  <c r="AX151" i="1"/>
  <c r="AY151" i="1" s="1"/>
  <c r="BD151" i="1" s="1"/>
  <c r="AM151" i="1"/>
  <c r="AN151" i="1" s="1"/>
  <c r="AS151" i="1" s="1"/>
  <c r="AX150" i="1"/>
  <c r="AY150" i="1" s="1"/>
  <c r="BD150" i="1" s="1"/>
  <c r="AM150" i="1"/>
  <c r="AN150" i="1" s="1"/>
  <c r="AS150" i="1" s="1"/>
  <c r="AX149" i="1"/>
  <c r="AY149" i="1" s="1"/>
  <c r="BD149" i="1" s="1"/>
  <c r="AM149" i="1"/>
  <c r="AN149" i="1" s="1"/>
  <c r="AS149" i="1" s="1"/>
  <c r="AB149" i="1"/>
  <c r="AC149" i="1" s="1"/>
  <c r="AH149" i="1" s="1"/>
  <c r="AB148" i="1"/>
  <c r="AC148" i="1" s="1"/>
  <c r="AH148" i="1" s="1"/>
  <c r="AB147" i="1"/>
  <c r="AC147" i="1" s="1"/>
  <c r="AH147" i="1" s="1"/>
  <c r="AX148" i="1"/>
  <c r="AY148" i="1" s="1"/>
  <c r="BD148" i="1" s="1"/>
  <c r="AM148" i="1"/>
  <c r="AN148" i="1" s="1"/>
  <c r="AS148" i="1" s="1"/>
  <c r="AX147" i="1"/>
  <c r="AY147" i="1" s="1"/>
  <c r="BD147" i="1" s="1"/>
  <c r="AM147" i="1"/>
  <c r="AN147" i="1" s="1"/>
  <c r="AS147" i="1" s="1"/>
  <c r="AX146" i="1"/>
  <c r="AY146" i="1" s="1"/>
  <c r="BD146" i="1" s="1"/>
  <c r="AB146" i="1"/>
  <c r="AC146" i="1" s="1"/>
  <c r="AH146" i="1" s="1"/>
  <c r="AB145" i="1"/>
  <c r="AC145" i="1" s="1"/>
  <c r="AH145" i="1" s="1"/>
  <c r="AM146" i="1"/>
  <c r="AN146" i="1" s="1"/>
  <c r="AS146" i="1" s="1"/>
  <c r="AM144" i="1"/>
  <c r="AN144" i="1" s="1"/>
  <c r="AS144" i="1" s="1"/>
  <c r="AX145" i="1"/>
  <c r="AY145" i="1" s="1"/>
  <c r="BD145" i="1" s="1"/>
  <c r="AM145" i="1"/>
  <c r="AN145" i="1" s="1"/>
  <c r="AS145" i="1" s="1"/>
  <c r="AB144" i="1"/>
  <c r="AC144" i="1" s="1"/>
  <c r="AH144" i="1" s="1"/>
  <c r="AB143" i="1"/>
  <c r="AC143" i="1" s="1"/>
  <c r="AH143" i="1" s="1"/>
  <c r="AX144" i="1"/>
  <c r="AY144" i="1" s="1"/>
  <c r="BD144" i="1" s="1"/>
  <c r="AM143" i="1"/>
  <c r="AN143" i="1" s="1"/>
  <c r="AS143" i="1" s="1"/>
  <c r="AX143" i="1"/>
  <c r="AY143" i="1" s="1"/>
  <c r="BD143" i="1" s="1"/>
  <c r="AM142" i="1"/>
  <c r="AN142" i="1" s="1"/>
  <c r="AS142" i="1" s="1"/>
  <c r="AB142" i="1"/>
  <c r="AC142" i="1" s="1"/>
  <c r="AH142" i="1" s="1"/>
  <c r="AX142" i="1"/>
  <c r="AY142" i="1" s="1"/>
  <c r="BD142" i="1" s="1"/>
  <c r="AB141" i="1"/>
  <c r="AC141" i="1" s="1"/>
  <c r="AH141" i="1" s="1"/>
  <c r="AX141" i="1"/>
  <c r="AY141" i="1" s="1"/>
  <c r="BD141" i="1" s="1"/>
  <c r="AM141" i="1"/>
  <c r="AN141" i="1" s="1"/>
  <c r="AS141" i="1" s="1"/>
  <c r="AB140" i="1"/>
  <c r="AC140" i="1" s="1"/>
  <c r="AH140" i="1" s="1"/>
  <c r="AM140" i="1"/>
  <c r="AN140" i="1" s="1"/>
  <c r="AS140" i="1" s="1"/>
  <c r="AX140" i="1"/>
  <c r="AY140" i="1" s="1"/>
  <c r="BD140" i="1" s="1"/>
  <c r="AB139" i="1"/>
  <c r="AC139" i="1" s="1"/>
  <c r="AH139" i="1" s="1"/>
  <c r="AX139" i="1"/>
  <c r="AY139" i="1" s="1"/>
  <c r="BD139" i="1" s="1"/>
  <c r="AM139" i="1"/>
  <c r="AN139" i="1" s="1"/>
  <c r="AS139" i="1" s="1"/>
  <c r="AM138" i="1"/>
  <c r="AN138" i="1" s="1"/>
  <c r="AS138" i="1" s="1"/>
  <c r="AM137" i="1"/>
  <c r="AN137" i="1" s="1"/>
  <c r="AS137" i="1" s="1"/>
  <c r="AX138" i="1"/>
  <c r="AY138" i="1" s="1"/>
  <c r="BD138" i="1" s="1"/>
  <c r="AB138" i="1"/>
  <c r="AC138" i="1" s="1"/>
  <c r="AH138" i="1" s="1"/>
  <c r="AX137" i="1"/>
  <c r="AY137" i="1" s="1"/>
  <c r="BD137" i="1" s="1"/>
  <c r="AB137" i="1"/>
  <c r="AC137" i="1" s="1"/>
  <c r="AH137" i="1" s="1"/>
  <c r="AX136" i="1"/>
  <c r="AY136" i="1" s="1"/>
  <c r="BD136" i="1" s="1"/>
  <c r="AB136" i="1"/>
  <c r="AC136" i="1" s="1"/>
  <c r="AH136" i="1" s="1"/>
  <c r="AM136" i="1"/>
  <c r="AN136" i="1" s="1"/>
  <c r="AS136" i="1" s="1"/>
  <c r="AM135" i="1"/>
  <c r="AN135" i="1" s="1"/>
  <c r="AS135" i="1" s="1"/>
  <c r="AX135" i="1"/>
  <c r="AY135" i="1" s="1"/>
  <c r="BD135" i="1" s="1"/>
  <c r="AB135" i="1"/>
  <c r="AC135" i="1" s="1"/>
  <c r="AH135" i="1" s="1"/>
  <c r="AM134" i="1"/>
  <c r="AN134" i="1" s="1"/>
  <c r="AS134" i="1" s="1"/>
  <c r="AX134" i="1"/>
  <c r="AY134" i="1" s="1"/>
  <c r="BD134" i="1" s="1"/>
  <c r="AB134" i="1"/>
  <c r="AC134" i="1" s="1"/>
  <c r="AH134" i="1" s="1"/>
  <c r="AB133" i="1"/>
  <c r="AC133" i="1" s="1"/>
  <c r="AH133" i="1" s="1"/>
  <c r="AX132" i="1"/>
  <c r="AY132" i="1" s="1"/>
  <c r="BD132" i="1" s="1"/>
  <c r="AX133" i="1"/>
  <c r="AY133" i="1" s="1"/>
  <c r="BD133" i="1" s="1"/>
  <c r="AM132" i="1"/>
  <c r="AN132" i="1" s="1"/>
  <c r="AS132" i="1" s="1"/>
  <c r="AM133" i="1"/>
  <c r="AN133" i="1" s="1"/>
  <c r="AS133" i="1" s="1"/>
  <c r="AB132" i="1"/>
  <c r="AC132" i="1" s="1"/>
  <c r="AH132" i="1" s="1"/>
  <c r="AX131" i="1"/>
  <c r="AY131" i="1" s="1"/>
  <c r="BD131" i="1" s="1"/>
  <c r="AM131" i="1"/>
  <c r="AN131" i="1" s="1"/>
  <c r="AS131" i="1" s="1"/>
  <c r="AB131" i="1"/>
  <c r="AC131" i="1" s="1"/>
  <c r="AH131" i="1" s="1"/>
  <c r="AM130" i="1"/>
  <c r="AN130" i="1" s="1"/>
  <c r="AS130" i="1" s="1"/>
  <c r="AX130" i="1"/>
  <c r="AY130" i="1" s="1"/>
  <c r="BD130" i="1" s="1"/>
  <c r="AB130" i="1"/>
  <c r="AC130" i="1" s="1"/>
  <c r="AH130" i="1" s="1"/>
  <c r="AB129" i="1"/>
  <c r="AC129" i="1" s="1"/>
  <c r="AH129" i="1" s="1"/>
  <c r="AX129" i="1"/>
  <c r="AY129" i="1" s="1"/>
  <c r="BD129" i="1" s="1"/>
  <c r="AM129" i="1"/>
  <c r="AN129" i="1" s="1"/>
  <c r="AS129" i="1" s="1"/>
  <c r="AM128" i="1"/>
  <c r="AN128" i="1" s="1"/>
  <c r="AS128" i="1" s="1"/>
  <c r="AB128" i="1"/>
  <c r="AC128" i="1" s="1"/>
  <c r="AH128" i="1" s="1"/>
  <c r="AX128" i="1"/>
  <c r="AY128" i="1" s="1"/>
  <c r="BD128" i="1" s="1"/>
  <c r="AM127" i="1"/>
  <c r="AN127" i="1" s="1"/>
  <c r="AS127" i="1" s="1"/>
  <c r="AX127" i="1"/>
  <c r="AY127" i="1" s="1"/>
  <c r="BD127" i="1" s="1"/>
  <c r="AB127" i="1"/>
  <c r="AC127" i="1" s="1"/>
  <c r="AH127" i="1" s="1"/>
  <c r="AX126" i="1"/>
  <c r="AY126" i="1" s="1"/>
  <c r="BD126" i="1" s="1"/>
  <c r="AB126" i="1"/>
  <c r="AC126" i="1" s="1"/>
  <c r="AH126" i="1" s="1"/>
  <c r="AM126" i="1"/>
  <c r="AN126" i="1" s="1"/>
  <c r="AS126" i="1" s="1"/>
  <c r="AM125" i="1"/>
  <c r="AN125" i="1" s="1"/>
  <c r="AS125" i="1" s="1"/>
  <c r="AB125" i="1"/>
  <c r="AC125" i="1" s="1"/>
  <c r="AH125" i="1" s="1"/>
  <c r="AX125" i="1"/>
  <c r="AY125" i="1" s="1"/>
  <c r="BD125" i="1" s="1"/>
  <c r="AB124" i="1"/>
  <c r="AC124" i="1" s="1"/>
  <c r="AH124" i="1" s="1"/>
  <c r="AX124" i="1"/>
  <c r="AY124" i="1" s="1"/>
  <c r="BD124" i="1" s="1"/>
  <c r="AM124" i="1"/>
  <c r="AN124" i="1" s="1"/>
  <c r="AS124" i="1" s="1"/>
  <c r="AM122" i="1"/>
  <c r="AN122" i="1" s="1"/>
  <c r="AS122" i="1" s="1"/>
  <c r="AM123" i="1"/>
  <c r="AN123" i="1" s="1"/>
  <c r="AS123" i="1" s="1"/>
  <c r="AX123" i="1"/>
  <c r="AY123" i="1" s="1"/>
  <c r="BD123" i="1" s="1"/>
  <c r="AB123" i="1"/>
  <c r="AC123" i="1" s="1"/>
  <c r="AH123" i="1" s="1"/>
  <c r="AX122" i="1"/>
  <c r="AY122" i="1" s="1"/>
  <c r="BD122" i="1" s="1"/>
  <c r="AB122" i="1"/>
  <c r="AC122" i="1" s="1"/>
  <c r="AH122" i="1" s="1"/>
  <c r="AX121" i="1"/>
  <c r="AY121" i="1" s="1"/>
  <c r="BD121" i="1" s="1"/>
  <c r="AB121" i="1"/>
  <c r="AC121" i="1" s="1"/>
  <c r="AH121" i="1" s="1"/>
  <c r="AM121" i="1"/>
  <c r="AN121" i="1" s="1"/>
  <c r="AS121" i="1" s="1"/>
  <c r="AX120" i="1"/>
  <c r="AY120" i="1" s="1"/>
  <c r="BD120" i="1" s="1"/>
  <c r="AB120" i="1"/>
  <c r="AC120" i="1" s="1"/>
  <c r="AH120" i="1" s="1"/>
  <c r="AM120" i="1"/>
  <c r="AN120" i="1" s="1"/>
  <c r="AS120" i="1" s="1"/>
  <c r="AM119" i="1"/>
  <c r="AN119" i="1" s="1"/>
  <c r="AS119" i="1" s="1"/>
  <c r="AB119" i="1"/>
  <c r="AC119" i="1" s="1"/>
  <c r="AH119" i="1" s="1"/>
  <c r="AX119" i="1"/>
  <c r="AY119" i="1" s="1"/>
  <c r="BD119" i="1" s="1"/>
  <c r="AB118" i="1"/>
  <c r="AC118" i="1" s="1"/>
  <c r="AH118" i="1" s="1"/>
  <c r="AX118" i="1"/>
  <c r="AY118" i="1" s="1"/>
  <c r="BD118" i="1" s="1"/>
  <c r="AM118" i="1"/>
  <c r="AN118" i="1" s="1"/>
  <c r="AS118" i="1" s="1"/>
  <c r="AM117" i="1"/>
  <c r="AN117" i="1" s="1"/>
  <c r="AS117" i="1" s="1"/>
  <c r="AX117" i="1"/>
  <c r="AY117" i="1" s="1"/>
  <c r="BD117" i="1" s="1"/>
  <c r="AB117" i="1"/>
  <c r="AC117" i="1" s="1"/>
  <c r="AH117" i="1" s="1"/>
  <c r="AM116" i="1"/>
  <c r="AN116" i="1" s="1"/>
  <c r="AS116" i="1" s="1"/>
  <c r="AB116" i="1"/>
  <c r="AC116" i="1" s="1"/>
  <c r="AH116" i="1" s="1"/>
  <c r="AX116" i="1"/>
  <c r="AY116" i="1" s="1"/>
  <c r="BD116" i="1" s="1"/>
  <c r="AX115" i="1"/>
  <c r="AY115" i="1" s="1"/>
  <c r="BD115" i="1" s="1"/>
  <c r="AX114" i="1"/>
  <c r="AY114" i="1" s="1"/>
  <c r="BD114" i="1" s="1"/>
  <c r="AM115" i="1"/>
  <c r="AN115" i="1" s="1"/>
  <c r="AS115" i="1" s="1"/>
  <c r="AB115" i="1"/>
  <c r="AC115" i="1" s="1"/>
  <c r="AH115" i="1" s="1"/>
  <c r="AB114" i="1"/>
  <c r="AC114" i="1" s="1"/>
  <c r="AH114" i="1" s="1"/>
  <c r="AM114" i="1"/>
  <c r="AN114" i="1" s="1"/>
  <c r="AS114" i="1" s="1"/>
  <c r="AM113" i="1"/>
  <c r="AN113" i="1" s="1"/>
  <c r="AS113" i="1" s="1"/>
  <c r="AB113" i="1"/>
  <c r="AC113" i="1" s="1"/>
  <c r="AH113" i="1" s="1"/>
  <c r="AX113" i="1"/>
  <c r="AY113" i="1" s="1"/>
  <c r="BD113" i="1" s="1"/>
  <c r="AM112" i="1"/>
  <c r="AN112" i="1" s="1"/>
  <c r="AS112" i="1" s="1"/>
  <c r="AX112" i="1"/>
  <c r="AY112" i="1" s="1"/>
  <c r="BD112" i="1" s="1"/>
  <c r="AM111" i="1"/>
  <c r="AN111" i="1" s="1"/>
  <c r="AS111" i="1" s="1"/>
  <c r="AB112" i="1"/>
  <c r="AC112" i="1" s="1"/>
  <c r="AH112" i="1" s="1"/>
  <c r="AB111" i="1"/>
  <c r="AC111" i="1" s="1"/>
  <c r="AH111" i="1" s="1"/>
  <c r="AX111" i="1"/>
  <c r="AY111" i="1" s="1"/>
  <c r="BD111" i="1" s="1"/>
  <c r="AM110" i="1"/>
  <c r="AN110" i="1" s="1"/>
  <c r="AS110" i="1" s="1"/>
  <c r="AB110" i="1"/>
  <c r="AC110" i="1" s="1"/>
  <c r="AH110" i="1" s="1"/>
  <c r="AX110" i="1"/>
  <c r="AY110" i="1" s="1"/>
  <c r="BD110" i="1" s="1"/>
  <c r="AX109" i="1"/>
  <c r="AY109" i="1" s="1"/>
  <c r="BD109" i="1" s="1"/>
  <c r="AM109" i="1"/>
  <c r="AN109" i="1" s="1"/>
  <c r="AS109" i="1" s="1"/>
  <c r="AB109" i="1"/>
  <c r="AC109" i="1" s="1"/>
  <c r="AH109" i="1" s="1"/>
  <c r="AX108" i="1"/>
  <c r="AY108" i="1" s="1"/>
  <c r="BD108" i="1" s="1"/>
  <c r="AM108" i="1"/>
  <c r="AN108" i="1" s="1"/>
  <c r="AS108" i="1" s="1"/>
  <c r="AB108" i="1"/>
  <c r="AC108" i="1" s="1"/>
  <c r="AH108" i="1" s="1"/>
  <c r="AM107" i="1"/>
  <c r="AN107" i="1" s="1"/>
  <c r="AS107" i="1" s="1"/>
  <c r="AB107" i="1"/>
  <c r="AC107" i="1" s="1"/>
  <c r="AH107" i="1" s="1"/>
  <c r="AX107" i="1"/>
  <c r="AY107" i="1" s="1"/>
  <c r="BD107" i="1" s="1"/>
  <c r="AX106" i="1"/>
  <c r="AY106" i="1" s="1"/>
  <c r="BD106" i="1" s="1"/>
  <c r="AM106" i="1"/>
  <c r="AN106" i="1" s="1"/>
  <c r="AS106" i="1" s="1"/>
  <c r="AB106" i="1"/>
  <c r="AC106" i="1" s="1"/>
  <c r="AH106" i="1" s="1"/>
  <c r="AX105" i="1"/>
  <c r="AY105" i="1" s="1"/>
  <c r="BD105" i="1" s="1"/>
  <c r="AX104" i="1"/>
  <c r="AY104" i="1" s="1"/>
  <c r="BD104" i="1" s="1"/>
  <c r="AB105" i="1"/>
  <c r="AC105" i="1" s="1"/>
  <c r="AH105" i="1" s="1"/>
  <c r="AM105" i="1"/>
  <c r="AN105" i="1" s="1"/>
  <c r="AS105" i="1" s="1"/>
  <c r="AM104" i="1"/>
  <c r="AN104" i="1" s="1"/>
  <c r="AS104" i="1" s="1"/>
  <c r="AB104" i="1"/>
  <c r="AC104" i="1" s="1"/>
  <c r="AH104" i="1" s="1"/>
  <c r="AB103" i="1"/>
  <c r="AC103" i="1" s="1"/>
  <c r="AH103" i="1" s="1"/>
  <c r="AB102" i="1"/>
  <c r="AC102" i="1" s="1"/>
  <c r="AH102" i="1" s="1"/>
  <c r="AM103" i="1"/>
  <c r="AN103" i="1" s="1"/>
  <c r="AS103" i="1" s="1"/>
  <c r="AX103" i="1"/>
  <c r="AY103" i="1" s="1"/>
  <c r="BD103" i="1" s="1"/>
  <c r="AX102" i="1"/>
  <c r="AY102" i="1" s="1"/>
  <c r="BD102" i="1" s="1"/>
  <c r="AM102" i="1"/>
  <c r="AN102" i="1" s="1"/>
  <c r="AS102" i="1" s="1"/>
  <c r="AB101" i="1"/>
  <c r="AC101" i="1" s="1"/>
  <c r="AH101" i="1" s="1"/>
  <c r="AX101" i="1"/>
  <c r="AY101" i="1" s="1"/>
  <c r="BD101" i="1" s="1"/>
  <c r="AM101" i="1"/>
  <c r="AN101" i="1" s="1"/>
  <c r="AS101" i="1" s="1"/>
  <c r="AB100" i="1"/>
  <c r="AC100" i="1" s="1"/>
  <c r="AH100" i="1" s="1"/>
  <c r="AX100" i="1"/>
  <c r="AY100" i="1" s="1"/>
  <c r="BD100" i="1" s="1"/>
  <c r="AM100" i="1"/>
  <c r="AN100" i="1" s="1"/>
  <c r="AS100" i="1" s="1"/>
  <c r="AB99" i="1"/>
  <c r="AC99" i="1" s="1"/>
  <c r="AH99" i="1" s="1"/>
  <c r="AX99" i="1"/>
  <c r="AY99" i="1" s="1"/>
  <c r="BD99" i="1" s="1"/>
  <c r="AM99" i="1"/>
  <c r="AN99" i="1" s="1"/>
  <c r="AS99" i="1" s="1"/>
  <c r="AM98" i="1"/>
  <c r="AN98" i="1" s="1"/>
  <c r="AS98" i="1" s="1"/>
  <c r="AX98" i="1"/>
  <c r="AY98" i="1" s="1"/>
  <c r="BD98" i="1" s="1"/>
  <c r="AB98" i="1"/>
  <c r="AC98" i="1" s="1"/>
  <c r="AH98" i="1" s="1"/>
  <c r="AB97" i="1"/>
  <c r="AC97" i="1" s="1"/>
  <c r="AH97" i="1" s="1"/>
  <c r="AM97" i="1"/>
  <c r="AN97" i="1" s="1"/>
  <c r="AS97" i="1" s="1"/>
  <c r="AX97" i="1"/>
  <c r="AY97" i="1" s="1"/>
  <c r="BD97" i="1" s="1"/>
  <c r="AB96" i="1"/>
  <c r="AC96" i="1" s="1"/>
  <c r="AH96" i="1" s="1"/>
  <c r="AX96" i="1"/>
  <c r="AY96" i="1" s="1"/>
  <c r="BD96" i="1" s="1"/>
  <c r="AM96" i="1"/>
  <c r="AN96" i="1" s="1"/>
  <c r="AS96" i="1" s="1"/>
  <c r="AB95" i="1"/>
  <c r="AC95" i="1" s="1"/>
  <c r="AH95" i="1" s="1"/>
  <c r="AX95" i="1"/>
  <c r="AY95" i="1" s="1"/>
  <c r="BD95" i="1" s="1"/>
  <c r="AM95" i="1"/>
  <c r="AN95" i="1" s="1"/>
  <c r="AS95" i="1" s="1"/>
  <c r="AX94" i="1"/>
  <c r="AY94" i="1" s="1"/>
  <c r="BD94" i="1" s="1"/>
  <c r="AM94" i="1"/>
  <c r="AN94" i="1" s="1"/>
  <c r="AS94" i="1" s="1"/>
  <c r="AM93" i="1"/>
  <c r="AN93" i="1" s="1"/>
  <c r="AS93" i="1" s="1"/>
  <c r="AB94" i="1"/>
  <c r="AC94" i="1" s="1"/>
  <c r="AH94" i="1" s="1"/>
  <c r="AX93" i="1"/>
  <c r="AY93" i="1" s="1"/>
  <c r="BD93" i="1" s="1"/>
  <c r="AB93" i="1"/>
  <c r="AC93" i="1" s="1"/>
  <c r="AH93" i="1" s="1"/>
  <c r="AX92" i="1"/>
  <c r="AY92" i="1" s="1"/>
  <c r="BD92" i="1" s="1"/>
  <c r="AM92" i="1"/>
  <c r="AN92" i="1" s="1"/>
  <c r="AS92" i="1" s="1"/>
  <c r="AB92" i="1"/>
  <c r="AC92" i="1" s="1"/>
  <c r="AH92" i="1" s="1"/>
  <c r="AX91" i="1"/>
  <c r="AY91" i="1" s="1"/>
  <c r="BD91" i="1" s="1"/>
  <c r="AM91" i="1"/>
  <c r="AN91" i="1" s="1"/>
  <c r="AS91" i="1" s="1"/>
  <c r="AB91" i="1"/>
  <c r="AC91" i="1" s="1"/>
  <c r="AH91" i="1" s="1"/>
  <c r="AX90" i="1"/>
  <c r="AY90" i="1" s="1"/>
  <c r="BD90" i="1" s="1"/>
  <c r="AB90" i="1"/>
  <c r="AC90" i="1" s="1"/>
  <c r="AH90" i="1" s="1"/>
  <c r="AM90" i="1"/>
  <c r="AN90" i="1" s="1"/>
  <c r="AS90" i="1" s="1"/>
  <c r="AB89" i="1"/>
  <c r="AC89" i="1" s="1"/>
  <c r="AH89" i="1" s="1"/>
  <c r="AX88" i="1"/>
  <c r="AY88" i="1" s="1"/>
  <c r="BD88" i="1" s="1"/>
  <c r="AM89" i="1"/>
  <c r="AN89" i="1" s="1"/>
  <c r="AS89" i="1" s="1"/>
  <c r="AX89" i="1"/>
  <c r="AY89" i="1" s="1"/>
  <c r="BD89" i="1" s="1"/>
  <c r="AB88" i="1"/>
  <c r="AC88" i="1" s="1"/>
  <c r="AH88" i="1" s="1"/>
  <c r="AM88" i="1"/>
  <c r="AN88" i="1" s="1"/>
  <c r="AS88" i="1" s="1"/>
  <c r="AX87" i="1"/>
  <c r="AY87" i="1" s="1"/>
  <c r="BD87" i="1" s="1"/>
  <c r="AB87" i="1"/>
  <c r="AC87" i="1" s="1"/>
  <c r="AH87" i="1" s="1"/>
  <c r="AM87" i="1"/>
  <c r="AN87" i="1" s="1"/>
  <c r="AS87" i="1" s="1"/>
  <c r="AM86" i="1"/>
  <c r="AN86" i="1" s="1"/>
  <c r="AS86" i="1" s="1"/>
  <c r="AX86" i="1"/>
  <c r="AY86" i="1" s="1"/>
  <c r="BD86" i="1" s="1"/>
  <c r="AB86" i="1"/>
  <c r="AC86" i="1" s="1"/>
  <c r="AH86" i="1" s="1"/>
  <c r="AB85" i="1"/>
  <c r="AC85" i="1" s="1"/>
  <c r="AH85" i="1" s="1"/>
  <c r="AX85" i="1"/>
  <c r="AY85" i="1" s="1"/>
  <c r="BD85" i="1" s="1"/>
  <c r="AM85" i="1"/>
  <c r="AN85" i="1" s="1"/>
  <c r="AS85" i="1" s="1"/>
  <c r="AB84" i="1"/>
  <c r="AC84" i="1" s="1"/>
  <c r="AH84" i="1" s="1"/>
  <c r="AX84" i="1"/>
  <c r="AY84" i="1" s="1"/>
  <c r="BD84" i="1" s="1"/>
  <c r="AM84" i="1"/>
  <c r="AN84" i="1" s="1"/>
  <c r="AS84" i="1" s="1"/>
  <c r="AM83" i="1"/>
  <c r="AN83" i="1" s="1"/>
  <c r="AS83" i="1" s="1"/>
  <c r="AX83" i="1"/>
  <c r="AY83" i="1" s="1"/>
  <c r="BD83" i="1" s="1"/>
  <c r="AB83" i="1"/>
  <c r="AC83" i="1" s="1"/>
  <c r="AH83" i="1" s="1"/>
  <c r="AX81" i="1"/>
  <c r="AY81" i="1" s="1"/>
  <c r="BD81" i="1" s="1"/>
  <c r="AX82" i="1"/>
  <c r="AY82" i="1" s="1"/>
  <c r="BD82" i="1" s="1"/>
  <c r="AB82" i="1"/>
  <c r="AC82" i="1" s="1"/>
  <c r="AH82" i="1" s="1"/>
  <c r="AM82" i="1"/>
  <c r="AN82" i="1" s="1"/>
  <c r="AS82" i="1" s="1"/>
  <c r="AB81" i="1"/>
  <c r="AC81" i="1" s="1"/>
  <c r="AH81" i="1" s="1"/>
  <c r="AM81" i="1"/>
  <c r="AN81" i="1" s="1"/>
  <c r="AS81" i="1" s="1"/>
  <c r="AB80" i="1"/>
  <c r="AC80" i="1" s="1"/>
  <c r="AH80" i="1" s="1"/>
  <c r="AM80" i="1"/>
  <c r="AN80" i="1" s="1"/>
  <c r="AS80" i="1" s="1"/>
  <c r="AX80" i="1"/>
  <c r="AY80" i="1" s="1"/>
  <c r="BD80" i="1" s="1"/>
  <c r="AB79" i="1"/>
  <c r="AC79" i="1" s="1"/>
  <c r="AH79" i="1" s="1"/>
  <c r="AX79" i="1"/>
  <c r="AY79" i="1" s="1"/>
  <c r="BD79" i="1" s="1"/>
  <c r="AM79" i="1"/>
  <c r="AN79" i="1" s="1"/>
  <c r="AS79" i="1" s="1"/>
  <c r="AM78" i="1"/>
  <c r="AN78" i="1" s="1"/>
  <c r="AS78" i="1" s="1"/>
  <c r="AX78" i="1"/>
  <c r="AY78" i="1" s="1"/>
  <c r="BD78" i="1" s="1"/>
  <c r="AB78" i="1"/>
  <c r="AC78" i="1" s="1"/>
  <c r="AH78" i="1" s="1"/>
  <c r="AM77" i="1"/>
  <c r="AN77" i="1" s="1"/>
  <c r="AS77" i="1" s="1"/>
  <c r="AB77" i="1"/>
  <c r="AC77" i="1" s="1"/>
  <c r="AH77" i="1" s="1"/>
  <c r="AX77" i="1"/>
  <c r="AY77" i="1" s="1"/>
  <c r="BD77" i="1" s="1"/>
  <c r="AB76" i="1"/>
  <c r="AC76" i="1" s="1"/>
  <c r="AH76" i="1" s="1"/>
  <c r="AM76" i="1"/>
  <c r="AN76" i="1" s="1"/>
  <c r="AS76" i="1" s="1"/>
  <c r="AX76" i="1"/>
  <c r="AY76" i="1" s="1"/>
  <c r="BD76" i="1" s="1"/>
  <c r="AX75" i="1"/>
  <c r="AY75" i="1" s="1"/>
  <c r="BD75" i="1" s="1"/>
  <c r="AM75" i="1"/>
  <c r="AN75" i="1" s="1"/>
  <c r="AS75" i="1" s="1"/>
  <c r="AB75" i="1"/>
  <c r="AC75" i="1" s="1"/>
  <c r="AH75" i="1" s="1"/>
  <c r="AB74" i="1"/>
  <c r="AC74" i="1" s="1"/>
  <c r="AH74" i="1" s="1"/>
  <c r="AM74" i="1"/>
  <c r="AN74" i="1" s="1"/>
  <c r="AS74" i="1" s="1"/>
  <c r="AX74" i="1"/>
  <c r="AY74" i="1" s="1"/>
  <c r="BD74" i="1" s="1"/>
  <c r="AB73" i="1"/>
  <c r="AC73" i="1" s="1"/>
  <c r="AH73" i="1" s="1"/>
  <c r="AM73" i="1"/>
  <c r="AN73" i="1" s="1"/>
  <c r="AS73" i="1" s="1"/>
  <c r="AX73" i="1"/>
  <c r="AY73" i="1" s="1"/>
  <c r="BD73" i="1" s="1"/>
  <c r="AM72" i="1"/>
  <c r="AN72" i="1" s="1"/>
  <c r="AS72" i="1" s="1"/>
  <c r="AB72" i="1"/>
  <c r="AC72" i="1" s="1"/>
  <c r="AH72" i="1" s="1"/>
  <c r="AX72" i="1"/>
  <c r="AY72" i="1" s="1"/>
  <c r="BD72" i="1" s="1"/>
  <c r="AM71" i="1"/>
  <c r="AN71" i="1" s="1"/>
  <c r="AS71" i="1" s="1"/>
  <c r="AX70" i="1"/>
  <c r="AY70" i="1" s="1"/>
  <c r="BD70" i="1" s="1"/>
  <c r="AX71" i="1"/>
  <c r="AY71" i="1" s="1"/>
  <c r="BD71" i="1" s="1"/>
  <c r="AB71" i="1"/>
  <c r="AC71" i="1" s="1"/>
  <c r="AH71" i="1" s="1"/>
  <c r="AB70" i="1"/>
  <c r="AC70" i="1" s="1"/>
  <c r="AH70" i="1" s="1"/>
  <c r="AM70" i="1"/>
  <c r="AN70" i="1" s="1"/>
  <c r="AS70" i="1" s="1"/>
  <c r="AM69" i="1"/>
  <c r="AN69" i="1" s="1"/>
  <c r="AS69" i="1" s="1"/>
  <c r="AX69" i="1"/>
  <c r="AY69" i="1" s="1"/>
  <c r="BD69" i="1" s="1"/>
  <c r="AB69" i="1"/>
  <c r="AC69" i="1" s="1"/>
  <c r="AH69" i="1" s="1"/>
  <c r="AB68" i="1"/>
  <c r="AC68" i="1" s="1"/>
  <c r="AH68" i="1" s="1"/>
  <c r="AM68" i="1"/>
  <c r="AN68" i="1" s="1"/>
  <c r="AS68" i="1" s="1"/>
  <c r="AX68" i="1"/>
  <c r="AY68" i="1" s="1"/>
  <c r="BD68" i="1" s="1"/>
  <c r="AB67" i="1"/>
  <c r="AC67" i="1" s="1"/>
  <c r="AH67" i="1" s="1"/>
  <c r="AM67" i="1"/>
  <c r="AN67" i="1" s="1"/>
  <c r="AS67" i="1" s="1"/>
  <c r="AX67" i="1"/>
  <c r="AY67" i="1" s="1"/>
  <c r="BD67" i="1" s="1"/>
  <c r="AM66" i="1"/>
  <c r="AN66" i="1" s="1"/>
  <c r="AS66" i="1" s="1"/>
  <c r="AX66" i="1"/>
  <c r="AY66" i="1" s="1"/>
  <c r="BD66" i="1" s="1"/>
  <c r="AB66" i="1"/>
  <c r="AC66" i="1" s="1"/>
  <c r="AH66" i="1" s="1"/>
  <c r="AB65" i="1"/>
  <c r="AC65" i="1" s="1"/>
  <c r="AH65" i="1" s="1"/>
  <c r="AM65" i="1"/>
  <c r="AN65" i="1" s="1"/>
  <c r="AS65" i="1" s="1"/>
  <c r="AX65" i="1"/>
  <c r="AY65" i="1" s="1"/>
  <c r="BD65" i="1" s="1"/>
  <c r="AM64" i="1"/>
  <c r="AN64" i="1" s="1"/>
  <c r="AS64" i="1" s="1"/>
  <c r="AX64" i="1"/>
  <c r="AY64" i="1" s="1"/>
  <c r="BD64" i="1" s="1"/>
  <c r="AB64" i="1"/>
  <c r="AC64" i="1" s="1"/>
  <c r="AH64" i="1" s="1"/>
  <c r="AM63" i="1"/>
  <c r="AN63" i="1" s="1"/>
  <c r="AS63" i="1" s="1"/>
  <c r="AB63" i="1"/>
  <c r="AC63" i="1" s="1"/>
  <c r="AH63" i="1" s="1"/>
  <c r="AX63" i="1"/>
  <c r="AY63" i="1" s="1"/>
  <c r="BD63" i="1" s="1"/>
  <c r="AM62" i="1"/>
  <c r="AN62" i="1" s="1"/>
  <c r="AS62" i="1" s="1"/>
  <c r="AX62" i="1"/>
  <c r="AY62" i="1" s="1"/>
  <c r="BD62" i="1" s="1"/>
  <c r="AB62" i="1"/>
  <c r="AC62" i="1" s="1"/>
  <c r="AH62" i="1" s="1"/>
  <c r="AB61" i="1"/>
  <c r="AC61" i="1" s="1"/>
  <c r="AH61" i="1" s="1"/>
  <c r="AX61" i="1"/>
  <c r="AY61" i="1" s="1"/>
  <c r="BD61" i="1" s="1"/>
  <c r="AM61" i="1"/>
  <c r="AN61" i="1" s="1"/>
  <c r="AS61" i="1" s="1"/>
  <c r="AM60" i="1"/>
  <c r="AN60" i="1" s="1"/>
  <c r="AS60" i="1" s="1"/>
  <c r="AX60" i="1"/>
  <c r="AY60" i="1" s="1"/>
  <c r="BD60" i="1" s="1"/>
  <c r="AB60" i="1"/>
  <c r="AC60" i="1" s="1"/>
  <c r="AH60" i="1" s="1"/>
  <c r="AM59" i="1"/>
  <c r="AN59" i="1" s="1"/>
  <c r="AS59" i="1" s="1"/>
  <c r="AB59" i="1"/>
  <c r="AC59" i="1" s="1"/>
  <c r="AH59" i="1" s="1"/>
  <c r="AX59" i="1"/>
  <c r="AY59" i="1" s="1"/>
  <c r="BD59" i="1" s="1"/>
  <c r="AM58" i="1"/>
  <c r="AN58" i="1" s="1"/>
  <c r="AS58" i="1" s="1"/>
  <c r="AX58" i="1"/>
  <c r="AY58" i="1" s="1"/>
  <c r="BD58" i="1" s="1"/>
  <c r="AB58" i="1"/>
  <c r="AC58" i="1" s="1"/>
  <c r="AH58" i="1" s="1"/>
  <c r="AB57" i="1"/>
  <c r="AC57" i="1" s="1"/>
  <c r="AH57" i="1" s="1"/>
  <c r="AX57" i="1"/>
  <c r="AY57" i="1" s="1"/>
  <c r="BD57" i="1" s="1"/>
  <c r="AM57" i="1"/>
  <c r="AN57" i="1" s="1"/>
  <c r="AS57" i="1" s="1"/>
  <c r="AM56" i="1"/>
  <c r="AN56" i="1" s="1"/>
  <c r="AS56" i="1" s="1"/>
  <c r="AX56" i="1"/>
  <c r="AY56" i="1" s="1"/>
  <c r="BD56" i="1" s="1"/>
  <c r="AB56" i="1"/>
  <c r="AC56" i="1" s="1"/>
  <c r="AH56" i="1" s="1"/>
  <c r="AB55" i="1"/>
  <c r="AC55" i="1" s="1"/>
  <c r="AH55" i="1" s="1"/>
  <c r="AX55" i="1"/>
  <c r="AY55" i="1" s="1"/>
  <c r="BD55" i="1" s="1"/>
  <c r="AM55" i="1"/>
  <c r="AN55" i="1" s="1"/>
  <c r="AS55" i="1" s="1"/>
  <c r="AM54" i="1"/>
  <c r="AN54" i="1" s="1"/>
  <c r="AS54" i="1" s="1"/>
  <c r="AX54" i="1"/>
  <c r="AY54" i="1" s="1"/>
  <c r="BD54" i="1" s="1"/>
  <c r="AB54" i="1"/>
  <c r="AC54" i="1" s="1"/>
  <c r="AH54" i="1" s="1"/>
  <c r="AX53" i="1"/>
  <c r="AY53" i="1" s="1"/>
  <c r="BD53" i="1" s="1"/>
  <c r="AB53" i="1"/>
  <c r="AC53" i="1" s="1"/>
  <c r="AH53" i="1" s="1"/>
  <c r="AM53" i="1"/>
  <c r="AN53" i="1" s="1"/>
  <c r="AS53" i="1" s="1"/>
  <c r="AM52" i="1"/>
  <c r="AN52" i="1" s="1"/>
  <c r="AS52" i="1" s="1"/>
  <c r="AB52" i="1"/>
  <c r="AC52" i="1" s="1"/>
  <c r="AH52" i="1" s="1"/>
  <c r="AX52" i="1"/>
  <c r="AY52" i="1" s="1"/>
  <c r="BD52" i="1" s="1"/>
  <c r="AM51" i="1"/>
  <c r="AN51" i="1" s="1"/>
  <c r="AS51" i="1" s="1"/>
  <c r="AB51" i="1"/>
  <c r="AC51" i="1" s="1"/>
  <c r="AH51" i="1" s="1"/>
  <c r="AX51" i="1"/>
  <c r="AY51" i="1" s="1"/>
  <c r="BD51" i="1" s="1"/>
  <c r="AB50" i="1"/>
  <c r="AC50" i="1" s="1"/>
  <c r="AH50" i="1" s="1"/>
  <c r="AX50" i="1"/>
  <c r="AY50" i="1" s="1"/>
  <c r="BD50" i="1" s="1"/>
  <c r="AM50" i="1"/>
  <c r="AN50" i="1" s="1"/>
  <c r="AS50" i="1" s="1"/>
  <c r="AM49" i="1"/>
  <c r="AN49" i="1" s="1"/>
  <c r="AS49" i="1" s="1"/>
  <c r="AB49" i="1"/>
  <c r="AC49" i="1" s="1"/>
  <c r="AH49" i="1" s="1"/>
  <c r="AX49" i="1"/>
  <c r="AY49" i="1" s="1"/>
  <c r="BD49" i="1" s="1"/>
  <c r="AX48" i="1"/>
  <c r="AY48" i="1" s="1"/>
  <c r="BD48" i="1" s="1"/>
  <c r="AB48" i="1"/>
  <c r="AC48" i="1" s="1"/>
  <c r="AH48" i="1" s="1"/>
  <c r="AM48" i="1"/>
  <c r="AN48" i="1" s="1"/>
  <c r="AS48" i="1" s="1"/>
  <c r="AB47" i="1"/>
  <c r="AC47" i="1" s="1"/>
  <c r="AH47" i="1" s="1"/>
  <c r="AX47" i="1"/>
  <c r="AY47" i="1" s="1"/>
  <c r="BD47" i="1" s="1"/>
  <c r="AM47" i="1"/>
  <c r="AN47" i="1" s="1"/>
  <c r="AS47" i="1" s="1"/>
  <c r="AX46" i="1"/>
  <c r="AY46" i="1" s="1"/>
  <c r="BD46" i="1" s="1"/>
  <c r="AM46" i="1"/>
  <c r="AN46" i="1" s="1"/>
  <c r="AS46" i="1" s="1"/>
  <c r="AB46" i="1"/>
  <c r="AC46" i="1" s="1"/>
  <c r="AH46" i="1" s="1"/>
  <c r="AM45" i="1"/>
  <c r="AN45" i="1" s="1"/>
  <c r="AS45" i="1" s="1"/>
  <c r="AB45" i="1"/>
  <c r="AC45" i="1" s="1"/>
  <c r="AH45" i="1" s="1"/>
  <c r="AX45" i="1"/>
  <c r="AY45" i="1" s="1"/>
  <c r="BD45" i="1" s="1"/>
  <c r="AX44" i="1"/>
  <c r="AY44" i="1" s="1"/>
  <c r="BD44" i="1" s="1"/>
  <c r="AB44" i="1"/>
  <c r="AC44" i="1" s="1"/>
  <c r="AH44" i="1" s="1"/>
  <c r="AM44" i="1"/>
  <c r="AN44" i="1" s="1"/>
  <c r="AS44" i="1" s="1"/>
  <c r="AM43" i="1"/>
  <c r="AN43" i="1" s="1"/>
  <c r="AS43" i="1" s="1"/>
  <c r="AB43" i="1"/>
  <c r="AC43" i="1" s="1"/>
  <c r="AH43" i="1" s="1"/>
  <c r="AX43" i="1"/>
  <c r="AY43" i="1" s="1"/>
  <c r="BD43" i="1" s="1"/>
  <c r="AX42" i="1"/>
  <c r="AY42" i="1" s="1"/>
  <c r="BD42" i="1" s="1"/>
  <c r="AB42" i="1"/>
  <c r="AC42" i="1" s="1"/>
  <c r="AH42" i="1" s="1"/>
  <c r="AM42" i="1"/>
  <c r="AN42" i="1" s="1"/>
  <c r="AS42" i="1" s="1"/>
  <c r="AX40" i="1"/>
  <c r="AY40" i="1" s="1"/>
  <c r="BD40" i="1" s="1"/>
  <c r="AX41" i="1"/>
  <c r="AY41" i="1" s="1"/>
  <c r="BD41" i="1" s="1"/>
  <c r="AB41" i="1"/>
  <c r="AC41" i="1" s="1"/>
  <c r="AH41" i="1" s="1"/>
  <c r="AM41" i="1"/>
  <c r="AN41" i="1" s="1"/>
  <c r="AS41" i="1" s="1"/>
  <c r="AB40" i="1"/>
  <c r="AC40" i="1" s="1"/>
  <c r="AH40" i="1" s="1"/>
  <c r="AM40" i="1"/>
  <c r="AN40" i="1" s="1"/>
  <c r="AS40" i="1" s="1"/>
  <c r="AB39" i="1"/>
  <c r="AC39" i="1" s="1"/>
  <c r="AH39" i="1" s="1"/>
  <c r="AM39" i="1"/>
  <c r="AN39" i="1" s="1"/>
  <c r="AS39" i="1" s="1"/>
  <c r="AX39" i="1"/>
  <c r="AY39" i="1" s="1"/>
  <c r="BD39" i="1" s="1"/>
  <c r="AM38" i="1"/>
  <c r="AN38" i="1" s="1"/>
  <c r="AS38" i="1" s="1"/>
  <c r="AB38" i="1"/>
  <c r="AC38" i="1" s="1"/>
  <c r="AH38" i="1" s="1"/>
  <c r="AX38" i="1"/>
  <c r="AY38" i="1" s="1"/>
  <c r="BD38" i="1" s="1"/>
  <c r="AB37" i="1"/>
  <c r="AC37" i="1" s="1"/>
  <c r="AH37" i="1" s="1"/>
  <c r="AX37" i="1"/>
  <c r="AY37" i="1" s="1"/>
  <c r="BD37" i="1" s="1"/>
  <c r="AM37" i="1"/>
  <c r="AN37" i="1" s="1"/>
  <c r="AS37" i="1" s="1"/>
  <c r="AM36" i="1"/>
  <c r="AN36" i="1" s="1"/>
  <c r="AS36" i="1" s="1"/>
  <c r="AB36" i="1"/>
  <c r="AC36" i="1" s="1"/>
  <c r="AH36" i="1" s="1"/>
  <c r="AX36" i="1"/>
  <c r="AY36" i="1" s="1"/>
  <c r="BD36" i="1" s="1"/>
  <c r="AB35" i="1"/>
  <c r="AC35" i="1" s="1"/>
  <c r="AH35" i="1" s="1"/>
  <c r="AM35" i="1"/>
  <c r="AN35" i="1" s="1"/>
  <c r="AS35" i="1" s="1"/>
  <c r="AB34" i="1"/>
  <c r="AC34" i="1" s="1"/>
  <c r="AH34" i="1" s="1"/>
  <c r="AX35" i="1"/>
  <c r="AY35" i="1" s="1"/>
  <c r="BD35" i="1" s="1"/>
  <c r="AM34" i="1"/>
  <c r="AN34" i="1" s="1"/>
  <c r="AS34" i="1" s="1"/>
  <c r="AX34" i="1"/>
  <c r="AY34" i="1" s="1"/>
  <c r="BD34" i="1" s="1"/>
  <c r="AB33" i="1"/>
  <c r="AC33" i="1" s="1"/>
  <c r="AH33" i="1" s="1"/>
  <c r="AX33" i="1"/>
  <c r="AY33" i="1" s="1"/>
  <c r="BD33" i="1" s="1"/>
  <c r="AX32" i="1"/>
  <c r="AY32" i="1" s="1"/>
  <c r="BD32" i="1" s="1"/>
  <c r="AM33" i="1"/>
  <c r="AN33" i="1" s="1"/>
  <c r="AS33" i="1" s="1"/>
  <c r="AM32" i="1"/>
  <c r="AN32" i="1" s="1"/>
  <c r="AS32" i="1" s="1"/>
  <c r="AB32" i="1"/>
  <c r="AC32" i="1" s="1"/>
  <c r="AH32" i="1" s="1"/>
  <c r="AB31" i="1"/>
  <c r="AC31" i="1" s="1"/>
  <c r="AH31" i="1" s="1"/>
  <c r="AM31" i="1"/>
  <c r="AN31" i="1" s="1"/>
  <c r="AS31" i="1" s="1"/>
  <c r="AX31" i="1"/>
  <c r="AY31" i="1" s="1"/>
  <c r="BD31" i="1" s="1"/>
  <c r="AB30" i="1"/>
  <c r="AC30" i="1" s="1"/>
  <c r="AH30" i="1" s="1"/>
  <c r="AX30" i="1"/>
  <c r="AY30" i="1" s="1"/>
  <c r="BD30" i="1" s="1"/>
  <c r="AM30" i="1"/>
  <c r="AN30" i="1" s="1"/>
  <c r="AS30" i="1" s="1"/>
  <c r="AB29" i="1"/>
  <c r="AC29" i="1" s="1"/>
  <c r="AH29" i="1" s="1"/>
  <c r="AM29" i="1"/>
  <c r="AN29" i="1" s="1"/>
  <c r="AS29" i="1" s="1"/>
  <c r="AX29" i="1"/>
  <c r="AY29" i="1" s="1"/>
  <c r="BD29" i="1" s="1"/>
  <c r="AB28" i="1"/>
  <c r="AC28" i="1" s="1"/>
  <c r="AH28" i="1" s="1"/>
  <c r="AM27" i="1"/>
  <c r="AN27" i="1" s="1"/>
  <c r="AS27" i="1" s="1"/>
  <c r="AM28" i="1"/>
  <c r="AN28" i="1" s="1"/>
  <c r="AS28" i="1" s="1"/>
  <c r="AX28" i="1"/>
  <c r="AY28" i="1" s="1"/>
  <c r="BD28" i="1" s="1"/>
  <c r="AB27" i="1"/>
  <c r="AC27" i="1" s="1"/>
  <c r="AH27" i="1" s="1"/>
  <c r="AX26" i="1"/>
  <c r="AY26" i="1" s="1"/>
  <c r="BD26" i="1" s="1"/>
  <c r="AX27" i="1"/>
  <c r="AY27" i="1" s="1"/>
  <c r="BD27" i="1" s="1"/>
  <c r="AM26" i="1"/>
  <c r="AN26" i="1" s="1"/>
  <c r="AS26" i="1" s="1"/>
  <c r="AB26" i="1"/>
  <c r="AC26" i="1" s="1"/>
  <c r="AH26" i="1" s="1"/>
  <c r="AX25" i="1"/>
  <c r="AY25" i="1" s="1"/>
  <c r="BD25" i="1" s="1"/>
  <c r="AB25" i="1"/>
  <c r="AC25" i="1" s="1"/>
  <c r="AH25" i="1" s="1"/>
  <c r="AM25" i="1"/>
  <c r="AN25" i="1" s="1"/>
  <c r="AS25" i="1" s="1"/>
  <c r="AM24" i="1"/>
  <c r="AN24" i="1" s="1"/>
  <c r="AS24" i="1" s="1"/>
  <c r="AX24" i="1"/>
  <c r="AY24" i="1" s="1"/>
  <c r="BD24" i="1" s="1"/>
  <c r="AB24" i="1"/>
  <c r="AC24" i="1" s="1"/>
  <c r="AH24" i="1" s="1"/>
  <c r="AX22" i="1"/>
  <c r="AY22" i="1" s="1"/>
  <c r="BD22" i="1" s="1"/>
  <c r="AX23" i="1"/>
  <c r="AY23" i="1" s="1"/>
  <c r="BD23" i="1" s="1"/>
  <c r="AB23" i="1"/>
  <c r="AC23" i="1" s="1"/>
  <c r="AH23" i="1" s="1"/>
  <c r="AM23" i="1"/>
  <c r="AN23" i="1" s="1"/>
  <c r="AS23" i="1" s="1"/>
  <c r="AB22" i="1"/>
  <c r="AC22" i="1" s="1"/>
  <c r="AH22" i="1" s="1"/>
  <c r="AM22" i="1"/>
  <c r="AN22" i="1" s="1"/>
  <c r="AS22" i="1" s="1"/>
  <c r="AB21" i="1"/>
  <c r="AC21" i="1" s="1"/>
  <c r="AH21" i="1" s="1"/>
  <c r="AM21" i="1"/>
  <c r="AN21" i="1" s="1"/>
  <c r="AS21" i="1" s="1"/>
  <c r="AX21" i="1"/>
  <c r="AY21" i="1" s="1"/>
  <c r="BD21" i="1" s="1"/>
  <c r="AX20" i="1"/>
  <c r="AY20" i="1" s="1"/>
  <c r="BD20" i="1" s="1"/>
  <c r="AM20" i="1"/>
  <c r="AN20" i="1" s="1"/>
  <c r="AS20" i="1" s="1"/>
  <c r="AB20" i="1"/>
  <c r="AC20" i="1" s="1"/>
  <c r="AH20" i="1" s="1"/>
  <c r="AB18" i="1"/>
  <c r="AC18" i="1" s="1"/>
  <c r="AH18" i="1" s="1"/>
  <c r="AB19" i="1"/>
  <c r="AC19" i="1" s="1"/>
  <c r="AH19" i="1" s="1"/>
  <c r="AM18" i="1"/>
  <c r="AN18" i="1" s="1"/>
  <c r="AS18" i="1" s="1"/>
  <c r="AX18" i="1"/>
  <c r="AY18" i="1" s="1"/>
  <c r="BD18" i="1" s="1"/>
  <c r="AX19" i="1"/>
  <c r="AY19" i="1" s="1"/>
  <c r="BD19" i="1" s="1"/>
  <c r="AM19" i="1"/>
  <c r="AN19" i="1" s="1"/>
  <c r="AS19" i="1" s="1"/>
  <c r="AH199" i="1" l="1"/>
  <c r="BD199" i="1"/>
  <c r="AS199" i="1"/>
  <c r="N9" i="1" l="1"/>
  <c r="N12" i="1" s="1"/>
  <c r="N13" i="1" s="1"/>
  <c r="N14" i="1" l="1"/>
  <c r="P15" i="1"/>
  <c r="P14" i="1"/>
  <c r="N15" i="1"/>
</calcChain>
</file>

<file path=xl/sharedStrings.xml><?xml version="1.0" encoding="utf-8"?>
<sst xmlns="http://schemas.openxmlformats.org/spreadsheetml/2006/main" count="146" uniqueCount="93">
  <si>
    <t>Weld Segment</t>
  </si>
  <si>
    <t>L (in)</t>
  </si>
  <si>
    <t>xi (in)</t>
  </si>
  <si>
    <t>yi (in)</t>
  </si>
  <si>
    <t>xj (in)</t>
  </si>
  <si>
    <t>Ixx (in4)</t>
  </si>
  <si>
    <t>Iyy (in4)</t>
  </si>
  <si>
    <t>cx (in)</t>
  </si>
  <si>
    <t>cy (in)</t>
  </si>
  <si>
    <t>m (in)</t>
  </si>
  <si>
    <t>n (in)</t>
  </si>
  <si>
    <t>L*cx</t>
  </si>
  <si>
    <t>L*cy</t>
  </si>
  <si>
    <t>dx</t>
  </si>
  <si>
    <t>dy</t>
  </si>
  <si>
    <t>Ixx'</t>
  </si>
  <si>
    <t>Iyy'</t>
  </si>
  <si>
    <t>Ixy'</t>
  </si>
  <si>
    <t>Vx:</t>
  </si>
  <si>
    <t>Vy:</t>
  </si>
  <si>
    <t>Mx:</t>
  </si>
  <si>
    <t>My:</t>
  </si>
  <si>
    <t>Tz:</t>
  </si>
  <si>
    <t>kips</t>
  </si>
  <si>
    <t>ft-kips</t>
  </si>
  <si>
    <t>Load Point:</t>
  </si>
  <si>
    <t>x</t>
  </si>
  <si>
    <t>y</t>
  </si>
  <si>
    <t>z</t>
  </si>
  <si>
    <t>in</t>
  </si>
  <si>
    <t>Pz:</t>
  </si>
  <si>
    <t>Applied Load:</t>
  </si>
  <si>
    <t>Loads at Weld Group Centroid:</t>
  </si>
  <si>
    <t>dz</t>
  </si>
  <si>
    <t>Type:</t>
  </si>
  <si>
    <t>Elastic Weld Group Analysis</t>
  </si>
  <si>
    <t>lbs</t>
  </si>
  <si>
    <t>in-lbs</t>
  </si>
  <si>
    <t>Distances from Load Point to Weld Group Centroid:</t>
  </si>
  <si>
    <t>Weld Group Properties:</t>
  </si>
  <si>
    <t>Area, A:</t>
  </si>
  <si>
    <t>in2</t>
  </si>
  <si>
    <t>in4</t>
  </si>
  <si>
    <t>Centroid X, cx:</t>
  </si>
  <si>
    <t>Centroid Y, cy:</t>
  </si>
  <si>
    <t>Moment of Inertia X, Ixx':</t>
  </si>
  <si>
    <t>Moment of Inertia Y, Iyy':</t>
  </si>
  <si>
    <t>Product of Inertia, Ixy':</t>
  </si>
  <si>
    <t>Direct Stresses:</t>
  </si>
  <si>
    <t xml:space="preserve">σx : </t>
  </si>
  <si>
    <t xml:space="preserve">σy : </t>
  </si>
  <si>
    <t xml:space="preserve">σz : </t>
  </si>
  <si>
    <t>psi = Vx/A</t>
  </si>
  <si>
    <t>psi = Vy/A</t>
  </si>
  <si>
    <t>psi = P/A</t>
  </si>
  <si>
    <t>dxi</t>
  </si>
  <si>
    <t>dyi</t>
  </si>
  <si>
    <t>dxj</t>
  </si>
  <si>
    <t>dyj</t>
  </si>
  <si>
    <t xml:space="preserve">Polar Moment of Inertia, Ip': </t>
  </si>
  <si>
    <t>yj (in)</t>
  </si>
  <si>
    <t>Start Point:</t>
  </si>
  <si>
    <t>End Point:</t>
  </si>
  <si>
    <t>Mid Point:</t>
  </si>
  <si>
    <t>Max Vertex/Mid Point Stress:</t>
  </si>
  <si>
    <t xml:space="preserve">σ : </t>
  </si>
  <si>
    <r>
      <t xml:space="preserve">psi = </t>
    </r>
    <r>
      <rPr>
        <b/>
        <sz val="11"/>
        <color theme="1"/>
        <rFont val="Calibri"/>
        <family val="2"/>
      </rPr>
      <t>√σx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 xml:space="preserve"> + σy</t>
    </r>
    <r>
      <rPr>
        <b/>
        <vertAlign val="superscript"/>
        <sz val="11"/>
        <color theme="1"/>
        <rFont val="Calibri"/>
        <family val="2"/>
      </rPr>
      <t xml:space="preserve">2 </t>
    </r>
    <r>
      <rPr>
        <b/>
        <sz val="11"/>
        <color theme="1"/>
        <rFont val="Calibri"/>
        <family val="2"/>
      </rPr>
      <t>+ σz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 xml:space="preserve">  </t>
    </r>
  </si>
  <si>
    <t>kips (+ Tension)</t>
  </si>
  <si>
    <t>kips (+ up)</t>
  </si>
  <si>
    <t>kips (+ right)</t>
  </si>
  <si>
    <t>ft-kips (+ Tension top)</t>
  </si>
  <si>
    <t>ft-kips (+ Tension left)</t>
  </si>
  <si>
    <t>ft-kips (+ gives - x shear at top)</t>
  </si>
  <si>
    <t xml:space="preserve">σz,y Mx </t>
  </si>
  <si>
    <t>Ixx' Iyy' - Ixy'^2:</t>
  </si>
  <si>
    <t>in8</t>
  </si>
  <si>
    <t>σz,y My</t>
  </si>
  <si>
    <t xml:space="preserve">σz,x Mx </t>
  </si>
  <si>
    <t>σz,x My</t>
  </si>
  <si>
    <t>σz,M</t>
  </si>
  <si>
    <t>σz</t>
  </si>
  <si>
    <t>σx,T</t>
  </si>
  <si>
    <t>σx</t>
  </si>
  <si>
    <t>σy,T</t>
  </si>
  <si>
    <t>σy</t>
  </si>
  <si>
    <t>σ</t>
  </si>
  <si>
    <t>Fexx:</t>
  </si>
  <si>
    <t>ksi</t>
  </si>
  <si>
    <t>Req. Throat:</t>
  </si>
  <si>
    <t xml:space="preserve">Rn = </t>
  </si>
  <si>
    <t>As a Fillet Weld:</t>
  </si>
  <si>
    <t>in   or</t>
  </si>
  <si>
    <t>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</si>
</sst>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164" fontId="0" fillId="0" borderId="0" xfId="0" applyNumberFormat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Weld</a:t>
            </a:r>
            <a:r>
              <a:rPr lang="en-US" baseline="0"/>
              <a:t> Group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Segment_1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(Weld_Group_Analysis!$B$18,Weld_Group_Analysis!$D$18)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(Weld_Group_Analysis!$C$18,Weld_Group_Analysis!$E$18)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A0-4ED7-A84C-1EE0BBD31F1D}"/>
            </c:ext>
          </c:extLst>
        </c:ser>
        <c:ser>
          <c:idx val="1"/>
          <c:order val="1"/>
          <c:tx>
            <c:v>Segment_2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(Weld_Group_Analysis!$B$19,Weld_Group_Analysis!$D$19)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xVal>
          <c:yVal>
            <c:numRef>
              <c:f>(Weld_Group_Analysis!$C$19,Weld_Group_Analysis!$E$19)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A0-4ED7-A84C-1EE0BBD31F1D}"/>
            </c:ext>
          </c:extLst>
        </c:ser>
        <c:ser>
          <c:idx val="2"/>
          <c:order val="2"/>
          <c:tx>
            <c:v>Segment_3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(Weld_Group_Analysis!$B$20,Weld_Group_Analysis!$D$20)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(Weld_Group_Analysis!$C$20,Weld_Group_Analysis!$E$20)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A0-4ED7-A84C-1EE0BBD31F1D}"/>
            </c:ext>
          </c:extLst>
        </c:ser>
        <c:ser>
          <c:idx val="3"/>
          <c:order val="3"/>
          <c:tx>
            <c:v>Segment_4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(Weld_Group_Analysis!$B$21,Weld_Group_Analysis!$D$21)</c:f>
              <c:numCache>
                <c:formatCode>General</c:formatCode>
                <c:ptCount val="2"/>
                <c:pt idx="0">
                  <c:v>3</c:v>
                </c:pt>
                <c:pt idx="1">
                  <c:v>0.5</c:v>
                </c:pt>
              </c:numCache>
            </c:numRef>
          </c:xVal>
          <c:yVal>
            <c:numRef>
              <c:f>(Weld_Group_Analysis!$C$21,Weld_Group_Analysis!$E$21)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A0-4ED7-A84C-1EE0BBD31F1D}"/>
            </c:ext>
          </c:extLst>
        </c:ser>
        <c:ser>
          <c:idx val="4"/>
          <c:order val="4"/>
          <c:tx>
            <c:v>Segment_5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(Weld_Group_Analysis!$B$22,Weld_Group_Analysis!$D$22)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(Weld_Group_Analysis!$C$22,Weld_Group_Analysis!$E$22)</c:f>
              <c:numCache>
                <c:formatCode>General</c:formatCode>
                <c:ptCount val="2"/>
                <c:pt idx="0">
                  <c:v>0.5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A0-4ED7-A84C-1EE0BBD31F1D}"/>
            </c:ext>
          </c:extLst>
        </c:ser>
        <c:ser>
          <c:idx val="5"/>
          <c:order val="5"/>
          <c:tx>
            <c:v>Segment_6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(Weld_Group_Analysis!$B$23,Weld_Group_Analysis!$D$23)</c:f>
              <c:numCache>
                <c:formatCode>General</c:formatCode>
                <c:ptCount val="2"/>
                <c:pt idx="0">
                  <c:v>0.5</c:v>
                </c:pt>
                <c:pt idx="1">
                  <c:v>0</c:v>
                </c:pt>
              </c:numCache>
            </c:numRef>
          </c:xVal>
          <c:yVal>
            <c:numRef>
              <c:f>(Weld_Group_Analysis!$C$23,Weld_Group_Analysis!$E$23)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A0-4ED7-A84C-1EE0BBD31F1D}"/>
            </c:ext>
          </c:extLst>
        </c:ser>
        <c:ser>
          <c:idx val="6"/>
          <c:order val="6"/>
          <c:tx>
            <c:v>Segment_7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(Weld_Group_Analysis!$B$24,Weld_Group_Analysis!$D$24)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(Weld_Group_Analysis!$C$24,Weld_Group_Analysis!$E$24)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A0-4ED7-A84C-1EE0BBD31F1D}"/>
            </c:ext>
          </c:extLst>
        </c:ser>
        <c:ser>
          <c:idx val="7"/>
          <c:order val="7"/>
          <c:tx>
            <c:v>Segment_8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(Weld_Group_Analysis!$B$25,Weld_Group_Analysis!$D$25)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(Weld_Group_Analysis!$C$25,Weld_Group_Analysis!$E$25)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A0-4ED7-A84C-1EE0BBD31F1D}"/>
            </c:ext>
          </c:extLst>
        </c:ser>
        <c:ser>
          <c:idx val="8"/>
          <c:order val="8"/>
          <c:tx>
            <c:v>Segment_9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(Weld_Group_Analysis!$B$26,Weld_Group_Analysis!$D$26)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(Weld_Group_Analysis!$C$26,Weld_Group_Analysis!$E$26)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A0-4ED7-A84C-1EE0BBD31F1D}"/>
            </c:ext>
          </c:extLst>
        </c:ser>
        <c:ser>
          <c:idx val="9"/>
          <c:order val="9"/>
          <c:tx>
            <c:v>Segment_10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(Weld_Group_Analysis!$B$27,Weld_Group_Analysis!$D$27)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(Weld_Group_Analysis!$C$27,Weld_Group_Analysis!$E$27)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A0-4ED7-A84C-1EE0BBD31F1D}"/>
            </c:ext>
          </c:extLst>
        </c:ser>
        <c:ser>
          <c:idx val="10"/>
          <c:order val="10"/>
          <c:tx>
            <c:v>Segment_11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(Weld_Group_Analysis!$B$28,Weld_Group_Analysis!$D$28)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(Weld_Group_Analysis!$C$28,Weld_Group_Analysis!$E$28)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A0-4ED7-A84C-1EE0BBD31F1D}"/>
            </c:ext>
          </c:extLst>
        </c:ser>
        <c:ser>
          <c:idx val="11"/>
          <c:order val="11"/>
          <c:tx>
            <c:v>Segment_12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(Weld_Group_Analysis!$B$29,Weld_Group_Analysis!$D$29)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(Weld_Group_Analysis!$C$29,Weld_Group_Analysis!$E$29)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A0-4ED7-A84C-1EE0BBD31F1D}"/>
            </c:ext>
          </c:extLst>
        </c:ser>
        <c:ser>
          <c:idx val="12"/>
          <c:order val="12"/>
          <c:tx>
            <c:v>Segment_13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(Weld_Group_Analysis!$B$30,Weld_Group_Analysis!$D$30)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(Weld_Group_Analysis!$C$30,Weld_Group_Analysis!$E$30)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2A0-4ED7-A84C-1EE0BBD31F1D}"/>
            </c:ext>
          </c:extLst>
        </c:ser>
        <c:ser>
          <c:idx val="13"/>
          <c:order val="13"/>
          <c:tx>
            <c:v>Segment_14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(Weld_Group_Analysis!$B$31,Weld_Group_Analysis!$D$31)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(Weld_Group_Analysis!$C$31,Weld_Group_Analysis!$E$31)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2A0-4ED7-A84C-1EE0BBD31F1D}"/>
            </c:ext>
          </c:extLst>
        </c:ser>
        <c:ser>
          <c:idx val="14"/>
          <c:order val="14"/>
          <c:tx>
            <c:v>Segment_15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(Weld_Group_Analysis!$B$32,Weld_Group_Analysis!$D$32)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(Weld_Group_Analysis!$C$32,Weld_Group_Analysis!$E$32)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2A0-4ED7-A84C-1EE0BBD31F1D}"/>
            </c:ext>
          </c:extLst>
        </c:ser>
        <c:ser>
          <c:idx val="15"/>
          <c:order val="15"/>
          <c:tx>
            <c:v>Segment_16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(Weld_Group_Analysis!$B$33,Weld_Group_Analysis!$D$33)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(Weld_Group_Analysis!$C$33,Weld_Group_Analysis!$E$33)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2A0-4ED7-A84C-1EE0BBD31F1D}"/>
            </c:ext>
          </c:extLst>
        </c:ser>
        <c:ser>
          <c:idx val="16"/>
          <c:order val="16"/>
          <c:tx>
            <c:v>Segment_17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(Weld_Group_Analysis!$B$34,Weld_Group_Analysis!$D$34)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(Weld_Group_Analysis!$C$34,Weld_Group_Analysis!$E$34)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2A0-4ED7-A84C-1EE0BBD31F1D}"/>
            </c:ext>
          </c:extLst>
        </c:ser>
        <c:ser>
          <c:idx val="17"/>
          <c:order val="17"/>
          <c:tx>
            <c:v>Segment_18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(Weld_Group_Analysis!$B$35,Weld_Group_Analysis!$D$35)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(Weld_Group_Analysis!$C$35,Weld_Group_Analysis!$E$35)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2A0-4ED7-A84C-1EE0BBD31F1D}"/>
            </c:ext>
          </c:extLst>
        </c:ser>
        <c:ser>
          <c:idx val="18"/>
          <c:order val="18"/>
          <c:tx>
            <c:v>Segment_19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(Weld_Group_Analysis!$B$36,Weld_Group_Analysis!$D$36)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(Weld_Group_Analysis!$C$36,Weld_Group_Analysis!$E$36)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2A0-4ED7-A84C-1EE0BBD31F1D}"/>
            </c:ext>
          </c:extLst>
        </c:ser>
        <c:ser>
          <c:idx val="19"/>
          <c:order val="19"/>
          <c:tx>
            <c:v>Segment_20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(Weld_Group_Analysis!$B$37,Weld_Group_Analysis!$D$37)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(Weld_Group_Analysis!$C$37,Weld_Group_Analysis!$E$37)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2A0-4ED7-A84C-1EE0BBD31F1D}"/>
            </c:ext>
          </c:extLst>
        </c:ser>
        <c:ser>
          <c:idx val="20"/>
          <c:order val="20"/>
          <c:tx>
            <c:v>Segment_21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(Weld_Group_Analysis!$B$38,Weld_Group_Analysis!$D$38)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(Weld_Group_Analysis!$C$38,Weld_Group_Analysis!$E$38)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2A0-4ED7-A84C-1EE0BBD31F1D}"/>
            </c:ext>
          </c:extLst>
        </c:ser>
        <c:ser>
          <c:idx val="21"/>
          <c:order val="21"/>
          <c:tx>
            <c:v>Segment_22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(Weld_Group_Analysis!$B$39,Weld_Group_Analysis!$D$39)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(Weld_Group_Analysis!$C$39,Weld_Group_Analysis!$E$39)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2A0-4ED7-A84C-1EE0BBD31F1D}"/>
            </c:ext>
          </c:extLst>
        </c:ser>
        <c:ser>
          <c:idx val="22"/>
          <c:order val="22"/>
          <c:tx>
            <c:v>Segment_23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(Weld_Group_Analysis!$B$40,Weld_Group_Analysis!$D$40)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(Weld_Group_Analysis!$C$40,Weld_Group_Analysis!$E$40)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2A0-4ED7-A84C-1EE0BBD31F1D}"/>
            </c:ext>
          </c:extLst>
        </c:ser>
        <c:ser>
          <c:idx val="23"/>
          <c:order val="23"/>
          <c:tx>
            <c:v>Segment_24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(Weld_Group_Analysis!$B$41,Weld_Group_Analysis!$D$41)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(Weld_Group_Analysis!$C$41,Weld_Group_Analysis!$E$41)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2A0-4ED7-A84C-1EE0BBD31F1D}"/>
            </c:ext>
          </c:extLst>
        </c:ser>
        <c:ser>
          <c:idx val="24"/>
          <c:order val="24"/>
          <c:tx>
            <c:v>Segment_25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(Weld_Group_Analysis!$B$42,Weld_Group_Analysis!$D$42)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(Weld_Group_Analysis!$C$42,Weld_Group_Analysis!$E$42)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2A0-4ED7-A84C-1EE0BBD31F1D}"/>
            </c:ext>
          </c:extLst>
        </c:ser>
        <c:ser>
          <c:idx val="25"/>
          <c:order val="25"/>
          <c:tx>
            <c:v>Segment_26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(Weld_Group_Analysis!$B$43,Weld_Group_Analysis!$D$43)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(Weld_Group_Analysis!$C$43,Weld_Group_Analysis!$E$43)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2A0-4ED7-A84C-1EE0BBD31F1D}"/>
            </c:ext>
          </c:extLst>
        </c:ser>
        <c:ser>
          <c:idx val="26"/>
          <c:order val="26"/>
          <c:tx>
            <c:v>Segment_27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(Weld_Group_Analysis!$B$44,Weld_Group_Analysis!$D$44)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(Weld_Group_Analysis!$C$44,Weld_Group_Analysis!$E$44)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2A0-4ED7-A84C-1EE0BBD31F1D}"/>
            </c:ext>
          </c:extLst>
        </c:ser>
        <c:ser>
          <c:idx val="27"/>
          <c:order val="27"/>
          <c:tx>
            <c:v>Segment_28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(Weld_Group_Analysis!$B$45,Weld_Group_Analysis!$D$45)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(Weld_Group_Analysis!$C$45,Weld_Group_Analysis!$E$45)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2A0-4ED7-A84C-1EE0BBD31F1D}"/>
            </c:ext>
          </c:extLst>
        </c:ser>
        <c:ser>
          <c:idx val="28"/>
          <c:order val="28"/>
          <c:tx>
            <c:v>Segment_29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(Weld_Group_Analysis!$B$46,Weld_Group_Analysis!$D$46)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(Weld_Group_Analysis!$C$46,Weld_Group_Analysis!$E$46)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2A0-4ED7-A84C-1EE0BBD31F1D}"/>
            </c:ext>
          </c:extLst>
        </c:ser>
        <c:ser>
          <c:idx val="29"/>
          <c:order val="29"/>
          <c:tx>
            <c:v>Segment_30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(Weld_Group_Analysis!$B$47,Weld_Group_Analysis!$D$47)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(Weld_Group_Analysis!$C$47,Weld_Group_Analysis!$E$47)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2A0-4ED7-A84C-1EE0BBD31F1D}"/>
            </c:ext>
          </c:extLst>
        </c:ser>
        <c:ser>
          <c:idx val="30"/>
          <c:order val="30"/>
          <c:tx>
            <c:v>Segment_31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(Weld_Group_Analysis!$B$48,Weld_Group_Analysis!$D$48)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(Weld_Group_Analysis!$C$48,Weld_Group_Analysis!$E$48)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2A0-4ED7-A84C-1EE0BBD31F1D}"/>
            </c:ext>
          </c:extLst>
        </c:ser>
        <c:ser>
          <c:idx val="31"/>
          <c:order val="31"/>
          <c:tx>
            <c:v>Segment_32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(Weld_Group_Analysis!$B$49,Weld_Group_Analysis!$D$49)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(Weld_Group_Analysis!$C$49,Weld_Group_Analysis!$E$49)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2A0-4ED7-A84C-1EE0BBD31F1D}"/>
            </c:ext>
          </c:extLst>
        </c:ser>
        <c:ser>
          <c:idx val="32"/>
          <c:order val="32"/>
          <c:tx>
            <c:v>Segment_33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(Weld_Group_Analysis!$B$50,Weld_Group_Analysis!$D$50)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(Weld_Group_Analysis!$C$50,Weld_Group_Analysis!$E$50)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2A0-4ED7-A84C-1EE0BBD31F1D}"/>
            </c:ext>
          </c:extLst>
        </c:ser>
        <c:ser>
          <c:idx val="33"/>
          <c:order val="33"/>
          <c:tx>
            <c:v>Segment_34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(Weld_Group_Analysis!$B$51,Weld_Group_Analysis!$D$51)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(Weld_Group_Analysis!$C$51,Weld_Group_Analysis!$E$51)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2A0-4ED7-A84C-1EE0BBD31F1D}"/>
            </c:ext>
          </c:extLst>
        </c:ser>
        <c:ser>
          <c:idx val="34"/>
          <c:order val="34"/>
          <c:tx>
            <c:v>Segment_35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(Weld_Group_Analysis!$B$52,Weld_Group_Analysis!$D$52)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(Weld_Group_Analysis!$C$52,Weld_Group_Analysis!$E$52)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2A0-4ED7-A84C-1EE0BBD31F1D}"/>
            </c:ext>
          </c:extLst>
        </c:ser>
        <c:ser>
          <c:idx val="35"/>
          <c:order val="35"/>
          <c:tx>
            <c:v>Segment_36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(Weld_Group_Analysis!$B$53,Weld_Group_Analysis!$D$53)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(Weld_Group_Analysis!$C$53,Weld_Group_Analysis!$E$53)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2A0-4ED7-A84C-1EE0BBD31F1D}"/>
            </c:ext>
          </c:extLst>
        </c:ser>
        <c:ser>
          <c:idx val="36"/>
          <c:order val="36"/>
          <c:tx>
            <c:v>Segment_37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(Weld_Group_Analysis!$B$54,Weld_Group_Analysis!$D$54)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(Weld_Group_Analysis!$C$54,Weld_Group_Analysis!$E$54)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2A0-4ED7-A84C-1EE0BBD31F1D}"/>
            </c:ext>
          </c:extLst>
        </c:ser>
        <c:ser>
          <c:idx val="37"/>
          <c:order val="37"/>
          <c:tx>
            <c:v>Segment_38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(Weld_Group_Analysis!$B$55,Weld_Group_Analysis!$D$55)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(Weld_Group_Analysis!$C$55,Weld_Group_Analysis!$E$55)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2A0-4ED7-A84C-1EE0BBD31F1D}"/>
            </c:ext>
          </c:extLst>
        </c:ser>
        <c:ser>
          <c:idx val="38"/>
          <c:order val="38"/>
          <c:tx>
            <c:v>Segment_39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(Weld_Group_Analysis!$B$56,Weld_Group_Analysis!$D$56)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(Weld_Group_Analysis!$C$56,Weld_Group_Analysis!$E$56)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2A0-4ED7-A84C-1EE0BBD31F1D}"/>
            </c:ext>
          </c:extLst>
        </c:ser>
        <c:ser>
          <c:idx val="39"/>
          <c:order val="39"/>
          <c:tx>
            <c:v>Segment_40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(Weld_Group_Analysis!$B$57,Weld_Group_Analysis!$D$57)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(Weld_Group_Analysis!$C$57,Weld_Group_Analysis!$E$57)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2A0-4ED7-A84C-1EE0BBD31F1D}"/>
            </c:ext>
          </c:extLst>
        </c:ser>
        <c:ser>
          <c:idx val="40"/>
          <c:order val="40"/>
          <c:tx>
            <c:v>Segment_41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(Weld_Group_Analysis!$B$58,Weld_Group_Analysis!$D$58)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(Weld_Group_Analysis!$C$58,Weld_Group_Analysis!$E$58)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2A0-4ED7-A84C-1EE0BBD31F1D}"/>
            </c:ext>
          </c:extLst>
        </c:ser>
        <c:ser>
          <c:idx val="41"/>
          <c:order val="41"/>
          <c:tx>
            <c:v>Segment_42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(Weld_Group_Analysis!$B$59,Weld_Group_Analysis!$D$59)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(Weld_Group_Analysis!$C$59,Weld_Group_Analysis!$E$59)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2A0-4ED7-A84C-1EE0BBD31F1D}"/>
            </c:ext>
          </c:extLst>
        </c:ser>
        <c:ser>
          <c:idx val="42"/>
          <c:order val="42"/>
          <c:tx>
            <c:v>Segment_43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(Weld_Group_Analysis!$B$60,Weld_Group_Analysis!$D$60)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(Weld_Group_Analysis!$C$60,Weld_Group_Analysis!$E$60)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2A0-4ED7-A84C-1EE0BBD31F1D}"/>
            </c:ext>
          </c:extLst>
        </c:ser>
        <c:ser>
          <c:idx val="43"/>
          <c:order val="43"/>
          <c:tx>
            <c:v>Segment_44</c:v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(Weld_Group_Analysis!$B$61,Weld_Group_Analysis!$D$61)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(Weld_Group_Analysis!$C$61,Weld_Group_Analysis!$E$61)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2A0-4ED7-A84C-1EE0BBD31F1D}"/>
            </c:ext>
          </c:extLst>
        </c:ser>
        <c:ser>
          <c:idx val="44"/>
          <c:order val="44"/>
          <c:tx>
            <c:v>Segment_45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(Weld_Group_Analysis!$B$62,Weld_Group_Analysis!$D$62)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(Weld_Group_Analysis!$C$62,Weld_Group_Analysis!$E$62)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2A0-4ED7-A84C-1EE0BBD31F1D}"/>
            </c:ext>
          </c:extLst>
        </c:ser>
        <c:ser>
          <c:idx val="45"/>
          <c:order val="45"/>
          <c:tx>
            <c:v>Segment_46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(Weld_Group_Analysis!$B$63,Weld_Group_Analysis!$D$63)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(Weld_Group_Analysis!$C$63,Weld_Group_Analysis!$E$63)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2A0-4ED7-A84C-1EE0BBD31F1D}"/>
            </c:ext>
          </c:extLst>
        </c:ser>
        <c:ser>
          <c:idx val="46"/>
          <c:order val="46"/>
          <c:tx>
            <c:v>Segment_47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(Weld_Group_Analysis!$B$64,Weld_Group_Analysis!$D$64)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(Weld_Group_Analysis!$C$64,Weld_Group_Analysis!$E$64)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2A0-4ED7-A84C-1EE0BBD31F1D}"/>
            </c:ext>
          </c:extLst>
        </c:ser>
        <c:ser>
          <c:idx val="47"/>
          <c:order val="47"/>
          <c:tx>
            <c:v>Segment_48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(Weld_Group_Analysis!$B$65,Weld_Group_Analysis!$D$65)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(Weld_Group_Analysis!$C$65,Weld_Group_Analysis!$E$65)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2A0-4ED7-A84C-1EE0BBD31F1D}"/>
            </c:ext>
          </c:extLst>
        </c:ser>
        <c:ser>
          <c:idx val="48"/>
          <c:order val="48"/>
          <c:tx>
            <c:v>Segment_49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(Weld_Group_Analysis!$B$66,Weld_Group_Analysis!$D$66)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(Weld_Group_Analysis!$C$66,Weld_Group_Analysis!$E$66)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2A0-4ED7-A84C-1EE0BBD31F1D}"/>
            </c:ext>
          </c:extLst>
        </c:ser>
        <c:ser>
          <c:idx val="49"/>
          <c:order val="49"/>
          <c:tx>
            <c:v>Segment_50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(Weld_Group_Analysis!$B$67,Weld_Group_Analysis!$D$67)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(Weld_Group_Analysis!$C$67,Weld_Group_Analysis!$E$67)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2A0-4ED7-A84C-1EE0BBD31F1D}"/>
            </c:ext>
          </c:extLst>
        </c:ser>
        <c:ser>
          <c:idx val="50"/>
          <c:order val="50"/>
          <c:tx>
            <c:v>Segment_51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(Weld_Group_Analysis!$B$68,Weld_Group_Analysis!$D$68)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(Weld_Group_Analysis!$C$68,Weld_Group_Analysis!$E$68)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2A0-4ED7-A84C-1EE0BBD31F1D}"/>
            </c:ext>
          </c:extLst>
        </c:ser>
        <c:ser>
          <c:idx val="51"/>
          <c:order val="51"/>
          <c:tx>
            <c:v>Segment_52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(Weld_Group_Analysis!$B$69,Weld_Group_Analysis!$D$69)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(Weld_Group_Analysis!$C$69,Weld_Group_Analysis!$E$69)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2A0-4ED7-A84C-1EE0BBD31F1D}"/>
            </c:ext>
          </c:extLst>
        </c:ser>
        <c:ser>
          <c:idx val="52"/>
          <c:order val="52"/>
          <c:tx>
            <c:v>Segment_53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(Weld_Group_Analysis!$B$70,Weld_Group_Analysis!$D$70)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(Weld_Group_Analysis!$C$70,Weld_Group_Analysis!$E$70)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2A0-4ED7-A84C-1EE0BBD31F1D}"/>
            </c:ext>
          </c:extLst>
        </c:ser>
        <c:ser>
          <c:idx val="53"/>
          <c:order val="53"/>
          <c:tx>
            <c:v>Segment_54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(Weld_Group_Analysis!$B$71,Weld_Group_Analysis!$D$71)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(Weld_Group_Analysis!$C$71,Weld_Group_Analysis!$E$71)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2A0-4ED7-A84C-1EE0BBD31F1D}"/>
            </c:ext>
          </c:extLst>
        </c:ser>
        <c:ser>
          <c:idx val="54"/>
          <c:order val="54"/>
          <c:tx>
            <c:v>Segment_55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(Weld_Group_Analysis!$B$72,Weld_Group_Analysis!$D$72)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(Weld_Group_Analysis!$C$72,Weld_Group_Analysis!$E$72)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2A0-4ED7-A84C-1EE0BBD31F1D}"/>
            </c:ext>
          </c:extLst>
        </c:ser>
        <c:ser>
          <c:idx val="55"/>
          <c:order val="55"/>
          <c:tx>
            <c:v>Segment_56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(Weld_Group_Analysis!$B$73,Weld_Group_Analysis!$D$73)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(Weld_Group_Analysis!$C$73,Weld_Group_Analysis!$E$73)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2A0-4ED7-A84C-1EE0BBD31F1D}"/>
            </c:ext>
          </c:extLst>
        </c:ser>
        <c:ser>
          <c:idx val="56"/>
          <c:order val="56"/>
          <c:tx>
            <c:v>Segment_57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(Weld_Group_Analysis!$B$74,Weld_Group_Analysis!$D$74)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(Weld_Group_Analysis!$C$74,Weld_Group_Analysis!$E$74)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2A0-4ED7-A84C-1EE0BBD31F1D}"/>
            </c:ext>
          </c:extLst>
        </c:ser>
        <c:ser>
          <c:idx val="57"/>
          <c:order val="57"/>
          <c:tx>
            <c:v>Segment_58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(Weld_Group_Analysis!$B$75,Weld_Group_Analysis!$D$75)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(Weld_Group_Analysis!$C$75,Weld_Group_Analysis!$E$75)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2A0-4ED7-A84C-1EE0BBD31F1D}"/>
            </c:ext>
          </c:extLst>
        </c:ser>
        <c:ser>
          <c:idx val="58"/>
          <c:order val="58"/>
          <c:tx>
            <c:v>Segment_59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(Weld_Group_Analysis!$B$76,Weld_Group_Analysis!$D$76)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(Weld_Group_Analysis!$C$76,Weld_Group_Analysis!$E$76)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2A0-4ED7-A84C-1EE0BBD31F1D}"/>
            </c:ext>
          </c:extLst>
        </c:ser>
        <c:ser>
          <c:idx val="59"/>
          <c:order val="59"/>
          <c:tx>
            <c:v>Segment_60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(Weld_Group_Analysis!$B$77,Weld_Group_Analysis!$D$77)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(Weld_Group_Analysis!$C$77,Weld_Group_Analysis!$E$77)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2A0-4ED7-A84C-1EE0BBD31F1D}"/>
            </c:ext>
          </c:extLst>
        </c:ser>
        <c:ser>
          <c:idx val="60"/>
          <c:order val="60"/>
          <c:tx>
            <c:v>Segment_61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(Weld_Group_Analysis!$B$78,Weld_Group_Analysis!$D$78)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(Weld_Group_Analysis!$C$78,Weld_Group_Analysis!$E$78)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2A0-4ED7-A84C-1EE0BBD31F1D}"/>
            </c:ext>
          </c:extLst>
        </c:ser>
        <c:ser>
          <c:idx val="61"/>
          <c:order val="61"/>
          <c:tx>
            <c:v>Segment_62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(Weld_Group_Analysis!$B$79,Weld_Group_Analysis!$D$79)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(Weld_Group_Analysis!$C$79,Weld_Group_Analysis!$E$79)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2A0-4ED7-A84C-1EE0BBD31F1D}"/>
            </c:ext>
          </c:extLst>
        </c:ser>
        <c:ser>
          <c:idx val="62"/>
          <c:order val="62"/>
          <c:tx>
            <c:v>Segment_63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(Weld_Group_Analysis!$B$80,Weld_Group_Analysis!$D$80)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(Weld_Group_Analysis!$C$80,Weld_Group_Analysis!$E$80)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2A0-4ED7-A84C-1EE0BBD31F1D}"/>
            </c:ext>
          </c:extLst>
        </c:ser>
        <c:ser>
          <c:idx val="63"/>
          <c:order val="63"/>
          <c:tx>
            <c:v>Segment_64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(Weld_Group_Analysis!$B$81,Weld_Group_Analysis!$D$81)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(Weld_Group_Analysis!$C$81,Weld_Group_Analysis!$E$81)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2A0-4ED7-A84C-1EE0BBD31F1D}"/>
            </c:ext>
          </c:extLst>
        </c:ser>
        <c:ser>
          <c:idx val="64"/>
          <c:order val="64"/>
          <c:tx>
            <c:v>Segment_65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(Weld_Group_Analysis!$B$82,Weld_Group_Analysis!$D$82)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(Weld_Group_Analysis!$C$82,Weld_Group_Analysis!$E$82)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2A0-4ED7-A84C-1EE0BBD31F1D}"/>
            </c:ext>
          </c:extLst>
        </c:ser>
        <c:ser>
          <c:idx val="65"/>
          <c:order val="65"/>
          <c:tx>
            <c:v>Segment_66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(Weld_Group_Analysis!$B$83,Weld_Group_Analysis!$D$83)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(Weld_Group_Analysis!$C$83,Weld_Group_Analysis!$E$83)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2A0-4ED7-A84C-1EE0BBD31F1D}"/>
            </c:ext>
          </c:extLst>
        </c:ser>
        <c:ser>
          <c:idx val="66"/>
          <c:order val="66"/>
          <c:tx>
            <c:v>Segment_67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(Weld_Group_Analysis!$B$84,Weld_Group_Analysis!$D$84)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(Weld_Group_Analysis!$C$84,Weld_Group_Analysis!$E$84)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2A0-4ED7-A84C-1EE0BBD31F1D}"/>
            </c:ext>
          </c:extLst>
        </c:ser>
        <c:ser>
          <c:idx val="67"/>
          <c:order val="67"/>
          <c:tx>
            <c:v>Segment_68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(Weld_Group_Analysis!$B$85,Weld_Group_Analysis!$D$85)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(Weld_Group_Analysis!$C$85,Weld_Group_Analysis!$E$85)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2A0-4ED7-A84C-1EE0BBD31F1D}"/>
            </c:ext>
          </c:extLst>
        </c:ser>
        <c:ser>
          <c:idx val="68"/>
          <c:order val="68"/>
          <c:tx>
            <c:v>Segment_69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(Weld_Group_Analysis!$B$86,Weld_Group_Analysis!$D$86)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(Weld_Group_Analysis!$C$86,Weld_Group_Analysis!$E$86)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2A0-4ED7-A84C-1EE0BBD31F1D}"/>
            </c:ext>
          </c:extLst>
        </c:ser>
        <c:ser>
          <c:idx val="69"/>
          <c:order val="69"/>
          <c:tx>
            <c:v>Segment_70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(Weld_Group_Analysis!$B$87,Weld_Group_Analysis!$D$87)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(Weld_Group_Analysis!$C$87,Weld_Group_Analysis!$E$87)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2A0-4ED7-A84C-1EE0BBD31F1D}"/>
            </c:ext>
          </c:extLst>
        </c:ser>
        <c:ser>
          <c:idx val="70"/>
          <c:order val="70"/>
          <c:tx>
            <c:v>Segment_71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(Weld_Group_Analysis!$B$88,Weld_Group_Analysis!$D$88)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(Weld_Group_Analysis!$C$88,Weld_Group_Analysis!$E$88)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2A0-4ED7-A84C-1EE0BBD31F1D}"/>
            </c:ext>
          </c:extLst>
        </c:ser>
        <c:ser>
          <c:idx val="71"/>
          <c:order val="71"/>
          <c:tx>
            <c:v>Segment_72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(Weld_Group_Analysis!$B$89,Weld_Group_Analysis!$D$89)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(Weld_Group_Analysis!$C$89,Weld_Group_Analysis!$E$89)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2A0-4ED7-A84C-1EE0BBD31F1D}"/>
            </c:ext>
          </c:extLst>
        </c:ser>
        <c:ser>
          <c:idx val="72"/>
          <c:order val="72"/>
          <c:tx>
            <c:v>Segment_73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(Weld_Group_Analysis!$B$90,Weld_Group_Analysis!$D$90)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(Weld_Group_Analysis!$C$90,Weld_Group_Analysis!$E$90)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2A0-4ED7-A84C-1EE0BBD31F1D}"/>
            </c:ext>
          </c:extLst>
        </c:ser>
        <c:ser>
          <c:idx val="73"/>
          <c:order val="73"/>
          <c:tx>
            <c:v>Segment_74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(Weld_Group_Analysis!$B$91,Weld_Group_Analysis!$D$91)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(Weld_Group_Analysis!$C$91,Weld_Group_Analysis!$E$91)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2A0-4ED7-A84C-1EE0BBD31F1D}"/>
            </c:ext>
          </c:extLst>
        </c:ser>
        <c:ser>
          <c:idx val="74"/>
          <c:order val="74"/>
          <c:tx>
            <c:v>Segment_75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(Weld_Group_Analysis!$B$92,Weld_Group_Analysis!$D$92)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(Weld_Group_Analysis!$C$92,Weld_Group_Analysis!$E$92)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2A0-4ED7-A84C-1EE0BBD31F1D}"/>
            </c:ext>
          </c:extLst>
        </c:ser>
        <c:ser>
          <c:idx val="75"/>
          <c:order val="75"/>
          <c:tx>
            <c:v>Segment_76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(Weld_Group_Analysis!$B$93,Weld_Group_Analysis!$D$93)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(Weld_Group_Analysis!$C$93,Weld_Group_Analysis!$E$93)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2A0-4ED7-A84C-1EE0BBD31F1D}"/>
            </c:ext>
          </c:extLst>
        </c:ser>
        <c:ser>
          <c:idx val="76"/>
          <c:order val="76"/>
          <c:tx>
            <c:v>Segment_77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(Weld_Group_Analysis!$B$94,Weld_Group_Analysis!$D$94)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(Weld_Group_Analysis!$C$94,Weld_Group_Analysis!$E$94)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2A0-4ED7-A84C-1EE0BBD31F1D}"/>
            </c:ext>
          </c:extLst>
        </c:ser>
        <c:ser>
          <c:idx val="77"/>
          <c:order val="77"/>
          <c:tx>
            <c:v>Segment_78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(Weld_Group_Analysis!$B$95,Weld_Group_Analysis!$D$95)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(Weld_Group_Analysis!$C$95,Weld_Group_Analysis!$E$95)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2A0-4ED7-A84C-1EE0BBD31F1D}"/>
            </c:ext>
          </c:extLst>
        </c:ser>
        <c:ser>
          <c:idx val="78"/>
          <c:order val="78"/>
          <c:tx>
            <c:v>Segment_79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(Weld_Group_Analysis!$B$96,Weld_Group_Analysis!$D$96)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(Weld_Group_Analysis!$C$96,Weld_Group_Analysis!$E$96)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2A0-4ED7-A84C-1EE0BBD31F1D}"/>
            </c:ext>
          </c:extLst>
        </c:ser>
        <c:ser>
          <c:idx val="79"/>
          <c:order val="79"/>
          <c:tx>
            <c:v>Segment_80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(Weld_Group_Analysis!$B$97,Weld_Group_Analysis!$D$97)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(Weld_Group_Analysis!$C$97,Weld_Group_Analysis!$E$97)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2A0-4ED7-A84C-1EE0BBD31F1D}"/>
            </c:ext>
          </c:extLst>
        </c:ser>
        <c:ser>
          <c:idx val="80"/>
          <c:order val="80"/>
          <c:tx>
            <c:v>Segment_81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(Weld_Group_Analysis!$B$98,Weld_Group_Analysis!$D$98)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(Weld_Group_Analysis!$C$98,Weld_Group_Analysis!$E$98)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2A0-4ED7-A84C-1EE0BBD31F1D}"/>
            </c:ext>
          </c:extLst>
        </c:ser>
        <c:ser>
          <c:idx val="81"/>
          <c:order val="81"/>
          <c:tx>
            <c:v>Segment_82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(Weld_Group_Analysis!$B$99,Weld_Group_Analysis!$D$99)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(Weld_Group_Analysis!$C$99,Weld_Group_Analysis!$E$99)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2A0-4ED7-A84C-1EE0BBD31F1D}"/>
            </c:ext>
          </c:extLst>
        </c:ser>
        <c:ser>
          <c:idx val="82"/>
          <c:order val="82"/>
          <c:tx>
            <c:v>Segment_83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(Weld_Group_Analysis!$B$100,Weld_Group_Analysis!$D$100)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(Weld_Group_Analysis!$C$100,Weld_Group_Analysis!$E$100)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2A0-4ED7-A84C-1EE0BBD31F1D}"/>
            </c:ext>
          </c:extLst>
        </c:ser>
        <c:ser>
          <c:idx val="83"/>
          <c:order val="83"/>
          <c:tx>
            <c:v>Segment_84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(Weld_Group_Analysis!$B$101,Weld_Group_Analysis!$D$101)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(Weld_Group_Analysis!$C$101,Weld_Group_Analysis!$E$101)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2A0-4ED7-A84C-1EE0BBD31F1D}"/>
            </c:ext>
          </c:extLst>
        </c:ser>
        <c:ser>
          <c:idx val="84"/>
          <c:order val="84"/>
          <c:tx>
            <c:v>Segment_85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(Weld_Group_Analysis!$B$102,Weld_Group_Analysis!$D$102)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(Weld_Group_Analysis!$C$102,Weld_Group_Analysis!$E$102)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2A0-4ED7-A84C-1EE0BBD31F1D}"/>
            </c:ext>
          </c:extLst>
        </c:ser>
        <c:ser>
          <c:idx val="85"/>
          <c:order val="85"/>
          <c:tx>
            <c:v>Segment_86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(Weld_Group_Analysis!$B$103,Weld_Group_Analysis!$D$103)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(Weld_Group_Analysis!$C$103,Weld_Group_Analysis!$E$103)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2A0-4ED7-A84C-1EE0BBD31F1D}"/>
            </c:ext>
          </c:extLst>
        </c:ser>
        <c:ser>
          <c:idx val="86"/>
          <c:order val="86"/>
          <c:tx>
            <c:v>Segment_87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(Weld_Group_Analysis!$B$104,Weld_Group_Analysis!$D$104)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(Weld_Group_Analysis!$C$104,Weld_Group_Analysis!$E$104)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2A0-4ED7-A84C-1EE0BBD31F1D}"/>
            </c:ext>
          </c:extLst>
        </c:ser>
        <c:ser>
          <c:idx val="87"/>
          <c:order val="87"/>
          <c:tx>
            <c:v>Segment_88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(Weld_Group_Analysis!$B$105,Weld_Group_Analysis!$D$105)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(Weld_Group_Analysis!$C$105,Weld_Group_Analysis!$E$105)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2A0-4ED7-A84C-1EE0BBD31F1D}"/>
            </c:ext>
          </c:extLst>
        </c:ser>
        <c:ser>
          <c:idx val="88"/>
          <c:order val="88"/>
          <c:tx>
            <c:v>Segment_89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(Weld_Group_Analysis!$B$106,Weld_Group_Analysis!$D$106)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(Weld_Group_Analysis!$C$106,Weld_Group_Analysis!$E$106)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2A0-4ED7-A84C-1EE0BBD31F1D}"/>
            </c:ext>
          </c:extLst>
        </c:ser>
        <c:ser>
          <c:idx val="89"/>
          <c:order val="89"/>
          <c:tx>
            <c:v>Segment_90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(Weld_Group_Analysis!$B$107,Weld_Group_Analysis!$D$107)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(Weld_Group_Analysis!$C$107,Weld_Group_Analysis!$E$107)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2A0-4ED7-A84C-1EE0BBD31F1D}"/>
            </c:ext>
          </c:extLst>
        </c:ser>
        <c:ser>
          <c:idx val="90"/>
          <c:order val="90"/>
          <c:tx>
            <c:v>Segment_91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(Weld_Group_Analysis!$B$108,Weld_Group_Analysis!$D$108)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(Weld_Group_Analysis!$C$108,Weld_Group_Analysis!$E$108)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2A0-4ED7-A84C-1EE0BBD31F1D}"/>
            </c:ext>
          </c:extLst>
        </c:ser>
        <c:ser>
          <c:idx val="91"/>
          <c:order val="91"/>
          <c:tx>
            <c:v>Segment_92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(Weld_Group_Analysis!$B$109,Weld_Group_Analysis!$D$109)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(Weld_Group_Analysis!$C$109,Weld_Group_Analysis!$E$109)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2A0-4ED7-A84C-1EE0BBD31F1D}"/>
            </c:ext>
          </c:extLst>
        </c:ser>
        <c:ser>
          <c:idx val="92"/>
          <c:order val="92"/>
          <c:tx>
            <c:v>Segment_93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(Weld_Group_Analysis!$B$110,Weld_Group_Analysis!$D$110)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(Weld_Group_Analysis!$C$110,Weld_Group_Analysis!$E$110)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2A0-4ED7-A84C-1EE0BBD31F1D}"/>
            </c:ext>
          </c:extLst>
        </c:ser>
        <c:ser>
          <c:idx val="93"/>
          <c:order val="93"/>
          <c:tx>
            <c:v>Segment_94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(Weld_Group_Analysis!$B$111,Weld_Group_Analysis!$D$111)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(Weld_Group_Analysis!$C$111,Weld_Group_Analysis!$E$111)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2A0-4ED7-A84C-1EE0BBD31F1D}"/>
            </c:ext>
          </c:extLst>
        </c:ser>
        <c:ser>
          <c:idx val="94"/>
          <c:order val="94"/>
          <c:tx>
            <c:v>Segment_95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(Weld_Group_Analysis!$B$112,Weld_Group_Analysis!$D$112)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(Weld_Group_Analysis!$C$112,Weld_Group_Analysis!$E$112)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2A0-4ED7-A84C-1EE0BBD31F1D}"/>
            </c:ext>
          </c:extLst>
        </c:ser>
        <c:ser>
          <c:idx val="95"/>
          <c:order val="95"/>
          <c:tx>
            <c:v>Segment_96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(Weld_Group_Analysis!$B$113,Weld_Group_Analysis!$D$113)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(Weld_Group_Analysis!$C$113,Weld_Group_Analysis!$E$113)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2A0-4ED7-A84C-1EE0BBD31F1D}"/>
            </c:ext>
          </c:extLst>
        </c:ser>
        <c:ser>
          <c:idx val="96"/>
          <c:order val="96"/>
          <c:tx>
            <c:v>Segment_97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(Weld_Group_Analysis!$B$114,Weld_Group_Analysis!$D$114)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(Weld_Group_Analysis!$C$114,Weld_Group_Analysis!$E$114)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2A0-4ED7-A84C-1EE0BBD31F1D}"/>
            </c:ext>
          </c:extLst>
        </c:ser>
        <c:ser>
          <c:idx val="97"/>
          <c:order val="97"/>
          <c:tx>
            <c:v>Segment_98</c:v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(Weld_Group_Analysis!$B$115,Weld_Group_Analysis!$D$115)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(Weld_Group_Analysis!$C$115,Weld_Group_Analysis!$E$115)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2A0-4ED7-A84C-1EE0BBD31F1D}"/>
            </c:ext>
          </c:extLst>
        </c:ser>
        <c:ser>
          <c:idx val="98"/>
          <c:order val="98"/>
          <c:tx>
            <c:v>Segment_99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(Weld_Group_Analysis!$B$116,Weld_Group_Analysis!$D$116)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(Weld_Group_Analysis!$C$116,Weld_Group_Analysis!$E$116)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2A0-4ED7-A84C-1EE0BBD31F1D}"/>
            </c:ext>
          </c:extLst>
        </c:ser>
        <c:ser>
          <c:idx val="99"/>
          <c:order val="99"/>
          <c:tx>
            <c:v>Segment_100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(Weld_Group_Analysis!$B$117,Weld_Group_Analysis!$D$117)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(Weld_Group_Analysis!$C$117,Weld_Group_Analysis!$E$117)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2A0-4ED7-A84C-1EE0BBD31F1D}"/>
            </c:ext>
          </c:extLst>
        </c:ser>
        <c:ser>
          <c:idx val="100"/>
          <c:order val="100"/>
          <c:tx>
            <c:v>Segment_101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(Weld_Group_Analysis!$B$118,Weld_Group_Analysis!$D$118)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(Weld_Group_Analysis!$C$118,Weld_Group_Analysis!$E$118)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02A0-4ED7-A84C-1EE0BBD31F1D}"/>
            </c:ext>
          </c:extLst>
        </c:ser>
        <c:ser>
          <c:idx val="101"/>
          <c:order val="101"/>
          <c:tx>
            <c:v>Segment_102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(Weld_Group_Analysis!$B$119,Weld_Group_Analysis!$D$119)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(Weld_Group_Analysis!$C$119,Weld_Group_Analysis!$E$119)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02A0-4ED7-A84C-1EE0BBD31F1D}"/>
            </c:ext>
          </c:extLst>
        </c:ser>
        <c:ser>
          <c:idx val="102"/>
          <c:order val="102"/>
          <c:tx>
            <c:v>Segment_103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(Weld_Group_Analysis!$B$120,Weld_Group_Analysis!$D$120)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(Weld_Group_Analysis!$C$120,Weld_Group_Analysis!$E$120)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02A0-4ED7-A84C-1EE0BBD31F1D}"/>
            </c:ext>
          </c:extLst>
        </c:ser>
        <c:ser>
          <c:idx val="103"/>
          <c:order val="103"/>
          <c:tx>
            <c:v>Segment_104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(Weld_Group_Analysis!$B$121,Weld_Group_Analysis!$D$121)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(Weld_Group_Analysis!$C$121,Weld_Group_Analysis!$E$121)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02A0-4ED7-A84C-1EE0BBD31F1D}"/>
            </c:ext>
          </c:extLst>
        </c:ser>
        <c:ser>
          <c:idx val="104"/>
          <c:order val="104"/>
          <c:tx>
            <c:v>Segment_105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(Weld_Group_Analysis!$B$122,Weld_Group_Analysis!$D$122)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(Weld_Group_Analysis!$C$122,Weld_Group_Analysis!$E$122)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02A0-4ED7-A84C-1EE0BBD31F1D}"/>
            </c:ext>
          </c:extLst>
        </c:ser>
        <c:ser>
          <c:idx val="105"/>
          <c:order val="105"/>
          <c:tx>
            <c:v>Segment_106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(Weld_Group_Analysis!$B$123,Weld_Group_Analysis!$D$123)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(Weld_Group_Analysis!$C$123,Weld_Group_Analysis!$E$123)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02A0-4ED7-A84C-1EE0BBD31F1D}"/>
            </c:ext>
          </c:extLst>
        </c:ser>
        <c:ser>
          <c:idx val="106"/>
          <c:order val="106"/>
          <c:tx>
            <c:v>Segment_107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(Weld_Group_Analysis!$B$124,Weld_Group_Analysis!$D$124)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(Weld_Group_Analysis!$C$124,Weld_Group_Analysis!$E$124)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02A0-4ED7-A84C-1EE0BBD31F1D}"/>
            </c:ext>
          </c:extLst>
        </c:ser>
        <c:ser>
          <c:idx val="107"/>
          <c:order val="107"/>
          <c:tx>
            <c:v>Segment_108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(Weld_Group_Analysis!$B$125,Weld_Group_Analysis!$D$125)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(Weld_Group_Analysis!$C$125,Weld_Group_Analysis!$E$125)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02A0-4ED7-A84C-1EE0BBD31F1D}"/>
            </c:ext>
          </c:extLst>
        </c:ser>
        <c:ser>
          <c:idx val="108"/>
          <c:order val="108"/>
          <c:tx>
            <c:v>Segment_109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(Weld_Group_Analysis!$B$126,Weld_Group_Analysis!$D$126)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(Weld_Group_Analysis!$C$126,Weld_Group_Analysis!$E$126)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02A0-4ED7-A84C-1EE0BBD31F1D}"/>
            </c:ext>
          </c:extLst>
        </c:ser>
        <c:ser>
          <c:idx val="109"/>
          <c:order val="109"/>
          <c:tx>
            <c:v>Segment_110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(Weld_Group_Analysis!$B$127,Weld_Group_Analysis!$D$127)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(Weld_Group_Analysis!$C$127,Weld_Group_Analysis!$E$127)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02A0-4ED7-A84C-1EE0BBD31F1D}"/>
            </c:ext>
          </c:extLst>
        </c:ser>
        <c:ser>
          <c:idx val="110"/>
          <c:order val="110"/>
          <c:tx>
            <c:v>Segment_111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(Weld_Group_Analysis!$B$128,Weld_Group_Analysis!$D$128)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(Weld_Group_Analysis!$C$128,Weld_Group_Analysis!$E$128)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02A0-4ED7-A84C-1EE0BBD31F1D}"/>
            </c:ext>
          </c:extLst>
        </c:ser>
        <c:ser>
          <c:idx val="111"/>
          <c:order val="111"/>
          <c:tx>
            <c:v>Segment_112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(Weld_Group_Analysis!$B$129,Weld_Group_Analysis!$D$129)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(Weld_Group_Analysis!$C$129,Weld_Group_Analysis!$E$129)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02A0-4ED7-A84C-1EE0BBD31F1D}"/>
            </c:ext>
          </c:extLst>
        </c:ser>
        <c:ser>
          <c:idx val="112"/>
          <c:order val="112"/>
          <c:tx>
            <c:v>Segment_113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(Weld_Group_Analysis!$B$130,Weld_Group_Analysis!$D$130)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(Weld_Group_Analysis!$C$130,Weld_Group_Analysis!$E$130)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02A0-4ED7-A84C-1EE0BBD31F1D}"/>
            </c:ext>
          </c:extLst>
        </c:ser>
        <c:ser>
          <c:idx val="113"/>
          <c:order val="113"/>
          <c:tx>
            <c:v>Segment_114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(Weld_Group_Analysis!$B$131,Weld_Group_Analysis!$D$131)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(Weld_Group_Analysis!$C$131,Weld_Group_Analysis!$E$131)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02A0-4ED7-A84C-1EE0BBD31F1D}"/>
            </c:ext>
          </c:extLst>
        </c:ser>
        <c:ser>
          <c:idx val="114"/>
          <c:order val="114"/>
          <c:tx>
            <c:v>Segment_115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(Weld_Group_Analysis!$B$132,Weld_Group_Analysis!$D$132)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(Weld_Group_Analysis!$C$132,Weld_Group_Analysis!$E$132)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02A0-4ED7-A84C-1EE0BBD31F1D}"/>
            </c:ext>
          </c:extLst>
        </c:ser>
        <c:ser>
          <c:idx val="115"/>
          <c:order val="115"/>
          <c:tx>
            <c:v>Segment_116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(Weld_Group_Analysis!$B$133,Weld_Group_Analysis!$D$133)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(Weld_Group_Analysis!$C$133,Weld_Group_Analysis!$E$133)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02A0-4ED7-A84C-1EE0BBD31F1D}"/>
            </c:ext>
          </c:extLst>
        </c:ser>
        <c:ser>
          <c:idx val="116"/>
          <c:order val="116"/>
          <c:tx>
            <c:v>Segment_117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(Weld_Group_Analysis!$B$134,Weld_Group_Analysis!$D$134)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(Weld_Group_Analysis!$C$134,Weld_Group_Analysis!$E$134)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02A0-4ED7-A84C-1EE0BBD31F1D}"/>
            </c:ext>
          </c:extLst>
        </c:ser>
        <c:ser>
          <c:idx val="117"/>
          <c:order val="117"/>
          <c:tx>
            <c:v>Segment_118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(Weld_Group_Analysis!$B$135,Weld_Group_Analysis!$D$135)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(Weld_Group_Analysis!$C$135,Weld_Group_Analysis!$E$135)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02A0-4ED7-A84C-1EE0BBD31F1D}"/>
            </c:ext>
          </c:extLst>
        </c:ser>
        <c:ser>
          <c:idx val="118"/>
          <c:order val="118"/>
          <c:tx>
            <c:v>Segment_119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(Weld_Group_Analysis!$B$136,Weld_Group_Analysis!$D$136)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(Weld_Group_Analysis!$C$136,Weld_Group_Analysis!$E$136)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02A0-4ED7-A84C-1EE0BBD31F1D}"/>
            </c:ext>
          </c:extLst>
        </c:ser>
        <c:ser>
          <c:idx val="119"/>
          <c:order val="119"/>
          <c:tx>
            <c:v>Segment_120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(Weld_Group_Analysis!$B$137,Weld_Group_Analysis!$D$137)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(Weld_Group_Analysis!$C$137,Weld_Group_Analysis!$E$137)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02A0-4ED7-A84C-1EE0BBD31F1D}"/>
            </c:ext>
          </c:extLst>
        </c:ser>
        <c:ser>
          <c:idx val="120"/>
          <c:order val="120"/>
          <c:tx>
            <c:v>Segment_121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(Weld_Group_Analysis!$B$138,Weld_Group_Analysis!$D$138)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(Weld_Group_Analysis!$C$138,Weld_Group_Analysis!$E$138)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02A0-4ED7-A84C-1EE0BBD31F1D}"/>
            </c:ext>
          </c:extLst>
        </c:ser>
        <c:ser>
          <c:idx val="121"/>
          <c:order val="121"/>
          <c:tx>
            <c:v>Segment_122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(Weld_Group_Analysis!$B$139,Weld_Group_Analysis!$D$139)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(Weld_Group_Analysis!$C$139,Weld_Group_Analysis!$E$139)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02A0-4ED7-A84C-1EE0BBD31F1D}"/>
            </c:ext>
          </c:extLst>
        </c:ser>
        <c:ser>
          <c:idx val="122"/>
          <c:order val="122"/>
          <c:tx>
            <c:v>Segment_123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(Weld_Group_Analysis!$B$140,Weld_Group_Analysis!$D$140)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(Weld_Group_Analysis!$C$140,Weld_Group_Analysis!$E$140)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02A0-4ED7-A84C-1EE0BBD31F1D}"/>
            </c:ext>
          </c:extLst>
        </c:ser>
        <c:ser>
          <c:idx val="123"/>
          <c:order val="123"/>
          <c:tx>
            <c:v>Segment_124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(Weld_Group_Analysis!$B$141,Weld_Group_Analysis!$D$141)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(Weld_Group_Analysis!$C$141,Weld_Group_Analysis!$E$141)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02A0-4ED7-A84C-1EE0BBD31F1D}"/>
            </c:ext>
          </c:extLst>
        </c:ser>
        <c:ser>
          <c:idx val="124"/>
          <c:order val="124"/>
          <c:tx>
            <c:v>Segment_125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(Weld_Group_Analysis!$B$142,Weld_Group_Analysis!$D$142)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(Weld_Group_Analysis!$C$142,Weld_Group_Analysis!$E$142)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02A0-4ED7-A84C-1EE0BBD31F1D}"/>
            </c:ext>
          </c:extLst>
        </c:ser>
        <c:ser>
          <c:idx val="125"/>
          <c:order val="125"/>
          <c:tx>
            <c:v>Segment_126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(Weld_Group_Analysis!$B$143,Weld_Group_Analysis!$D$143)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(Weld_Group_Analysis!$C$143,Weld_Group_Analysis!$E$143)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02A0-4ED7-A84C-1EE0BBD31F1D}"/>
            </c:ext>
          </c:extLst>
        </c:ser>
        <c:ser>
          <c:idx val="126"/>
          <c:order val="126"/>
          <c:tx>
            <c:v>Segment_127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(Weld_Group_Analysis!$B$144,Weld_Group_Analysis!$D$144)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(Weld_Group_Analysis!$C$144,Weld_Group_Analysis!$E$144)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02A0-4ED7-A84C-1EE0BBD31F1D}"/>
            </c:ext>
          </c:extLst>
        </c:ser>
        <c:ser>
          <c:idx val="127"/>
          <c:order val="127"/>
          <c:tx>
            <c:v>Segment_128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(Weld_Group_Analysis!$B$145,Weld_Group_Analysis!$D$145)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(Weld_Group_Analysis!$C$145,Weld_Group_Analysis!$E$145)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02A0-4ED7-A84C-1EE0BBD31F1D}"/>
            </c:ext>
          </c:extLst>
        </c:ser>
        <c:ser>
          <c:idx val="128"/>
          <c:order val="128"/>
          <c:tx>
            <c:v>Segment_129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(Weld_Group_Analysis!$B$146,Weld_Group_Analysis!$D$146)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(Weld_Group_Analysis!$C$146,Weld_Group_Analysis!$E$146)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02A0-4ED7-A84C-1EE0BBD31F1D}"/>
            </c:ext>
          </c:extLst>
        </c:ser>
        <c:ser>
          <c:idx val="129"/>
          <c:order val="129"/>
          <c:tx>
            <c:v>Segment_130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(Weld_Group_Analysis!$B$147,Weld_Group_Analysis!$D$147)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(Weld_Group_Analysis!$C$147,Weld_Group_Analysis!$E$147)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02A0-4ED7-A84C-1EE0BBD31F1D}"/>
            </c:ext>
          </c:extLst>
        </c:ser>
        <c:ser>
          <c:idx val="130"/>
          <c:order val="130"/>
          <c:tx>
            <c:v>Segment_131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(Weld_Group_Analysis!$B$148,Weld_Group_Analysis!$D$148)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(Weld_Group_Analysis!$C$148,Weld_Group_Analysis!$E$148)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02A0-4ED7-A84C-1EE0BBD31F1D}"/>
            </c:ext>
          </c:extLst>
        </c:ser>
        <c:ser>
          <c:idx val="131"/>
          <c:order val="131"/>
          <c:tx>
            <c:v>Segment_132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(Weld_Group_Analysis!$B$149,Weld_Group_Analysis!$D$149)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(Weld_Group_Analysis!$C$149,Weld_Group_Analysis!$E$149)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02A0-4ED7-A84C-1EE0BBD31F1D}"/>
            </c:ext>
          </c:extLst>
        </c:ser>
        <c:ser>
          <c:idx val="132"/>
          <c:order val="132"/>
          <c:tx>
            <c:v>Segment_133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(Weld_Group_Analysis!$B$150,Weld_Group_Analysis!$D$150)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(Weld_Group_Analysis!$C$150,Weld_Group_Analysis!$E$150)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02A0-4ED7-A84C-1EE0BBD31F1D}"/>
            </c:ext>
          </c:extLst>
        </c:ser>
        <c:ser>
          <c:idx val="133"/>
          <c:order val="133"/>
          <c:tx>
            <c:v>Segment_134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(Weld_Group_Analysis!$B$151,Weld_Group_Analysis!$D$151)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(Weld_Group_Analysis!$C$151,Weld_Group_Analysis!$E$151)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02A0-4ED7-A84C-1EE0BBD31F1D}"/>
            </c:ext>
          </c:extLst>
        </c:ser>
        <c:ser>
          <c:idx val="134"/>
          <c:order val="134"/>
          <c:tx>
            <c:v>Segment_135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(Weld_Group_Analysis!$B$152,Weld_Group_Analysis!$D$152)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(Weld_Group_Analysis!$C$152,Weld_Group_Analysis!$E$152)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02A0-4ED7-A84C-1EE0BBD31F1D}"/>
            </c:ext>
          </c:extLst>
        </c:ser>
        <c:ser>
          <c:idx val="135"/>
          <c:order val="135"/>
          <c:tx>
            <c:v>Segment_136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(Weld_Group_Analysis!$B$153,Weld_Group_Analysis!$D$153)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(Weld_Group_Analysis!$C$153,Weld_Group_Analysis!$E$153)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02A0-4ED7-A84C-1EE0BBD31F1D}"/>
            </c:ext>
          </c:extLst>
        </c:ser>
        <c:ser>
          <c:idx val="136"/>
          <c:order val="136"/>
          <c:tx>
            <c:v>Segment_137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(Weld_Group_Analysis!$B$154,Weld_Group_Analysis!$D$154)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(Weld_Group_Analysis!$C$154,Weld_Group_Analysis!$E$154)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02A0-4ED7-A84C-1EE0BBD31F1D}"/>
            </c:ext>
          </c:extLst>
        </c:ser>
        <c:ser>
          <c:idx val="137"/>
          <c:order val="137"/>
          <c:tx>
            <c:v>Segment_138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(Weld_Group_Analysis!$B$155,Weld_Group_Analysis!$D$155)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(Weld_Group_Analysis!$C$155,Weld_Group_Analysis!$E$155)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02A0-4ED7-A84C-1EE0BBD31F1D}"/>
            </c:ext>
          </c:extLst>
        </c:ser>
        <c:ser>
          <c:idx val="138"/>
          <c:order val="138"/>
          <c:tx>
            <c:v>Segment_139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(Weld_Group_Analysis!$B$156,Weld_Group_Analysis!$D$156)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(Weld_Group_Analysis!$C$156,Weld_Group_Analysis!$E$156)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02A0-4ED7-A84C-1EE0BBD31F1D}"/>
            </c:ext>
          </c:extLst>
        </c:ser>
        <c:ser>
          <c:idx val="139"/>
          <c:order val="139"/>
          <c:tx>
            <c:v>Segment_140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(Weld_Group_Analysis!$B$157,Weld_Group_Analysis!$D$157)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(Weld_Group_Analysis!$C$157,Weld_Group_Analysis!$E$157)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02A0-4ED7-A84C-1EE0BBD31F1D}"/>
            </c:ext>
          </c:extLst>
        </c:ser>
        <c:ser>
          <c:idx val="140"/>
          <c:order val="140"/>
          <c:tx>
            <c:v>Segment_141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(Weld_Group_Analysis!$B$158,Weld_Group_Analysis!$D$158)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(Weld_Group_Analysis!$C$158,Weld_Group_Analysis!$E$158)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02A0-4ED7-A84C-1EE0BBD31F1D}"/>
            </c:ext>
          </c:extLst>
        </c:ser>
        <c:ser>
          <c:idx val="141"/>
          <c:order val="141"/>
          <c:tx>
            <c:v>Segment_142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(Weld_Group_Analysis!$B$159,Weld_Group_Analysis!$D$159)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(Weld_Group_Analysis!$C$159,Weld_Group_Analysis!$E$159)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02A0-4ED7-A84C-1EE0BBD31F1D}"/>
            </c:ext>
          </c:extLst>
        </c:ser>
        <c:ser>
          <c:idx val="142"/>
          <c:order val="142"/>
          <c:tx>
            <c:v>Segment_143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(Weld_Group_Analysis!$B$160,Weld_Group_Analysis!$D$160)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(Weld_Group_Analysis!$C$160,Weld_Group_Analysis!$E$160)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02A0-4ED7-A84C-1EE0BBD31F1D}"/>
            </c:ext>
          </c:extLst>
        </c:ser>
        <c:ser>
          <c:idx val="143"/>
          <c:order val="143"/>
          <c:tx>
            <c:v>Segment_144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(Weld_Group_Analysis!$B$161,Weld_Group_Analysis!$D$161)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(Weld_Group_Analysis!$C$161,Weld_Group_Analysis!$E$161)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02A0-4ED7-A84C-1EE0BBD31F1D}"/>
            </c:ext>
          </c:extLst>
        </c:ser>
        <c:ser>
          <c:idx val="144"/>
          <c:order val="144"/>
          <c:tx>
            <c:v>Segment_145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(Weld_Group_Analysis!$B$162,Weld_Group_Analysis!$D$162)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(Weld_Group_Analysis!$C$162,Weld_Group_Analysis!$E$162)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02A0-4ED7-A84C-1EE0BBD31F1D}"/>
            </c:ext>
          </c:extLst>
        </c:ser>
        <c:ser>
          <c:idx val="145"/>
          <c:order val="145"/>
          <c:tx>
            <c:v>Segment_146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(Weld_Group_Analysis!$B$163,Weld_Group_Analysis!$D$163)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(Weld_Group_Analysis!$C$163,Weld_Group_Analysis!$E$163)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02A0-4ED7-A84C-1EE0BBD31F1D}"/>
            </c:ext>
          </c:extLst>
        </c:ser>
        <c:ser>
          <c:idx val="146"/>
          <c:order val="146"/>
          <c:tx>
            <c:v>Segment_147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(Weld_Group_Analysis!$B$164,Weld_Group_Analysis!$D$164)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(Weld_Group_Analysis!$C$164,Weld_Group_Analysis!$E$164)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02A0-4ED7-A84C-1EE0BBD31F1D}"/>
            </c:ext>
          </c:extLst>
        </c:ser>
        <c:ser>
          <c:idx val="147"/>
          <c:order val="147"/>
          <c:tx>
            <c:v>Segment_148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(Weld_Group_Analysis!$B$165,Weld_Group_Analysis!$D$165)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(Weld_Group_Analysis!$C$165,Weld_Group_Analysis!$E$165)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02A0-4ED7-A84C-1EE0BBD31F1D}"/>
            </c:ext>
          </c:extLst>
        </c:ser>
        <c:ser>
          <c:idx val="148"/>
          <c:order val="148"/>
          <c:tx>
            <c:v>Segment_149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(Weld_Group_Analysis!$B$166,Weld_Group_Analysis!$D$166)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(Weld_Group_Analysis!$C$166,Weld_Group_Analysis!$E$166)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02A0-4ED7-A84C-1EE0BBD31F1D}"/>
            </c:ext>
          </c:extLst>
        </c:ser>
        <c:ser>
          <c:idx val="149"/>
          <c:order val="149"/>
          <c:tx>
            <c:v>Segment_150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(Weld_Group_Analysis!$B$167,Weld_Group_Analysis!$D$167)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(Weld_Group_Analysis!$C$167,Weld_Group_Analysis!$E$167)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02A0-4ED7-A84C-1EE0BBD31F1D}"/>
            </c:ext>
          </c:extLst>
        </c:ser>
        <c:ser>
          <c:idx val="150"/>
          <c:order val="150"/>
          <c:tx>
            <c:v>Segment_151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(Weld_Group_Analysis!$B$168,Weld_Group_Analysis!$D$168)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(Weld_Group_Analysis!$C$168,Weld_Group_Analysis!$E$168)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02A0-4ED7-A84C-1EE0BBD31F1D}"/>
            </c:ext>
          </c:extLst>
        </c:ser>
        <c:ser>
          <c:idx val="151"/>
          <c:order val="151"/>
          <c:tx>
            <c:v>Segment_152</c:v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(Weld_Group_Analysis!$B$169,Weld_Group_Analysis!$D$169)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(Weld_Group_Analysis!$C$169,Weld_Group_Analysis!$E$169)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02A0-4ED7-A84C-1EE0BBD31F1D}"/>
            </c:ext>
          </c:extLst>
        </c:ser>
        <c:ser>
          <c:idx val="152"/>
          <c:order val="152"/>
          <c:tx>
            <c:v>Segment_153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(Weld_Group_Analysis!$B$170,Weld_Group_Analysis!$D$170)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(Weld_Group_Analysis!$C$170,Weld_Group_Analysis!$E$170)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02A0-4ED7-A84C-1EE0BBD31F1D}"/>
            </c:ext>
          </c:extLst>
        </c:ser>
        <c:ser>
          <c:idx val="153"/>
          <c:order val="153"/>
          <c:tx>
            <c:v>Segment_154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(Weld_Group_Analysis!$B$171,Weld_Group_Analysis!$D$171)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(Weld_Group_Analysis!$C$171,Weld_Group_Analysis!$E$171)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02A0-4ED7-A84C-1EE0BBD31F1D}"/>
            </c:ext>
          </c:extLst>
        </c:ser>
        <c:ser>
          <c:idx val="154"/>
          <c:order val="154"/>
          <c:tx>
            <c:v>Segment_155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(Weld_Group_Analysis!$B$172,Weld_Group_Analysis!$D$172)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(Weld_Group_Analysis!$C$172,Weld_Group_Analysis!$E$172)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02A0-4ED7-A84C-1EE0BBD31F1D}"/>
            </c:ext>
          </c:extLst>
        </c:ser>
        <c:ser>
          <c:idx val="155"/>
          <c:order val="155"/>
          <c:tx>
            <c:v>Segment_156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(Weld_Group_Analysis!$B$173,Weld_Group_Analysis!$D$173)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(Weld_Group_Analysis!$C$173,Weld_Group_Analysis!$E$173)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02A0-4ED7-A84C-1EE0BBD31F1D}"/>
            </c:ext>
          </c:extLst>
        </c:ser>
        <c:ser>
          <c:idx val="156"/>
          <c:order val="156"/>
          <c:tx>
            <c:v>Segment_157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(Weld_Group_Analysis!$B$174,Weld_Group_Analysis!$D$174)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(Weld_Group_Analysis!$C$174,Weld_Group_Analysis!$E$174)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02A0-4ED7-A84C-1EE0BBD31F1D}"/>
            </c:ext>
          </c:extLst>
        </c:ser>
        <c:ser>
          <c:idx val="157"/>
          <c:order val="157"/>
          <c:tx>
            <c:v>Segment_158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(Weld_Group_Analysis!$B$175,Weld_Group_Analysis!$D$175)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(Weld_Group_Analysis!$C$175,Weld_Group_Analysis!$E$175)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02A0-4ED7-A84C-1EE0BBD31F1D}"/>
            </c:ext>
          </c:extLst>
        </c:ser>
        <c:ser>
          <c:idx val="158"/>
          <c:order val="158"/>
          <c:tx>
            <c:v>Segment_159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(Weld_Group_Analysis!$B$176,Weld_Group_Analysis!$D$176)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(Weld_Group_Analysis!$C$176,Weld_Group_Analysis!$E$176)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02A0-4ED7-A84C-1EE0BBD31F1D}"/>
            </c:ext>
          </c:extLst>
        </c:ser>
        <c:ser>
          <c:idx val="159"/>
          <c:order val="159"/>
          <c:tx>
            <c:v>Segment_160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(Weld_Group_Analysis!$B$177,Weld_Group_Analysis!$D$177)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(Weld_Group_Analysis!$C$177,Weld_Group_Analysis!$E$177)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02A0-4ED7-A84C-1EE0BBD31F1D}"/>
            </c:ext>
          </c:extLst>
        </c:ser>
        <c:ser>
          <c:idx val="160"/>
          <c:order val="160"/>
          <c:tx>
            <c:v>Segment_161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(Weld_Group_Analysis!$B$178,Weld_Group_Analysis!$D$178)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(Weld_Group_Analysis!$C$178,Weld_Group_Analysis!$E$178)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02A0-4ED7-A84C-1EE0BBD31F1D}"/>
            </c:ext>
          </c:extLst>
        </c:ser>
        <c:ser>
          <c:idx val="161"/>
          <c:order val="161"/>
          <c:tx>
            <c:v>Segment_162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(Weld_Group_Analysis!$B$179,Weld_Group_Analysis!$D$179)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(Weld_Group_Analysis!$C$179,Weld_Group_Analysis!$E$179)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02A0-4ED7-A84C-1EE0BBD31F1D}"/>
            </c:ext>
          </c:extLst>
        </c:ser>
        <c:ser>
          <c:idx val="162"/>
          <c:order val="162"/>
          <c:tx>
            <c:v>Segment_163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(Weld_Group_Analysis!$B$180,Weld_Group_Analysis!$D$180)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(Weld_Group_Analysis!$C$180,Weld_Group_Analysis!$E$180)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02A0-4ED7-A84C-1EE0BBD31F1D}"/>
            </c:ext>
          </c:extLst>
        </c:ser>
        <c:ser>
          <c:idx val="163"/>
          <c:order val="163"/>
          <c:tx>
            <c:v>Segment_164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(Weld_Group_Analysis!$B$181,Weld_Group_Analysis!$D$181)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(Weld_Group_Analysis!$C$181,Weld_Group_Analysis!$E$181)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02A0-4ED7-A84C-1EE0BBD31F1D}"/>
            </c:ext>
          </c:extLst>
        </c:ser>
        <c:ser>
          <c:idx val="164"/>
          <c:order val="164"/>
          <c:tx>
            <c:v>Segment_165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(Weld_Group_Analysis!$B$182,Weld_Group_Analysis!$D$182)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(Weld_Group_Analysis!$C$182,Weld_Group_Analysis!$E$182)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02A0-4ED7-A84C-1EE0BBD31F1D}"/>
            </c:ext>
          </c:extLst>
        </c:ser>
        <c:ser>
          <c:idx val="165"/>
          <c:order val="165"/>
          <c:tx>
            <c:v>Segment_166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(Weld_Group_Analysis!$B$183,Weld_Group_Analysis!$D$183)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(Weld_Group_Analysis!$C$183,Weld_Group_Analysis!$E$183)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02A0-4ED7-A84C-1EE0BBD31F1D}"/>
            </c:ext>
          </c:extLst>
        </c:ser>
        <c:ser>
          <c:idx val="166"/>
          <c:order val="166"/>
          <c:tx>
            <c:v>Segment_167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(Weld_Group_Analysis!$B$184,Weld_Group_Analysis!$D$184)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(Weld_Group_Analysis!$C$184,Weld_Group_Analysis!$E$184)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02A0-4ED7-A84C-1EE0BBD31F1D}"/>
            </c:ext>
          </c:extLst>
        </c:ser>
        <c:ser>
          <c:idx val="167"/>
          <c:order val="167"/>
          <c:tx>
            <c:v>Segment_168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(Weld_Group_Analysis!$B$185,Weld_Group_Analysis!$D$185)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(Weld_Group_Analysis!$C$185,Weld_Group_Analysis!$E$185)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02A0-4ED7-A84C-1EE0BBD31F1D}"/>
            </c:ext>
          </c:extLst>
        </c:ser>
        <c:ser>
          <c:idx val="168"/>
          <c:order val="168"/>
          <c:tx>
            <c:v>Segment_169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(Weld_Group_Analysis!$B$186,Weld_Group_Analysis!$D$186)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(Weld_Group_Analysis!$C$186,Weld_Group_Analysis!$E$186)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02A0-4ED7-A84C-1EE0BBD31F1D}"/>
            </c:ext>
          </c:extLst>
        </c:ser>
        <c:ser>
          <c:idx val="169"/>
          <c:order val="169"/>
          <c:tx>
            <c:v>Segment_170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(Weld_Group_Analysis!$B$187,Weld_Group_Analysis!$D$187)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(Weld_Group_Analysis!$C$187,Weld_Group_Analysis!$E$187)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02A0-4ED7-A84C-1EE0BBD31F1D}"/>
            </c:ext>
          </c:extLst>
        </c:ser>
        <c:ser>
          <c:idx val="170"/>
          <c:order val="170"/>
          <c:tx>
            <c:v>Segment_171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(Weld_Group_Analysis!$B$188,Weld_Group_Analysis!$D$188)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(Weld_Group_Analysis!$C$188,Weld_Group_Analysis!$E$188)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02A0-4ED7-A84C-1EE0BBD31F1D}"/>
            </c:ext>
          </c:extLst>
        </c:ser>
        <c:ser>
          <c:idx val="171"/>
          <c:order val="171"/>
          <c:tx>
            <c:v>Segment_172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(Weld_Group_Analysis!$B$189,Weld_Group_Analysis!$D$189)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(Weld_Group_Analysis!$C$189,Weld_Group_Analysis!$E$189)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02A0-4ED7-A84C-1EE0BBD31F1D}"/>
            </c:ext>
          </c:extLst>
        </c:ser>
        <c:ser>
          <c:idx val="172"/>
          <c:order val="172"/>
          <c:tx>
            <c:v>Segment_173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(Weld_Group_Analysis!$B$190,Weld_Group_Analysis!$D$190)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(Weld_Group_Analysis!$C$190,Weld_Group_Analysis!$E$190)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02A0-4ED7-A84C-1EE0BBD31F1D}"/>
            </c:ext>
          </c:extLst>
        </c:ser>
        <c:ser>
          <c:idx val="173"/>
          <c:order val="173"/>
          <c:tx>
            <c:v>Segment_174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(Weld_Group_Analysis!$B$191,Weld_Group_Analysis!$D$191)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(Weld_Group_Analysis!$C$191,Weld_Group_Analysis!$E$191)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02A0-4ED7-A84C-1EE0BBD31F1D}"/>
            </c:ext>
          </c:extLst>
        </c:ser>
        <c:ser>
          <c:idx val="174"/>
          <c:order val="174"/>
          <c:tx>
            <c:v>Segment_175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(Weld_Group_Analysis!$B$192,Weld_Group_Analysis!$D$192)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(Weld_Group_Analysis!$C$192,Weld_Group_Analysis!$E$192)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02A0-4ED7-A84C-1EE0BBD31F1D}"/>
            </c:ext>
          </c:extLst>
        </c:ser>
        <c:ser>
          <c:idx val="175"/>
          <c:order val="175"/>
          <c:tx>
            <c:v>Segment_176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(Weld_Group_Analysis!$B$193,Weld_Group_Analysis!$D$193)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(Weld_Group_Analysis!$C$193,Weld_Group_Analysis!$E$193)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02A0-4ED7-A84C-1EE0BBD31F1D}"/>
            </c:ext>
          </c:extLst>
        </c:ser>
        <c:ser>
          <c:idx val="176"/>
          <c:order val="176"/>
          <c:tx>
            <c:v>Segment_177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(Weld_Group_Analysis!$B$194,Weld_Group_Analysis!$D$194)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(Weld_Group_Analysis!$C$194,Weld_Group_Analysis!$E$194)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02A0-4ED7-A84C-1EE0BBD31F1D}"/>
            </c:ext>
          </c:extLst>
        </c:ser>
        <c:ser>
          <c:idx val="177"/>
          <c:order val="177"/>
          <c:tx>
            <c:v>Segment_178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(Weld_Group_Analysis!$B$195,Weld_Group_Analysis!$D$195)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(Weld_Group_Analysis!$C$195,Weld_Group_Analysis!$E$195)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02A0-4ED7-A84C-1EE0BBD31F1D}"/>
            </c:ext>
          </c:extLst>
        </c:ser>
        <c:ser>
          <c:idx val="178"/>
          <c:order val="178"/>
          <c:tx>
            <c:v>Segment_179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(Weld_Group_Analysis!$B$196,Weld_Group_Analysis!$D$196)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(Weld_Group_Analysis!$C$196,Weld_Group_Analysis!$E$196)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02A0-4ED7-A84C-1EE0BBD31F1D}"/>
            </c:ext>
          </c:extLst>
        </c:ser>
        <c:ser>
          <c:idx val="179"/>
          <c:order val="179"/>
          <c:tx>
            <c:v>Segment_180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(Weld_Group_Analysis!$B$197,Weld_Group_Analysis!$D$197)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(Weld_Group_Analysis!$C$197,Weld_Group_Analysis!$E$197)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02A0-4ED7-A84C-1EE0BBD31F1D}"/>
            </c:ext>
          </c:extLst>
        </c:ser>
        <c:ser>
          <c:idx val="180"/>
          <c:order val="180"/>
          <c:tx>
            <c:v>Segment_181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(Weld_Group_Analysis!$B$198,Weld_Group_Analysis!$D$198)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(Weld_Group_Analysis!$C$198,Weld_Group_Analysis!$E$198)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02A0-4ED7-A84C-1EE0BBD3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14255"/>
        <c:axId val="1946405919"/>
      </c:scatterChart>
      <c:valAx>
        <c:axId val="39114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5919"/>
        <c:crosses val="autoZero"/>
        <c:crossBetween val="midCat"/>
      </c:valAx>
      <c:valAx>
        <c:axId val="194640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4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9B4BA3-ECD4-4084-822C-254060A65BA0}">
  <sheetPr codeName="Chart3"/>
  <sheetViews>
    <sheetView zoomScale="13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10C716-EBEF-43A3-9E75-2A7DD0F90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60B4A-6C1D-47EC-945E-4A315795DD21}">
  <sheetPr codeName="Sheet1"/>
  <dimension ref="A1:BD200"/>
  <sheetViews>
    <sheetView tabSelected="1" workbookViewId="0">
      <selection activeCell="B15" sqref="B15"/>
    </sheetView>
  </sheetViews>
  <sheetFormatPr defaultRowHeight="15" x14ac:dyDescent="0.25"/>
  <cols>
    <col min="1" max="1" width="15.42578125" customWidth="1"/>
    <col min="2" max="2" width="12.7109375" style="1" customWidth="1"/>
    <col min="3" max="3" width="28.5703125" style="1" bestFit="1" customWidth="1"/>
    <col min="4" max="5" width="9.140625" style="1"/>
    <col min="6" max="6" width="11.5703125" bestFit="1" customWidth="1"/>
    <col min="10" max="10" width="27.5703125" bestFit="1" customWidth="1"/>
    <col min="11" max="11" width="12" bestFit="1" customWidth="1"/>
    <col min="13" max="13" width="12" customWidth="1"/>
    <col min="14" max="14" width="10.5703125" bestFit="1" customWidth="1"/>
    <col min="24" max="24" width="10.85546875" bestFit="1" customWidth="1"/>
    <col min="25" max="25" width="10.7109375" bestFit="1" customWidth="1"/>
    <col min="33" max="33" width="10.7109375" bestFit="1" customWidth="1"/>
    <col min="34" max="34" width="10.5703125" customWidth="1"/>
    <col min="42" max="43" width="10.7109375" bestFit="1" customWidth="1"/>
    <col min="44" max="44" width="9.7109375" bestFit="1" customWidth="1"/>
    <col min="45" max="45" width="7.42578125" bestFit="1" customWidth="1"/>
  </cols>
  <sheetData>
    <row r="1" spans="1:46" x14ac:dyDescent="0.25">
      <c r="A1" t="s">
        <v>35</v>
      </c>
    </row>
    <row r="3" spans="1:46" x14ac:dyDescent="0.25">
      <c r="A3" s="4" t="s">
        <v>31</v>
      </c>
      <c r="E3" s="5" t="s">
        <v>32</v>
      </c>
      <c r="J3" t="s">
        <v>39</v>
      </c>
      <c r="M3" t="s">
        <v>48</v>
      </c>
    </row>
    <row r="4" spans="1:46" x14ac:dyDescent="0.25">
      <c r="A4" s="4" t="s">
        <v>34</v>
      </c>
      <c r="B4" s="3" t="s">
        <v>92</v>
      </c>
      <c r="J4" s="4" t="s">
        <v>40</v>
      </c>
      <c r="K4" s="7">
        <f>SUM(J18:J198)</f>
        <v>22</v>
      </c>
      <c r="L4" t="s">
        <v>41</v>
      </c>
      <c r="M4" s="9" t="s">
        <v>49</v>
      </c>
      <c r="N4" s="1">
        <f>H6/K4</f>
        <v>0</v>
      </c>
      <c r="O4" t="s">
        <v>52</v>
      </c>
    </row>
    <row r="5" spans="1:46" x14ac:dyDescent="0.25">
      <c r="A5" s="4" t="s">
        <v>30</v>
      </c>
      <c r="B5" s="14">
        <v>0</v>
      </c>
      <c r="C5" s="5" t="s">
        <v>67</v>
      </c>
      <c r="D5" s="5"/>
      <c r="E5" s="4" t="s">
        <v>30</v>
      </c>
      <c r="F5" s="7">
        <f>B5</f>
        <v>0</v>
      </c>
      <c r="G5" t="s">
        <v>23</v>
      </c>
      <c r="H5" s="1">
        <f>F5*1000</f>
        <v>0</v>
      </c>
      <c r="I5" t="s">
        <v>36</v>
      </c>
      <c r="J5" s="4" t="s">
        <v>43</v>
      </c>
      <c r="K5" s="7">
        <f>SUM(M18:M198)/K4</f>
        <v>0.64772727272727271</v>
      </c>
      <c r="L5" s="6" t="s">
        <v>29</v>
      </c>
      <c r="M5" s="9" t="s">
        <v>50</v>
      </c>
      <c r="N5" s="1">
        <f>H7/K4</f>
        <v>0</v>
      </c>
      <c r="O5" t="s">
        <v>53</v>
      </c>
    </row>
    <row r="6" spans="1:46" x14ac:dyDescent="0.25">
      <c r="A6" s="4" t="s">
        <v>18</v>
      </c>
      <c r="B6" s="14">
        <v>0</v>
      </c>
      <c r="C6" s="5" t="s">
        <v>69</v>
      </c>
      <c r="D6" s="5"/>
      <c r="E6" s="4" t="s">
        <v>18</v>
      </c>
      <c r="F6" s="7">
        <f>B6</f>
        <v>0</v>
      </c>
      <c r="G6" t="s">
        <v>23</v>
      </c>
      <c r="H6" s="1">
        <f t="shared" ref="H6:H7" si="0">F6*1000</f>
        <v>0</v>
      </c>
      <c r="I6" t="s">
        <v>36</v>
      </c>
      <c r="J6" s="4" t="s">
        <v>44</v>
      </c>
      <c r="K6" s="7">
        <f>SUM(N18:N198)/K4</f>
        <v>3.1477272727272729</v>
      </c>
      <c r="L6" s="6" t="s">
        <v>29</v>
      </c>
      <c r="M6" s="9" t="s">
        <v>51</v>
      </c>
      <c r="N6" s="1">
        <f>H5/K4</f>
        <v>0</v>
      </c>
      <c r="O6" t="s">
        <v>54</v>
      </c>
    </row>
    <row r="7" spans="1:46" x14ac:dyDescent="0.25">
      <c r="A7" s="4" t="s">
        <v>19</v>
      </c>
      <c r="B7" s="14">
        <v>0</v>
      </c>
      <c r="C7" s="5" t="s">
        <v>68</v>
      </c>
      <c r="D7" s="5"/>
      <c r="E7" s="4" t="s">
        <v>19</v>
      </c>
      <c r="F7" s="7">
        <f>B7</f>
        <v>0</v>
      </c>
      <c r="G7" t="s">
        <v>23</v>
      </c>
      <c r="H7" s="1">
        <f t="shared" si="0"/>
        <v>0</v>
      </c>
      <c r="I7" t="s">
        <v>36</v>
      </c>
      <c r="J7" s="4" t="s">
        <v>45</v>
      </c>
      <c r="K7" s="7">
        <f>SUM(Q18:Q198)</f>
        <v>155.97821969696969</v>
      </c>
      <c r="L7" s="5" t="s">
        <v>42</v>
      </c>
    </row>
    <row r="8" spans="1:46" x14ac:dyDescent="0.25">
      <c r="A8" s="4" t="s">
        <v>20</v>
      </c>
      <c r="B8" s="14">
        <f>240/12</f>
        <v>20</v>
      </c>
      <c r="C8" s="5" t="s">
        <v>70</v>
      </c>
      <c r="D8" s="5"/>
      <c r="E8" s="4" t="s">
        <v>20</v>
      </c>
      <c r="F8" s="7">
        <f>B8-(F7*(F15/12))+(F5*(F14/12))</f>
        <v>20</v>
      </c>
      <c r="G8" t="s">
        <v>24</v>
      </c>
      <c r="H8" s="1">
        <f>F8*12*1000</f>
        <v>240000</v>
      </c>
      <c r="I8" t="s">
        <v>37</v>
      </c>
      <c r="J8" s="4" t="s">
        <v>46</v>
      </c>
      <c r="K8" s="7">
        <f>SUM(R18:R198)</f>
        <v>15.144886363636365</v>
      </c>
      <c r="L8" s="5" t="s">
        <v>42</v>
      </c>
      <c r="M8" s="11" t="s">
        <v>64</v>
      </c>
      <c r="N8" s="10"/>
      <c r="O8" s="10"/>
    </row>
    <row r="9" spans="1:46" ht="17.25" x14ac:dyDescent="0.25">
      <c r="A9" s="4" t="s">
        <v>21</v>
      </c>
      <c r="B9" s="14">
        <v>0</v>
      </c>
      <c r="C9" s="5" t="s">
        <v>71</v>
      </c>
      <c r="D9" s="5"/>
      <c r="E9" s="4" t="s">
        <v>21</v>
      </c>
      <c r="F9" s="7">
        <f>B9+(F6*(F15/12))-(F5*(F13/12))</f>
        <v>0</v>
      </c>
      <c r="G9" t="s">
        <v>24</v>
      </c>
      <c r="H9" s="1">
        <f t="shared" ref="H9:H10" si="1">F9*12*1000</f>
        <v>0</v>
      </c>
      <c r="I9" t="s">
        <v>37</v>
      </c>
      <c r="J9" s="4" t="s">
        <v>47</v>
      </c>
      <c r="K9" s="7">
        <f>SUM(S18:S198)</f>
        <v>-25.355113636363633</v>
      </c>
      <c r="L9" s="5" t="s">
        <v>42</v>
      </c>
      <c r="M9" s="12" t="s">
        <v>65</v>
      </c>
      <c r="N9" s="13">
        <f>MAX(AH199,AS199,BD199)</f>
        <v>9734.8178488844187</v>
      </c>
      <c r="O9" s="10" t="s">
        <v>66</v>
      </c>
    </row>
    <row r="10" spans="1:46" x14ac:dyDescent="0.25">
      <c r="A10" s="4" t="s">
        <v>22</v>
      </c>
      <c r="B10" s="14">
        <v>0</v>
      </c>
      <c r="C10" s="5" t="s">
        <v>72</v>
      </c>
      <c r="D10" s="5"/>
      <c r="E10" s="4" t="s">
        <v>22</v>
      </c>
      <c r="F10" s="7">
        <f>B10-(F6*(F14/12))+(F7*(F13/12))</f>
        <v>0</v>
      </c>
      <c r="G10" t="s">
        <v>24</v>
      </c>
      <c r="H10" s="1">
        <f t="shared" si="1"/>
        <v>0</v>
      </c>
      <c r="I10" t="s">
        <v>37</v>
      </c>
      <c r="J10" s="4" t="s">
        <v>59</v>
      </c>
      <c r="K10" s="7">
        <f>K7+K8</f>
        <v>171.12310606060606</v>
      </c>
      <c r="L10" s="5" t="s">
        <v>42</v>
      </c>
      <c r="M10" s="4" t="s">
        <v>86</v>
      </c>
      <c r="N10" s="14">
        <v>70</v>
      </c>
      <c r="O10" t="s">
        <v>87</v>
      </c>
    </row>
    <row r="11" spans="1:46" x14ac:dyDescent="0.25">
      <c r="A11" s="4"/>
      <c r="B11" s="8"/>
      <c r="D11" s="5"/>
      <c r="F11" s="7"/>
      <c r="H11" s="1"/>
      <c r="J11" s="4" t="s">
        <v>74</v>
      </c>
      <c r="K11" s="1">
        <f>(K7*K8)-(K9*K9)</f>
        <v>1719.3906250000005</v>
      </c>
      <c r="L11" s="5" t="s">
        <v>75</v>
      </c>
      <c r="M11" s="4" t="str">
        <f>IF(B4="Service","Ω","φ")</f>
        <v>Ω</v>
      </c>
      <c r="N11" s="7">
        <f>IF(B4="Service",2,0.75)</f>
        <v>2</v>
      </c>
    </row>
    <row r="12" spans="1:46" x14ac:dyDescent="0.25">
      <c r="A12" s="4" t="s">
        <v>25</v>
      </c>
      <c r="B12" s="5"/>
      <c r="E12" s="5" t="s">
        <v>38</v>
      </c>
      <c r="J12" s="1"/>
      <c r="M12" s="4" t="str">
        <f>IF(B4="Service","Rn,req = σ*Ω","Rn,req = σ/φ")</f>
        <v>Rn,req = σ*Ω</v>
      </c>
      <c r="N12" s="7">
        <f>IF(B4="Service",(N11*N9)/1000,N9/(0.75*1000))</f>
        <v>19.469635697768837</v>
      </c>
      <c r="O12" t="s">
        <v>87</v>
      </c>
      <c r="Q12" s="16"/>
    </row>
    <row r="13" spans="1:46" x14ac:dyDescent="0.25">
      <c r="A13" s="4" t="s">
        <v>26</v>
      </c>
      <c r="B13" s="14">
        <v>1.5</v>
      </c>
      <c r="C13" s="1" t="s">
        <v>29</v>
      </c>
      <c r="E13" s="4" t="s">
        <v>13</v>
      </c>
      <c r="F13" s="7">
        <f>B13-K5</f>
        <v>0.85227272727272729</v>
      </c>
      <c r="G13" t="s">
        <v>29</v>
      </c>
      <c r="J13" s="1"/>
      <c r="M13" s="4" t="s">
        <v>88</v>
      </c>
      <c r="N13" s="7">
        <f>N12/(0.6*N10)</f>
        <v>0.46356275470878183</v>
      </c>
      <c r="O13" t="s">
        <v>29</v>
      </c>
    </row>
    <row r="14" spans="1:46" x14ac:dyDescent="0.25">
      <c r="A14" s="4" t="s">
        <v>27</v>
      </c>
      <c r="B14" s="14">
        <v>4</v>
      </c>
      <c r="C14" s="1" t="s">
        <v>29</v>
      </c>
      <c r="E14" s="4" t="s">
        <v>14</v>
      </c>
      <c r="F14" s="7">
        <f>B14-K6</f>
        <v>0.85227272727272707</v>
      </c>
      <c r="G14" t="s">
        <v>29</v>
      </c>
      <c r="J14" s="1"/>
      <c r="K14" s="1"/>
      <c r="L14" s="1"/>
      <c r="M14" s="4" t="s">
        <v>90</v>
      </c>
      <c r="N14" s="1" t="str">
        <f>ROUND((N13/((SQRT(2)/2)*(1/16))),4) &amp; "/16"</f>
        <v>10.4892/16</v>
      </c>
      <c r="O14" t="s">
        <v>91</v>
      </c>
      <c r="P14" s="1" t="str">
        <f>_xlfn.CEILING.MATH(N13/((SQRT(2)/2)*(1/16))) &amp; " / 16"</f>
        <v>11 / 16</v>
      </c>
      <c r="Q14" s="5" t="s">
        <v>29</v>
      </c>
      <c r="R14" s="1"/>
      <c r="S14" s="1"/>
      <c r="T14" s="1"/>
    </row>
    <row r="15" spans="1:46" x14ac:dyDescent="0.25">
      <c r="A15" s="4" t="s">
        <v>28</v>
      </c>
      <c r="B15" s="14">
        <v>0</v>
      </c>
      <c r="C15" s="1" t="s">
        <v>29</v>
      </c>
      <c r="E15" s="4" t="s">
        <v>33</v>
      </c>
      <c r="F15" s="7">
        <f>B15</f>
        <v>0</v>
      </c>
      <c r="G15" t="s">
        <v>29</v>
      </c>
      <c r="M15" s="4" t="s">
        <v>89</v>
      </c>
      <c r="N15" s="7">
        <f>(N13/((SQRT(2)/2)*(1/16))) *(SQRT(2)/2)*(1/16)*(0.6*N10)</f>
        <v>19.469635697768833</v>
      </c>
      <c r="O15" t="s">
        <v>87</v>
      </c>
      <c r="P15" s="1">
        <f>_xlfn.CEILING.MATH(N13/((SQRT(2)/2)*(1/16))) *(SQRT(2)/2)*(1/16)*(0.6*N10)</f>
        <v>20.417708306761561</v>
      </c>
      <c r="Q15" s="5" t="s">
        <v>87</v>
      </c>
    </row>
    <row r="16" spans="1:46" x14ac:dyDescent="0.25">
      <c r="A16" s="4"/>
      <c r="J16" s="1"/>
      <c r="X16" t="s">
        <v>61</v>
      </c>
      <c r="AI16" t="s">
        <v>62</v>
      </c>
      <c r="AT16" t="s">
        <v>63</v>
      </c>
    </row>
    <row r="17" spans="1:56" x14ac:dyDescent="0.25">
      <c r="A17" t="s">
        <v>0</v>
      </c>
      <c r="B17" s="1" t="s">
        <v>2</v>
      </c>
      <c r="C17" s="1" t="s">
        <v>3</v>
      </c>
      <c r="D17" s="1" t="s">
        <v>4</v>
      </c>
      <c r="E17" s="1" t="s">
        <v>60</v>
      </c>
      <c r="F17" s="1" t="s">
        <v>7</v>
      </c>
      <c r="G17" s="1" t="s">
        <v>8</v>
      </c>
      <c r="H17" s="1" t="s">
        <v>9</v>
      </c>
      <c r="I17" s="1" t="s">
        <v>10</v>
      </c>
      <c r="J17" s="1" t="s">
        <v>1</v>
      </c>
      <c r="K17" s="1" t="s">
        <v>5</v>
      </c>
      <c r="L17" s="1" t="s">
        <v>6</v>
      </c>
      <c r="M17" s="1" t="s">
        <v>11</v>
      </c>
      <c r="N17" s="1" t="s">
        <v>12</v>
      </c>
      <c r="O17" s="1" t="s">
        <v>13</v>
      </c>
      <c r="P17" s="1" t="s">
        <v>14</v>
      </c>
      <c r="Q17" s="1" t="s">
        <v>15</v>
      </c>
      <c r="R17" s="1" t="s">
        <v>16</v>
      </c>
      <c r="S17" s="1" t="s">
        <v>17</v>
      </c>
      <c r="T17" s="1" t="s">
        <v>55</v>
      </c>
      <c r="U17" s="1" t="s">
        <v>56</v>
      </c>
      <c r="V17" s="1" t="s">
        <v>57</v>
      </c>
      <c r="W17" s="1" t="s">
        <v>58</v>
      </c>
      <c r="X17" s="1" t="s">
        <v>73</v>
      </c>
      <c r="Y17" s="1" t="s">
        <v>76</v>
      </c>
      <c r="Z17" s="1" t="s">
        <v>77</v>
      </c>
      <c r="AA17" s="1" t="s">
        <v>78</v>
      </c>
      <c r="AB17" s="1" t="s">
        <v>79</v>
      </c>
      <c r="AC17" s="1" t="s">
        <v>80</v>
      </c>
      <c r="AD17" s="1" t="s">
        <v>81</v>
      </c>
      <c r="AE17" s="1" t="s">
        <v>82</v>
      </c>
      <c r="AF17" s="1" t="s">
        <v>83</v>
      </c>
      <c r="AG17" s="1" t="s">
        <v>84</v>
      </c>
      <c r="AH17" s="1" t="s">
        <v>85</v>
      </c>
      <c r="AI17" s="1" t="s">
        <v>73</v>
      </c>
      <c r="AJ17" s="1" t="s">
        <v>76</v>
      </c>
      <c r="AK17" s="1" t="s">
        <v>77</v>
      </c>
      <c r="AL17" s="1" t="s">
        <v>78</v>
      </c>
      <c r="AM17" s="1" t="s">
        <v>79</v>
      </c>
      <c r="AN17" s="1" t="s">
        <v>80</v>
      </c>
      <c r="AO17" s="1" t="s">
        <v>81</v>
      </c>
      <c r="AP17" s="1" t="s">
        <v>82</v>
      </c>
      <c r="AQ17" s="1" t="s">
        <v>83</v>
      </c>
      <c r="AR17" s="1" t="s">
        <v>84</v>
      </c>
      <c r="AS17" s="1" t="s">
        <v>85</v>
      </c>
      <c r="AT17" s="1" t="s">
        <v>73</v>
      </c>
      <c r="AU17" s="1" t="s">
        <v>76</v>
      </c>
      <c r="AV17" s="1" t="s">
        <v>77</v>
      </c>
      <c r="AW17" s="1" t="s">
        <v>78</v>
      </c>
      <c r="AX17" s="1" t="s">
        <v>79</v>
      </c>
      <c r="AY17" s="1" t="s">
        <v>80</v>
      </c>
      <c r="AZ17" s="1" t="s">
        <v>81</v>
      </c>
      <c r="BA17" s="1" t="s">
        <v>82</v>
      </c>
      <c r="BB17" s="1" t="s">
        <v>83</v>
      </c>
      <c r="BC17" s="1" t="s">
        <v>84</v>
      </c>
      <c r="BD17" s="1" t="s">
        <v>85</v>
      </c>
    </row>
    <row r="18" spans="1:56" x14ac:dyDescent="0.25">
      <c r="A18" s="1">
        <v>1</v>
      </c>
      <c r="B18" s="2">
        <v>0</v>
      </c>
      <c r="C18" s="2">
        <v>0</v>
      </c>
      <c r="D18" s="2">
        <v>0</v>
      </c>
      <c r="E18" s="2">
        <v>8</v>
      </c>
      <c r="F18" s="1">
        <f>(B18+D18)/2</f>
        <v>0</v>
      </c>
      <c r="G18" s="1">
        <f>(C18+E18)/2</f>
        <v>4</v>
      </c>
      <c r="H18" s="1">
        <f>D18-B18</f>
        <v>0</v>
      </c>
      <c r="I18" s="1">
        <f>E18-C18</f>
        <v>8</v>
      </c>
      <c r="J18" s="1">
        <f>SQRT((H18*H18)+(I18*I18))</f>
        <v>8</v>
      </c>
      <c r="K18" s="1">
        <f>(J18*I18*I18)/12</f>
        <v>42.666666666666664</v>
      </c>
      <c r="L18" s="1">
        <f>(J18*H18*H18)/12</f>
        <v>0</v>
      </c>
      <c r="M18" s="1">
        <f>J18*F18</f>
        <v>0</v>
      </c>
      <c r="N18" s="1">
        <f>J18*G18</f>
        <v>32</v>
      </c>
      <c r="O18" s="7">
        <f>F18-$K$5</f>
        <v>-0.64772727272727271</v>
      </c>
      <c r="P18" s="1">
        <f>G18-$K$6</f>
        <v>0.85227272727272707</v>
      </c>
      <c r="Q18" s="1">
        <f>K18+(J18*P18*P18)</f>
        <v>48.477617079889804</v>
      </c>
      <c r="R18" s="1">
        <f>L18+(J18*O18*O18)</f>
        <v>3.3564049586776856</v>
      </c>
      <c r="S18" s="1">
        <f>J18*O18*P18</f>
        <v>-4.4163223140495855</v>
      </c>
      <c r="T18" s="7">
        <f>B18-$K$5</f>
        <v>-0.64772727272727271</v>
      </c>
      <c r="U18" s="7">
        <f>C18-$K$6</f>
        <v>-3.1477272727272729</v>
      </c>
      <c r="V18" s="7">
        <f>D18-$K$5</f>
        <v>-0.64772727272727271</v>
      </c>
      <c r="W18" s="7">
        <f>E18-$K$6</f>
        <v>4.8522727272727266</v>
      </c>
      <c r="X18" s="1">
        <f>IF(J18=0,0,(U18*$H$8*$K$8)/$K$11)</f>
        <v>-6654.2605719986705</v>
      </c>
      <c r="Y18" s="1">
        <f>IF(J18=0,0,(U18*$H$9*$K$9)/$K$11)</f>
        <v>0</v>
      </c>
      <c r="Z18">
        <f>IF(J18=0,0,(-1*T18*$H$8*$K$9)/$K$11)</f>
        <v>-2292.4212845985794</v>
      </c>
      <c r="AA18">
        <f>IF(J18=0,0,(-1*T18*$H$9*$K$7)/$K$11)</f>
        <v>0</v>
      </c>
      <c r="AB18">
        <f>X18+Y18+Z18+AA18</f>
        <v>-8946.6818565972499</v>
      </c>
      <c r="AC18">
        <f>AB18+$N$6</f>
        <v>-8946.6818565972499</v>
      </c>
      <c r="AD18">
        <f>IF(J18=0,0,(-1*U18*$H$10)/$K$10)</f>
        <v>0</v>
      </c>
      <c r="AE18">
        <f>AD18+$N$4</f>
        <v>0</v>
      </c>
      <c r="AF18">
        <f>IF(J18=0,0,(T18*$H$10)/$K$10)</f>
        <v>0</v>
      </c>
      <c r="AG18">
        <f>AF18+$N$5</f>
        <v>0</v>
      </c>
      <c r="AH18">
        <f>SQRT((AC18*AC18)+(AE18*AE18)+(AG18*AG18))</f>
        <v>8946.6818565972499</v>
      </c>
      <c r="AI18" s="1">
        <f>IF(J18=0,0,(W18*$H$8*$K$8)/$K$11)</f>
        <v>10257.65077344199</v>
      </c>
      <c r="AJ18" s="1">
        <f>IF(J18=0,0,(W18*$H$9*$K$9)/$K$11)</f>
        <v>0</v>
      </c>
      <c r="AK18">
        <f>IF(J18=0,0,(-1*V18*$H$8*$K$9)/$K$11)</f>
        <v>-2292.4212845985794</v>
      </c>
      <c r="AL18">
        <f>IF(J18=0,0,(-1*V18*$H$9*$K$7)/$K$11)</f>
        <v>0</v>
      </c>
      <c r="AM18">
        <f>AI18+AJ18+AK18+AL18</f>
        <v>7965.2294888434108</v>
      </c>
      <c r="AN18">
        <f>AM18+$N$6</f>
        <v>7965.2294888434108</v>
      </c>
      <c r="AO18">
        <f>IF(J18=0,0,(-1*W18*$H$10)/$K$10)</f>
        <v>0</v>
      </c>
      <c r="AP18">
        <f>AO18+$N$4</f>
        <v>0</v>
      </c>
      <c r="AQ18">
        <f>IF(J18=0,0,(V18*$H$10)/$K$10)</f>
        <v>0</v>
      </c>
      <c r="AR18">
        <f>AQ18+$N$5</f>
        <v>0</v>
      </c>
      <c r="AS18">
        <f>SQRT((AN18*AN18)+(AP18*AP18)+(AR18*AR18))</f>
        <v>7965.2294888434108</v>
      </c>
      <c r="AT18" s="1">
        <f>IF(J18=0,0,(P18*$H$8*$K$8)/$K$11)</f>
        <v>1801.6951007216612</v>
      </c>
      <c r="AU18" s="1">
        <f>IF(J18=0,0,(P18*$H$9*$K$9)/$K$11)</f>
        <v>0</v>
      </c>
      <c r="AV18">
        <f>IF(J18=0,0,(-1*O18*$H$8*$K$9)/$K$11)</f>
        <v>-2292.4212845985794</v>
      </c>
      <c r="AW18">
        <f>IF(J18=0,0,(-1*O18*$H$9*$K$7)/$K$11)</f>
        <v>0</v>
      </c>
      <c r="AX18">
        <f>AT18+AU18+AV18+AW18</f>
        <v>-490.72618387691818</v>
      </c>
      <c r="AY18">
        <f>AX18+$N$6</f>
        <v>-490.72618387691818</v>
      </c>
      <c r="AZ18">
        <f>IF(J18=0,0,(-1*P18*$H$10)/$K$10)</f>
        <v>0</v>
      </c>
      <c r="BA18">
        <f>AZ18+$N$4</f>
        <v>0</v>
      </c>
      <c r="BB18">
        <f>IF(J18=0,0,(O18*$H$10)/$K$10)</f>
        <v>0</v>
      </c>
      <c r="BC18">
        <f>BB18+$N$5</f>
        <v>0</v>
      </c>
      <c r="BD18">
        <f>SQRT((AY18*AY18)+(BA18*BA18)+(BC18*BC18))</f>
        <v>490.72618387691818</v>
      </c>
    </row>
    <row r="19" spans="1:56" x14ac:dyDescent="0.25">
      <c r="A19" s="1">
        <v>2</v>
      </c>
      <c r="B19" s="2">
        <v>0</v>
      </c>
      <c r="C19" s="2">
        <v>0</v>
      </c>
      <c r="D19" s="2">
        <v>3</v>
      </c>
      <c r="E19" s="2">
        <v>0</v>
      </c>
      <c r="F19" s="1">
        <f>(B19+D19)/2</f>
        <v>1.5</v>
      </c>
      <c r="G19" s="1">
        <f>(C19+E19)/2</f>
        <v>0</v>
      </c>
      <c r="H19" s="1">
        <f>D19-B19</f>
        <v>3</v>
      </c>
      <c r="I19" s="1">
        <f>E19-C19</f>
        <v>0</v>
      </c>
      <c r="J19" s="1">
        <f>SQRT((H19*H19)+(I19*I19))</f>
        <v>3</v>
      </c>
      <c r="K19" s="1">
        <f>(J19*I19*I19)/12</f>
        <v>0</v>
      </c>
      <c r="L19" s="1">
        <f>(J19*H19*H19)/12</f>
        <v>2.25</v>
      </c>
      <c r="M19" s="1">
        <f>J19*F19</f>
        <v>4.5</v>
      </c>
      <c r="N19" s="1">
        <f>J19*G19</f>
        <v>0</v>
      </c>
      <c r="O19" s="1">
        <f>F19-$K$5</f>
        <v>0.85227272727272729</v>
      </c>
      <c r="P19" s="1">
        <f>G19-$K$6</f>
        <v>-3.1477272727272729</v>
      </c>
      <c r="Q19" s="1">
        <f>K19+(J19*P19*P19)</f>
        <v>29.724560950413224</v>
      </c>
      <c r="R19" s="1">
        <f t="shared" ref="R19:R82" si="2">L19+(J19*O19*O19)</f>
        <v>4.4291064049586772</v>
      </c>
      <c r="S19" s="1">
        <f>J19*O19*P19</f>
        <v>-8.0481663223140494</v>
      </c>
      <c r="T19" s="7">
        <f>B19-$K$5</f>
        <v>-0.64772727272727271</v>
      </c>
      <c r="U19" s="7">
        <f>C19-$K$6</f>
        <v>-3.1477272727272729</v>
      </c>
      <c r="V19" s="7">
        <f>D19-$K$5</f>
        <v>2.3522727272727275</v>
      </c>
      <c r="W19" s="7">
        <f>E19-$K$6</f>
        <v>-3.1477272727272729</v>
      </c>
      <c r="X19" s="1">
        <f t="shared" ref="X19:X82" si="3">IF(J19=0,0,(U19*$H$8*$K$8)/$K$11)</f>
        <v>-6654.2605719986705</v>
      </c>
      <c r="Y19" s="1">
        <f t="shared" ref="Y19:Y82" si="4">IF(J19=0,0,(U19*$H$9*$K$9)/$K$11)</f>
        <v>0</v>
      </c>
      <c r="Z19">
        <f t="shared" ref="Z19:Z82" si="5">IF(J19=0,0,(-1*T19*$H$8*$K$9)/$K$11)</f>
        <v>-2292.4212845985794</v>
      </c>
      <c r="AA19">
        <f t="shared" ref="AA19:AA82" si="6">IF(J19=0,0,(-1*T19*$H$9*$K$7)/$K$11)</f>
        <v>0</v>
      </c>
      <c r="AB19">
        <f t="shared" ref="AB19:AB82" si="7">X19+Y19+Z19+AA19</f>
        <v>-8946.6818565972499</v>
      </c>
      <c r="AC19">
        <f t="shared" ref="AC19:AC82" si="8">AB19+$N$6</f>
        <v>-8946.6818565972499</v>
      </c>
      <c r="AD19">
        <f t="shared" ref="AD19:AD82" si="9">IF(J19=0,0,(-1*U19*$H$10)/$K$10)</f>
        <v>0</v>
      </c>
      <c r="AE19">
        <f t="shared" ref="AE19:AE82" si="10">AD19+$N$4</f>
        <v>0</v>
      </c>
      <c r="AF19">
        <f t="shared" ref="AF19:AF82" si="11">IF(J19=0,0,(T19*$H$10)/$K$10)</f>
        <v>0</v>
      </c>
      <c r="AG19">
        <f t="shared" ref="AG19:AG82" si="12">AF19+$N$5</f>
        <v>0</v>
      </c>
      <c r="AH19">
        <f t="shared" ref="AH19:AH82" si="13">SQRT((AC19*AC19)+(AE19*AE19)+(AG19*AG19))</f>
        <v>8946.6818565972499</v>
      </c>
      <c r="AI19" s="1">
        <f t="shared" ref="AI19:AI82" si="14">IF(J19=0,0,(W19*$H$8*$K$8)/$K$11)</f>
        <v>-6654.2605719986705</v>
      </c>
      <c r="AJ19" s="1">
        <f t="shared" ref="AJ19:AJ82" si="15">IF(J19=0,0,(W19*$H$9*$K$9)/$K$11)</f>
        <v>0</v>
      </c>
      <c r="AK19">
        <f t="shared" ref="AK19:AK82" si="16">IF(J19=0,0,(-1*V19*$H$8*$K$9)/$K$11)</f>
        <v>8325.1088756474746</v>
      </c>
      <c r="AL19">
        <f t="shared" ref="AL19:AL82" si="17">IF(J19=0,0,(-1*V19*$H$9*$K$7)/$K$11)</f>
        <v>0</v>
      </c>
      <c r="AM19">
        <f t="shared" ref="AM19:AM82" si="18">AI19+AJ19+AK19+AL19</f>
        <v>1670.8483036488042</v>
      </c>
      <c r="AN19">
        <f t="shared" ref="AN19:AN82" si="19">AM19+$N$6</f>
        <v>1670.8483036488042</v>
      </c>
      <c r="AO19">
        <f t="shared" ref="AO19:AO82" si="20">IF(J19=0,0,(-1*W19*$H$10)/$K$10)</f>
        <v>0</v>
      </c>
      <c r="AP19">
        <f t="shared" ref="AP19:AP82" si="21">AO19+$N$4</f>
        <v>0</v>
      </c>
      <c r="AQ19">
        <f t="shared" ref="AQ19:AQ82" si="22">IF(J19=0,0,(V19*$H$10)/$K$10)</f>
        <v>0</v>
      </c>
      <c r="AR19">
        <f t="shared" ref="AR19:AR82" si="23">AQ19+$N$5</f>
        <v>0</v>
      </c>
      <c r="AS19">
        <f t="shared" ref="AS19:AS82" si="24">SQRT((AN19*AN19)+(AP19*AP19)+(AR19*AR19))</f>
        <v>1670.8483036488042</v>
      </c>
      <c r="AT19" s="1">
        <f t="shared" ref="AT19:AT82" si="25">IF(J19=0,0,(P19*$H$8*$K$8)/$K$11)</f>
        <v>-6654.2605719986705</v>
      </c>
      <c r="AU19" s="1">
        <f t="shared" ref="AU19:AU82" si="26">IF(J19=0,0,(P19*$H$9*$K$9)/$K$11)</f>
        <v>0</v>
      </c>
      <c r="AV19">
        <f t="shared" ref="AV19:AV82" si="27">IF(J19=0,0,(-1*O19*$H$8*$K$9)/$K$11)</f>
        <v>3016.3437955244472</v>
      </c>
      <c r="AW19">
        <f t="shared" ref="AW19:AW82" si="28">IF(J19=0,0,(-1*O19*$H$9*$K$7)/$K$11)</f>
        <v>0</v>
      </c>
      <c r="AX19">
        <f t="shared" ref="AX19:AX82" si="29">AT19+AU19+AV19+AW19</f>
        <v>-3637.9167764742233</v>
      </c>
      <c r="AY19">
        <f t="shared" ref="AY19:AY82" si="30">AX19+$N$6</f>
        <v>-3637.9167764742233</v>
      </c>
      <c r="AZ19">
        <f t="shared" ref="AZ19:AZ82" si="31">IF(J19=0,0,(-1*P19*$H$10)/$K$10)</f>
        <v>0</v>
      </c>
      <c r="BA19">
        <f t="shared" ref="BA19:BA82" si="32">AZ19+$N$4</f>
        <v>0</v>
      </c>
      <c r="BB19">
        <f t="shared" ref="BB19:BB82" si="33">IF(J19=0,0,(O19*$H$10)/$K$10)</f>
        <v>0</v>
      </c>
      <c r="BC19">
        <f t="shared" ref="BC19:BC82" si="34">BB19+$N$5</f>
        <v>0</v>
      </c>
      <c r="BD19">
        <f t="shared" ref="BD19:BD82" si="35">SQRT((AY19*AY19)+(BA19*BA19)+(BC19*BC19))</f>
        <v>3637.9167764742233</v>
      </c>
    </row>
    <row r="20" spans="1:56" x14ac:dyDescent="0.25">
      <c r="A20" s="1">
        <v>3</v>
      </c>
      <c r="B20" s="2">
        <v>3</v>
      </c>
      <c r="C20" s="2">
        <v>0</v>
      </c>
      <c r="D20" s="2">
        <v>3</v>
      </c>
      <c r="E20" s="2">
        <v>0.5</v>
      </c>
      <c r="F20" s="1">
        <f t="shared" ref="F20:F83" si="36">(B20+D20)/2</f>
        <v>3</v>
      </c>
      <c r="G20" s="1">
        <f t="shared" ref="G20:G83" si="37">(C20+E20)/2</f>
        <v>0.25</v>
      </c>
      <c r="H20" s="1">
        <f t="shared" ref="H20:H83" si="38">D20-B20</f>
        <v>0</v>
      </c>
      <c r="I20" s="1">
        <f t="shared" ref="I20:I83" si="39">E20-C20</f>
        <v>0.5</v>
      </c>
      <c r="J20" s="1">
        <f t="shared" ref="J20:J83" si="40">SQRT((H20*H20)+(I20*I20))</f>
        <v>0.5</v>
      </c>
      <c r="K20" s="1">
        <f t="shared" ref="K20:K83" si="41">(J20*I20*I20)/12</f>
        <v>1.0416666666666666E-2</v>
      </c>
      <c r="L20" s="1">
        <f t="shared" ref="L20:L83" si="42">(J20*H20*H20)/12</f>
        <v>0</v>
      </c>
      <c r="M20" s="1">
        <f t="shared" ref="M20:M83" si="43">J20*F20</f>
        <v>1.5</v>
      </c>
      <c r="N20" s="1">
        <f t="shared" ref="N20:N83" si="44">J20*G20</f>
        <v>0.125</v>
      </c>
      <c r="O20" s="1">
        <f t="shared" ref="O20:O83" si="45">F20-$K$5</f>
        <v>2.3522727272727275</v>
      </c>
      <c r="P20" s="1">
        <f t="shared" ref="P20:P83" si="46">G20-$K$6</f>
        <v>-2.8977272727272729</v>
      </c>
      <c r="Q20" s="1">
        <f t="shared" ref="Q20:Q83" si="47">K20+(J20*P20*P20)</f>
        <v>4.2088283402203865</v>
      </c>
      <c r="R20" s="1">
        <f t="shared" si="2"/>
        <v>2.7665934917355379</v>
      </c>
      <c r="S20" s="1">
        <f t="shared" ref="S20:S83" si="48">J20*O20*P20</f>
        <v>-3.4081224173553726</v>
      </c>
      <c r="T20" s="7">
        <f t="shared" ref="T20:T83" si="49">B20-$K$5</f>
        <v>2.3522727272727275</v>
      </c>
      <c r="U20" s="7">
        <f t="shared" ref="U20:U83" si="50">C20-$K$6</f>
        <v>-3.1477272727272729</v>
      </c>
      <c r="V20" s="7">
        <f t="shared" ref="V20:V83" si="51">D20-$K$5</f>
        <v>2.3522727272727275</v>
      </c>
      <c r="W20" s="7">
        <f t="shared" ref="W20:W83" si="52">E20-$K$6</f>
        <v>-2.6477272727272729</v>
      </c>
      <c r="X20" s="1">
        <f t="shared" si="3"/>
        <v>-6654.2605719986705</v>
      </c>
      <c r="Y20" s="1">
        <f t="shared" si="4"/>
        <v>0</v>
      </c>
      <c r="Z20">
        <f t="shared" si="5"/>
        <v>8325.1088756474746</v>
      </c>
      <c r="AA20">
        <f t="shared" si="6"/>
        <v>0</v>
      </c>
      <c r="AB20">
        <f t="shared" si="7"/>
        <v>1670.8483036488042</v>
      </c>
      <c r="AC20">
        <f t="shared" si="8"/>
        <v>1670.8483036488042</v>
      </c>
      <c r="AD20">
        <f t="shared" si="9"/>
        <v>0</v>
      </c>
      <c r="AE20">
        <f t="shared" si="10"/>
        <v>0</v>
      </c>
      <c r="AF20">
        <f t="shared" si="11"/>
        <v>0</v>
      </c>
      <c r="AG20">
        <f t="shared" si="12"/>
        <v>0</v>
      </c>
      <c r="AH20">
        <f t="shared" si="13"/>
        <v>1670.8483036488042</v>
      </c>
      <c r="AI20" s="1">
        <f t="shared" si="14"/>
        <v>-5597.26611290863</v>
      </c>
      <c r="AJ20" s="1">
        <f t="shared" si="15"/>
        <v>0</v>
      </c>
      <c r="AK20">
        <f t="shared" si="16"/>
        <v>8325.1088756474746</v>
      </c>
      <c r="AL20">
        <f t="shared" si="17"/>
        <v>0</v>
      </c>
      <c r="AM20">
        <f t="shared" si="18"/>
        <v>2727.8427627388446</v>
      </c>
      <c r="AN20">
        <f t="shared" si="19"/>
        <v>2727.8427627388446</v>
      </c>
      <c r="AO20">
        <f t="shared" si="20"/>
        <v>0</v>
      </c>
      <c r="AP20">
        <f t="shared" si="21"/>
        <v>0</v>
      </c>
      <c r="AQ20">
        <f t="shared" si="22"/>
        <v>0</v>
      </c>
      <c r="AR20">
        <f t="shared" si="23"/>
        <v>0</v>
      </c>
      <c r="AS20">
        <f t="shared" si="24"/>
        <v>2727.8427627388446</v>
      </c>
      <c r="AT20" s="1">
        <f t="shared" si="25"/>
        <v>-6125.7633424536507</v>
      </c>
      <c r="AU20" s="1">
        <f t="shared" si="26"/>
        <v>0</v>
      </c>
      <c r="AV20">
        <f t="shared" si="27"/>
        <v>8325.1088756474746</v>
      </c>
      <c r="AW20">
        <f t="shared" si="28"/>
        <v>0</v>
      </c>
      <c r="AX20">
        <f t="shared" si="29"/>
        <v>2199.3455331938239</v>
      </c>
      <c r="AY20">
        <f t="shared" si="30"/>
        <v>2199.3455331938239</v>
      </c>
      <c r="AZ20">
        <f t="shared" si="31"/>
        <v>0</v>
      </c>
      <c r="BA20">
        <f t="shared" si="32"/>
        <v>0</v>
      </c>
      <c r="BB20">
        <f t="shared" si="33"/>
        <v>0</v>
      </c>
      <c r="BC20">
        <f t="shared" si="34"/>
        <v>0</v>
      </c>
      <c r="BD20">
        <f t="shared" si="35"/>
        <v>2199.3455331938239</v>
      </c>
    </row>
    <row r="21" spans="1:56" x14ac:dyDescent="0.25">
      <c r="A21" s="1">
        <v>4</v>
      </c>
      <c r="B21" s="2">
        <v>3</v>
      </c>
      <c r="C21" s="2">
        <v>0.5</v>
      </c>
      <c r="D21" s="2">
        <v>0.5</v>
      </c>
      <c r="E21" s="2">
        <v>0.5</v>
      </c>
      <c r="F21" s="1">
        <f t="shared" si="36"/>
        <v>1.75</v>
      </c>
      <c r="G21" s="1">
        <f t="shared" si="37"/>
        <v>0.5</v>
      </c>
      <c r="H21" s="1">
        <f t="shared" si="38"/>
        <v>-2.5</v>
      </c>
      <c r="I21" s="1">
        <f t="shared" si="39"/>
        <v>0</v>
      </c>
      <c r="J21" s="1">
        <f t="shared" si="40"/>
        <v>2.5</v>
      </c>
      <c r="K21" s="1">
        <f t="shared" si="41"/>
        <v>0</v>
      </c>
      <c r="L21" s="1">
        <f t="shared" si="42"/>
        <v>1.3020833333333333</v>
      </c>
      <c r="M21" s="1">
        <f t="shared" si="43"/>
        <v>4.375</v>
      </c>
      <c r="N21" s="1">
        <f t="shared" si="44"/>
        <v>1.25</v>
      </c>
      <c r="O21" s="1">
        <f t="shared" si="45"/>
        <v>1.1022727272727273</v>
      </c>
      <c r="P21" s="1">
        <f t="shared" si="46"/>
        <v>-2.6477272727272729</v>
      </c>
      <c r="Q21" s="1">
        <f t="shared" si="47"/>
        <v>17.526149276859506</v>
      </c>
      <c r="R21" s="1">
        <f t="shared" si="2"/>
        <v>4.3395962465564741</v>
      </c>
      <c r="S21" s="1">
        <f t="shared" si="48"/>
        <v>-7.296293904958679</v>
      </c>
      <c r="T21" s="7">
        <f t="shared" si="49"/>
        <v>2.3522727272727275</v>
      </c>
      <c r="U21" s="7">
        <f t="shared" si="50"/>
        <v>-2.6477272727272729</v>
      </c>
      <c r="V21" s="7">
        <f t="shared" si="51"/>
        <v>-0.14772727272727271</v>
      </c>
      <c r="W21" s="7">
        <f t="shared" si="52"/>
        <v>-2.6477272727272729</v>
      </c>
      <c r="X21" s="1">
        <f t="shared" si="3"/>
        <v>-5597.26611290863</v>
      </c>
      <c r="Y21" s="1">
        <f t="shared" si="4"/>
        <v>0</v>
      </c>
      <c r="Z21">
        <f t="shared" si="5"/>
        <v>8325.1088756474746</v>
      </c>
      <c r="AA21">
        <f t="shared" si="6"/>
        <v>0</v>
      </c>
      <c r="AB21">
        <f t="shared" si="7"/>
        <v>2727.8427627388446</v>
      </c>
      <c r="AC21">
        <f t="shared" si="8"/>
        <v>2727.8427627388446</v>
      </c>
      <c r="AD21">
        <f t="shared" si="9"/>
        <v>0</v>
      </c>
      <c r="AE21">
        <f t="shared" si="10"/>
        <v>0</v>
      </c>
      <c r="AF21">
        <f t="shared" si="11"/>
        <v>0</v>
      </c>
      <c r="AG21">
        <f t="shared" si="12"/>
        <v>0</v>
      </c>
      <c r="AH21">
        <f t="shared" si="13"/>
        <v>2727.8427627388446</v>
      </c>
      <c r="AI21" s="1">
        <f t="shared" si="14"/>
        <v>-5597.26611290863</v>
      </c>
      <c r="AJ21" s="1">
        <f t="shared" si="15"/>
        <v>0</v>
      </c>
      <c r="AK21">
        <f t="shared" si="16"/>
        <v>-522.83292455757066</v>
      </c>
      <c r="AL21">
        <f t="shared" si="17"/>
        <v>0</v>
      </c>
      <c r="AM21">
        <f t="shared" si="18"/>
        <v>-6120.0990374662006</v>
      </c>
      <c r="AN21">
        <f t="shared" si="19"/>
        <v>-6120.0990374662006</v>
      </c>
      <c r="AO21">
        <f t="shared" si="20"/>
        <v>0</v>
      </c>
      <c r="AP21">
        <f t="shared" si="21"/>
        <v>0</v>
      </c>
      <c r="AQ21">
        <f t="shared" si="22"/>
        <v>0</v>
      </c>
      <c r="AR21">
        <f t="shared" si="23"/>
        <v>0</v>
      </c>
      <c r="AS21">
        <f t="shared" si="24"/>
        <v>6120.0990374662006</v>
      </c>
      <c r="AT21" s="1">
        <f t="shared" si="25"/>
        <v>-5597.26611290863</v>
      </c>
      <c r="AU21" s="1">
        <f t="shared" si="26"/>
        <v>0</v>
      </c>
      <c r="AV21">
        <f t="shared" si="27"/>
        <v>3901.1379755449511</v>
      </c>
      <c r="AW21">
        <f t="shared" si="28"/>
        <v>0</v>
      </c>
      <c r="AX21">
        <f t="shared" si="29"/>
        <v>-1696.1281373636789</v>
      </c>
      <c r="AY21">
        <f t="shared" si="30"/>
        <v>-1696.1281373636789</v>
      </c>
      <c r="AZ21">
        <f t="shared" si="31"/>
        <v>0</v>
      </c>
      <c r="BA21">
        <f t="shared" si="32"/>
        <v>0</v>
      </c>
      <c r="BB21">
        <f t="shared" si="33"/>
        <v>0</v>
      </c>
      <c r="BC21">
        <f t="shared" si="34"/>
        <v>0</v>
      </c>
      <c r="BD21">
        <f t="shared" si="35"/>
        <v>1696.1281373636789</v>
      </c>
    </row>
    <row r="22" spans="1:56" x14ac:dyDescent="0.25">
      <c r="A22" s="1">
        <v>5</v>
      </c>
      <c r="B22" s="2">
        <v>0.5</v>
      </c>
      <c r="C22" s="2">
        <v>0.5</v>
      </c>
      <c r="D22" s="2">
        <v>0.5</v>
      </c>
      <c r="E22" s="2">
        <v>8</v>
      </c>
      <c r="F22" s="1">
        <f t="shared" si="36"/>
        <v>0.5</v>
      </c>
      <c r="G22" s="1">
        <f t="shared" si="37"/>
        <v>4.25</v>
      </c>
      <c r="H22" s="1">
        <f t="shared" si="38"/>
        <v>0</v>
      </c>
      <c r="I22" s="1">
        <f t="shared" si="39"/>
        <v>7.5</v>
      </c>
      <c r="J22" s="1">
        <f t="shared" si="40"/>
        <v>7.5</v>
      </c>
      <c r="K22" s="1">
        <f t="shared" si="41"/>
        <v>35.15625</v>
      </c>
      <c r="L22" s="1">
        <f t="shared" si="42"/>
        <v>0</v>
      </c>
      <c r="M22" s="1">
        <f t="shared" si="43"/>
        <v>3.75</v>
      </c>
      <c r="N22" s="1">
        <f t="shared" si="44"/>
        <v>31.875</v>
      </c>
      <c r="O22" s="1">
        <f t="shared" si="45"/>
        <v>-0.14772727272727271</v>
      </c>
      <c r="P22" s="1">
        <f t="shared" si="46"/>
        <v>1.1022727272727271</v>
      </c>
      <c r="Q22" s="1">
        <f t="shared" si="47"/>
        <v>44.268788739669418</v>
      </c>
      <c r="R22" s="1">
        <f t="shared" si="2"/>
        <v>0.16367510330578511</v>
      </c>
      <c r="S22" s="1">
        <f t="shared" si="48"/>
        <v>-1.2212680785123964</v>
      </c>
      <c r="T22" s="7">
        <f t="shared" si="49"/>
        <v>-0.14772727272727271</v>
      </c>
      <c r="U22" s="7">
        <f t="shared" si="50"/>
        <v>-2.6477272727272729</v>
      </c>
      <c r="V22" s="7">
        <f t="shared" si="51"/>
        <v>-0.14772727272727271</v>
      </c>
      <c r="W22" s="7">
        <f t="shared" si="52"/>
        <v>4.8522727272727266</v>
      </c>
      <c r="X22" s="1">
        <f t="shared" si="3"/>
        <v>-5597.26611290863</v>
      </c>
      <c r="Y22" s="1">
        <f t="shared" si="4"/>
        <v>0</v>
      </c>
      <c r="Z22">
        <f t="shared" si="5"/>
        <v>-522.83292455757066</v>
      </c>
      <c r="AA22">
        <f t="shared" si="6"/>
        <v>0</v>
      </c>
      <c r="AB22">
        <f t="shared" si="7"/>
        <v>-6120.0990374662006</v>
      </c>
      <c r="AC22">
        <f t="shared" si="8"/>
        <v>-6120.0990374662006</v>
      </c>
      <c r="AD22">
        <f t="shared" si="9"/>
        <v>0</v>
      </c>
      <c r="AE22">
        <f t="shared" si="10"/>
        <v>0</v>
      </c>
      <c r="AF22">
        <f t="shared" si="11"/>
        <v>0</v>
      </c>
      <c r="AG22">
        <f t="shared" si="12"/>
        <v>0</v>
      </c>
      <c r="AH22">
        <f t="shared" si="13"/>
        <v>6120.0990374662006</v>
      </c>
      <c r="AI22" s="1">
        <f t="shared" si="14"/>
        <v>10257.65077344199</v>
      </c>
      <c r="AJ22" s="1">
        <f t="shared" si="15"/>
        <v>0</v>
      </c>
      <c r="AK22">
        <f t="shared" si="16"/>
        <v>-522.83292455757066</v>
      </c>
      <c r="AL22">
        <f t="shared" si="17"/>
        <v>0</v>
      </c>
      <c r="AM22">
        <f t="shared" si="18"/>
        <v>9734.8178488844187</v>
      </c>
      <c r="AN22">
        <f t="shared" si="19"/>
        <v>9734.8178488844187</v>
      </c>
      <c r="AO22">
        <f t="shared" si="20"/>
        <v>0</v>
      </c>
      <c r="AP22">
        <f t="shared" si="21"/>
        <v>0</v>
      </c>
      <c r="AQ22">
        <f t="shared" si="22"/>
        <v>0</v>
      </c>
      <c r="AR22">
        <f t="shared" si="23"/>
        <v>0</v>
      </c>
      <c r="AS22">
        <f t="shared" si="24"/>
        <v>9734.8178488844187</v>
      </c>
      <c r="AT22" s="1">
        <f t="shared" si="25"/>
        <v>2330.1923302666819</v>
      </c>
      <c r="AU22" s="1">
        <f t="shared" si="26"/>
        <v>0</v>
      </c>
      <c r="AV22">
        <f t="shared" si="27"/>
        <v>-522.83292455757066</v>
      </c>
      <c r="AW22">
        <f t="shared" si="28"/>
        <v>0</v>
      </c>
      <c r="AX22">
        <f t="shared" si="29"/>
        <v>1807.3594057091113</v>
      </c>
      <c r="AY22">
        <f t="shared" si="30"/>
        <v>1807.3594057091113</v>
      </c>
      <c r="AZ22">
        <f t="shared" si="31"/>
        <v>0</v>
      </c>
      <c r="BA22">
        <f t="shared" si="32"/>
        <v>0</v>
      </c>
      <c r="BB22">
        <f t="shared" si="33"/>
        <v>0</v>
      </c>
      <c r="BC22">
        <f t="shared" si="34"/>
        <v>0</v>
      </c>
      <c r="BD22">
        <f t="shared" si="35"/>
        <v>1807.3594057091113</v>
      </c>
    </row>
    <row r="23" spans="1:56" x14ac:dyDescent="0.25">
      <c r="A23" s="1">
        <v>6</v>
      </c>
      <c r="B23" s="2">
        <v>0.5</v>
      </c>
      <c r="C23" s="2">
        <v>8</v>
      </c>
      <c r="D23" s="2">
        <v>0</v>
      </c>
      <c r="E23" s="2">
        <v>8</v>
      </c>
      <c r="F23" s="1">
        <f t="shared" si="36"/>
        <v>0.25</v>
      </c>
      <c r="G23" s="1">
        <f t="shared" si="37"/>
        <v>8</v>
      </c>
      <c r="H23" s="1">
        <f t="shared" si="38"/>
        <v>-0.5</v>
      </c>
      <c r="I23" s="1">
        <f t="shared" si="39"/>
        <v>0</v>
      </c>
      <c r="J23" s="1">
        <f t="shared" si="40"/>
        <v>0.5</v>
      </c>
      <c r="K23" s="1">
        <f t="shared" si="41"/>
        <v>0</v>
      </c>
      <c r="L23" s="1">
        <f t="shared" si="42"/>
        <v>1.0416666666666666E-2</v>
      </c>
      <c r="M23" s="1">
        <f t="shared" si="43"/>
        <v>0.125</v>
      </c>
      <c r="N23" s="1">
        <f t="shared" si="44"/>
        <v>4</v>
      </c>
      <c r="O23" s="1">
        <f t="shared" si="45"/>
        <v>-0.39772727272727271</v>
      </c>
      <c r="P23" s="1">
        <f t="shared" si="46"/>
        <v>4.8522727272727266</v>
      </c>
      <c r="Q23" s="1">
        <f t="shared" si="47"/>
        <v>11.772275309917353</v>
      </c>
      <c r="R23" s="1">
        <f t="shared" si="2"/>
        <v>8.951015840220386E-2</v>
      </c>
      <c r="S23" s="1">
        <f t="shared" si="48"/>
        <v>-0.96494059917355357</v>
      </c>
      <c r="T23" s="7">
        <f t="shared" si="49"/>
        <v>-0.14772727272727271</v>
      </c>
      <c r="U23" s="7">
        <f t="shared" si="50"/>
        <v>4.8522727272727266</v>
      </c>
      <c r="V23" s="7">
        <f t="shared" si="51"/>
        <v>-0.64772727272727271</v>
      </c>
      <c r="W23" s="7">
        <f t="shared" si="52"/>
        <v>4.8522727272727266</v>
      </c>
      <c r="X23" s="1">
        <f t="shared" si="3"/>
        <v>10257.65077344199</v>
      </c>
      <c r="Y23" s="1">
        <f t="shared" si="4"/>
        <v>0</v>
      </c>
      <c r="Z23">
        <f t="shared" si="5"/>
        <v>-522.83292455757066</v>
      </c>
      <c r="AA23">
        <f t="shared" si="6"/>
        <v>0</v>
      </c>
      <c r="AB23">
        <f t="shared" si="7"/>
        <v>9734.8178488844187</v>
      </c>
      <c r="AC23">
        <f t="shared" si="8"/>
        <v>9734.8178488844187</v>
      </c>
      <c r="AD23">
        <f t="shared" si="9"/>
        <v>0</v>
      </c>
      <c r="AE23">
        <f t="shared" si="10"/>
        <v>0</v>
      </c>
      <c r="AF23">
        <f t="shared" si="11"/>
        <v>0</v>
      </c>
      <c r="AG23">
        <f t="shared" si="12"/>
        <v>0</v>
      </c>
      <c r="AH23">
        <f t="shared" si="13"/>
        <v>9734.8178488844187</v>
      </c>
      <c r="AI23" s="1">
        <f t="shared" si="14"/>
        <v>10257.65077344199</v>
      </c>
      <c r="AJ23" s="1">
        <f t="shared" si="15"/>
        <v>0</v>
      </c>
      <c r="AK23">
        <f t="shared" si="16"/>
        <v>-2292.4212845985794</v>
      </c>
      <c r="AL23">
        <f t="shared" si="17"/>
        <v>0</v>
      </c>
      <c r="AM23">
        <f t="shared" si="18"/>
        <v>7965.2294888434108</v>
      </c>
      <c r="AN23">
        <f t="shared" si="19"/>
        <v>7965.2294888434108</v>
      </c>
      <c r="AO23">
        <f t="shared" si="20"/>
        <v>0</v>
      </c>
      <c r="AP23">
        <f t="shared" si="21"/>
        <v>0</v>
      </c>
      <c r="AQ23">
        <f t="shared" si="22"/>
        <v>0</v>
      </c>
      <c r="AR23">
        <f t="shared" si="23"/>
        <v>0</v>
      </c>
      <c r="AS23">
        <f t="shared" si="24"/>
        <v>7965.2294888434108</v>
      </c>
      <c r="AT23" s="1">
        <f t="shared" si="25"/>
        <v>10257.65077344199</v>
      </c>
      <c r="AU23" s="1">
        <f t="shared" si="26"/>
        <v>0</v>
      </c>
      <c r="AV23">
        <f t="shared" si="27"/>
        <v>-1407.6271045780752</v>
      </c>
      <c r="AW23">
        <f t="shared" si="28"/>
        <v>0</v>
      </c>
      <c r="AX23">
        <f t="shared" si="29"/>
        <v>8850.0236688639143</v>
      </c>
      <c r="AY23">
        <f t="shared" si="30"/>
        <v>8850.0236688639143</v>
      </c>
      <c r="AZ23">
        <f t="shared" si="31"/>
        <v>0</v>
      </c>
      <c r="BA23">
        <f t="shared" si="32"/>
        <v>0</v>
      </c>
      <c r="BB23">
        <f t="shared" si="33"/>
        <v>0</v>
      </c>
      <c r="BC23">
        <f t="shared" si="34"/>
        <v>0</v>
      </c>
      <c r="BD23">
        <f t="shared" si="35"/>
        <v>8850.0236688639143</v>
      </c>
    </row>
    <row r="24" spans="1:56" x14ac:dyDescent="0.25">
      <c r="A24" s="1">
        <v>7</v>
      </c>
      <c r="B24" s="2">
        <v>0</v>
      </c>
      <c r="C24" s="2">
        <v>0</v>
      </c>
      <c r="D24" s="2">
        <v>0</v>
      </c>
      <c r="E24" s="2">
        <v>0</v>
      </c>
      <c r="F24" s="1">
        <f t="shared" si="36"/>
        <v>0</v>
      </c>
      <c r="G24" s="1">
        <f t="shared" si="37"/>
        <v>0</v>
      </c>
      <c r="H24" s="1">
        <f t="shared" si="38"/>
        <v>0</v>
      </c>
      <c r="I24" s="1">
        <f t="shared" si="39"/>
        <v>0</v>
      </c>
      <c r="J24" s="1">
        <f t="shared" si="40"/>
        <v>0</v>
      </c>
      <c r="K24" s="1">
        <f t="shared" si="41"/>
        <v>0</v>
      </c>
      <c r="L24" s="1">
        <f t="shared" si="42"/>
        <v>0</v>
      </c>
      <c r="M24" s="1">
        <f t="shared" si="43"/>
        <v>0</v>
      </c>
      <c r="N24" s="1">
        <f t="shared" si="44"/>
        <v>0</v>
      </c>
      <c r="O24" s="1">
        <f t="shared" si="45"/>
        <v>-0.64772727272727271</v>
      </c>
      <c r="P24" s="1">
        <f t="shared" si="46"/>
        <v>-3.1477272727272729</v>
      </c>
      <c r="Q24" s="1">
        <f t="shared" si="47"/>
        <v>0</v>
      </c>
      <c r="R24" s="1">
        <f t="shared" si="2"/>
        <v>0</v>
      </c>
      <c r="S24" s="1">
        <f t="shared" si="48"/>
        <v>0</v>
      </c>
      <c r="T24" s="7">
        <f t="shared" si="49"/>
        <v>-0.64772727272727271</v>
      </c>
      <c r="U24" s="7">
        <f t="shared" si="50"/>
        <v>-3.1477272727272729</v>
      </c>
      <c r="V24" s="7">
        <f t="shared" si="51"/>
        <v>-0.64772727272727271</v>
      </c>
      <c r="W24" s="7">
        <f t="shared" si="52"/>
        <v>-3.1477272727272729</v>
      </c>
      <c r="X24" s="1">
        <f t="shared" si="3"/>
        <v>0</v>
      </c>
      <c r="Y24" s="1">
        <f t="shared" si="4"/>
        <v>0</v>
      </c>
      <c r="Z24">
        <f t="shared" si="5"/>
        <v>0</v>
      </c>
      <c r="AA24">
        <f t="shared" si="6"/>
        <v>0</v>
      </c>
      <c r="AB24">
        <f t="shared" si="7"/>
        <v>0</v>
      </c>
      <c r="AC24">
        <f t="shared" si="8"/>
        <v>0</v>
      </c>
      <c r="AD24">
        <f t="shared" si="9"/>
        <v>0</v>
      </c>
      <c r="AE24">
        <f t="shared" si="10"/>
        <v>0</v>
      </c>
      <c r="AF24">
        <f t="shared" si="11"/>
        <v>0</v>
      </c>
      <c r="AG24">
        <f t="shared" si="12"/>
        <v>0</v>
      </c>
      <c r="AH24">
        <f t="shared" si="13"/>
        <v>0</v>
      </c>
      <c r="AI24" s="1">
        <f t="shared" si="14"/>
        <v>0</v>
      </c>
      <c r="AJ24" s="1">
        <f t="shared" si="15"/>
        <v>0</v>
      </c>
      <c r="AK24">
        <f t="shared" si="16"/>
        <v>0</v>
      </c>
      <c r="AL24">
        <f t="shared" si="17"/>
        <v>0</v>
      </c>
      <c r="AM24">
        <f t="shared" si="18"/>
        <v>0</v>
      </c>
      <c r="AN24">
        <f t="shared" si="19"/>
        <v>0</v>
      </c>
      <c r="AO24">
        <f t="shared" si="20"/>
        <v>0</v>
      </c>
      <c r="AP24">
        <f t="shared" si="21"/>
        <v>0</v>
      </c>
      <c r="AQ24">
        <f t="shared" si="22"/>
        <v>0</v>
      </c>
      <c r="AR24">
        <f t="shared" si="23"/>
        <v>0</v>
      </c>
      <c r="AS24">
        <f t="shared" si="24"/>
        <v>0</v>
      </c>
      <c r="AT24" s="1">
        <f t="shared" si="25"/>
        <v>0</v>
      </c>
      <c r="AU24" s="1">
        <f t="shared" si="26"/>
        <v>0</v>
      </c>
      <c r="AV24">
        <f t="shared" si="27"/>
        <v>0</v>
      </c>
      <c r="AW24">
        <f t="shared" si="28"/>
        <v>0</v>
      </c>
      <c r="AX24">
        <f t="shared" si="29"/>
        <v>0</v>
      </c>
      <c r="AY24">
        <f t="shared" si="30"/>
        <v>0</v>
      </c>
      <c r="AZ24">
        <f t="shared" si="31"/>
        <v>0</v>
      </c>
      <c r="BA24">
        <f t="shared" si="32"/>
        <v>0</v>
      </c>
      <c r="BB24">
        <f t="shared" si="33"/>
        <v>0</v>
      </c>
      <c r="BC24">
        <f t="shared" si="34"/>
        <v>0</v>
      </c>
      <c r="BD24">
        <f t="shared" si="35"/>
        <v>0</v>
      </c>
    </row>
    <row r="25" spans="1:56" x14ac:dyDescent="0.25">
      <c r="A25" s="1">
        <v>8</v>
      </c>
      <c r="B25" s="2">
        <v>0</v>
      </c>
      <c r="C25" s="2">
        <v>0</v>
      </c>
      <c r="D25" s="2">
        <v>0</v>
      </c>
      <c r="E25" s="2">
        <v>0</v>
      </c>
      <c r="F25" s="1">
        <f t="shared" si="36"/>
        <v>0</v>
      </c>
      <c r="G25" s="1">
        <f t="shared" si="37"/>
        <v>0</v>
      </c>
      <c r="H25" s="1">
        <f t="shared" si="38"/>
        <v>0</v>
      </c>
      <c r="I25" s="1">
        <f t="shared" si="39"/>
        <v>0</v>
      </c>
      <c r="J25" s="1">
        <f t="shared" si="40"/>
        <v>0</v>
      </c>
      <c r="K25" s="1">
        <f t="shared" si="41"/>
        <v>0</v>
      </c>
      <c r="L25" s="1">
        <f t="shared" si="42"/>
        <v>0</v>
      </c>
      <c r="M25" s="1">
        <f t="shared" si="43"/>
        <v>0</v>
      </c>
      <c r="N25" s="1">
        <f t="shared" si="44"/>
        <v>0</v>
      </c>
      <c r="O25" s="1">
        <f t="shared" si="45"/>
        <v>-0.64772727272727271</v>
      </c>
      <c r="P25" s="1">
        <f t="shared" si="46"/>
        <v>-3.1477272727272729</v>
      </c>
      <c r="Q25" s="1">
        <f t="shared" si="47"/>
        <v>0</v>
      </c>
      <c r="R25" s="1">
        <f t="shared" si="2"/>
        <v>0</v>
      </c>
      <c r="S25" s="1">
        <f t="shared" si="48"/>
        <v>0</v>
      </c>
      <c r="T25" s="7">
        <f t="shared" si="49"/>
        <v>-0.64772727272727271</v>
      </c>
      <c r="U25" s="7">
        <f t="shared" si="50"/>
        <v>-3.1477272727272729</v>
      </c>
      <c r="V25" s="7">
        <f t="shared" si="51"/>
        <v>-0.64772727272727271</v>
      </c>
      <c r="W25" s="7">
        <f t="shared" si="52"/>
        <v>-3.1477272727272729</v>
      </c>
      <c r="X25" s="1">
        <f t="shared" si="3"/>
        <v>0</v>
      </c>
      <c r="Y25" s="1">
        <f t="shared" si="4"/>
        <v>0</v>
      </c>
      <c r="Z25">
        <f t="shared" si="5"/>
        <v>0</v>
      </c>
      <c r="AA25">
        <f t="shared" si="6"/>
        <v>0</v>
      </c>
      <c r="AB25">
        <f t="shared" si="7"/>
        <v>0</v>
      </c>
      <c r="AC25">
        <f t="shared" si="8"/>
        <v>0</v>
      </c>
      <c r="AD25">
        <f t="shared" si="9"/>
        <v>0</v>
      </c>
      <c r="AE25">
        <f t="shared" si="10"/>
        <v>0</v>
      </c>
      <c r="AF25">
        <f t="shared" si="11"/>
        <v>0</v>
      </c>
      <c r="AG25">
        <f t="shared" si="12"/>
        <v>0</v>
      </c>
      <c r="AH25">
        <f t="shared" si="13"/>
        <v>0</v>
      </c>
      <c r="AI25" s="1">
        <f t="shared" si="14"/>
        <v>0</v>
      </c>
      <c r="AJ25" s="1">
        <f t="shared" si="15"/>
        <v>0</v>
      </c>
      <c r="AK25">
        <f t="shared" si="16"/>
        <v>0</v>
      </c>
      <c r="AL25">
        <f t="shared" si="17"/>
        <v>0</v>
      </c>
      <c r="AM25">
        <f t="shared" si="18"/>
        <v>0</v>
      </c>
      <c r="AN25">
        <f t="shared" si="19"/>
        <v>0</v>
      </c>
      <c r="AO25">
        <f t="shared" si="20"/>
        <v>0</v>
      </c>
      <c r="AP25">
        <f t="shared" si="21"/>
        <v>0</v>
      </c>
      <c r="AQ25">
        <f t="shared" si="22"/>
        <v>0</v>
      </c>
      <c r="AR25">
        <f t="shared" si="23"/>
        <v>0</v>
      </c>
      <c r="AS25">
        <f t="shared" si="24"/>
        <v>0</v>
      </c>
      <c r="AT25" s="1">
        <f t="shared" si="25"/>
        <v>0</v>
      </c>
      <c r="AU25" s="1">
        <f t="shared" si="26"/>
        <v>0</v>
      </c>
      <c r="AV25">
        <f t="shared" si="27"/>
        <v>0</v>
      </c>
      <c r="AW25">
        <f t="shared" si="28"/>
        <v>0</v>
      </c>
      <c r="AX25">
        <f t="shared" si="29"/>
        <v>0</v>
      </c>
      <c r="AY25">
        <f t="shared" si="30"/>
        <v>0</v>
      </c>
      <c r="AZ25">
        <f t="shared" si="31"/>
        <v>0</v>
      </c>
      <c r="BA25">
        <f t="shared" si="32"/>
        <v>0</v>
      </c>
      <c r="BB25">
        <f t="shared" si="33"/>
        <v>0</v>
      </c>
      <c r="BC25">
        <f t="shared" si="34"/>
        <v>0</v>
      </c>
      <c r="BD25">
        <f t="shared" si="35"/>
        <v>0</v>
      </c>
    </row>
    <row r="26" spans="1:56" x14ac:dyDescent="0.25">
      <c r="A26" s="1">
        <v>9</v>
      </c>
      <c r="B26" s="2">
        <v>0</v>
      </c>
      <c r="C26" s="2">
        <v>0</v>
      </c>
      <c r="D26" s="2">
        <v>0</v>
      </c>
      <c r="E26" s="2">
        <v>0</v>
      </c>
      <c r="F26" s="1">
        <f t="shared" si="36"/>
        <v>0</v>
      </c>
      <c r="G26" s="1">
        <f t="shared" si="37"/>
        <v>0</v>
      </c>
      <c r="H26" s="1">
        <f t="shared" si="38"/>
        <v>0</v>
      </c>
      <c r="I26" s="1">
        <f t="shared" si="39"/>
        <v>0</v>
      </c>
      <c r="J26" s="1">
        <f t="shared" si="40"/>
        <v>0</v>
      </c>
      <c r="K26" s="1">
        <f t="shared" si="41"/>
        <v>0</v>
      </c>
      <c r="L26" s="1">
        <f t="shared" si="42"/>
        <v>0</v>
      </c>
      <c r="M26" s="1">
        <f t="shared" si="43"/>
        <v>0</v>
      </c>
      <c r="N26" s="1">
        <f t="shared" si="44"/>
        <v>0</v>
      </c>
      <c r="O26" s="1">
        <f t="shared" si="45"/>
        <v>-0.64772727272727271</v>
      </c>
      <c r="P26" s="1">
        <f t="shared" si="46"/>
        <v>-3.1477272727272729</v>
      </c>
      <c r="Q26" s="1">
        <f t="shared" si="47"/>
        <v>0</v>
      </c>
      <c r="R26" s="1">
        <f t="shared" si="2"/>
        <v>0</v>
      </c>
      <c r="S26" s="1">
        <f t="shared" si="48"/>
        <v>0</v>
      </c>
      <c r="T26" s="7">
        <f t="shared" si="49"/>
        <v>-0.64772727272727271</v>
      </c>
      <c r="U26" s="7">
        <f t="shared" si="50"/>
        <v>-3.1477272727272729</v>
      </c>
      <c r="V26" s="7">
        <f t="shared" si="51"/>
        <v>-0.64772727272727271</v>
      </c>
      <c r="W26" s="7">
        <f t="shared" si="52"/>
        <v>-3.1477272727272729</v>
      </c>
      <c r="X26" s="1">
        <f t="shared" si="3"/>
        <v>0</v>
      </c>
      <c r="Y26" s="1">
        <f t="shared" si="4"/>
        <v>0</v>
      </c>
      <c r="Z26">
        <f t="shared" si="5"/>
        <v>0</v>
      </c>
      <c r="AA26">
        <f t="shared" si="6"/>
        <v>0</v>
      </c>
      <c r="AB26">
        <f t="shared" si="7"/>
        <v>0</v>
      </c>
      <c r="AC26">
        <f t="shared" si="8"/>
        <v>0</v>
      </c>
      <c r="AD26">
        <f t="shared" si="9"/>
        <v>0</v>
      </c>
      <c r="AE26">
        <f t="shared" si="10"/>
        <v>0</v>
      </c>
      <c r="AF26">
        <f t="shared" si="11"/>
        <v>0</v>
      </c>
      <c r="AG26">
        <f t="shared" si="12"/>
        <v>0</v>
      </c>
      <c r="AH26">
        <f t="shared" si="13"/>
        <v>0</v>
      </c>
      <c r="AI26" s="1">
        <f t="shared" si="14"/>
        <v>0</v>
      </c>
      <c r="AJ26" s="1">
        <f t="shared" si="15"/>
        <v>0</v>
      </c>
      <c r="AK26">
        <f t="shared" si="16"/>
        <v>0</v>
      </c>
      <c r="AL26">
        <f t="shared" si="17"/>
        <v>0</v>
      </c>
      <c r="AM26">
        <f t="shared" si="18"/>
        <v>0</v>
      </c>
      <c r="AN26">
        <f t="shared" si="19"/>
        <v>0</v>
      </c>
      <c r="AO26">
        <f t="shared" si="20"/>
        <v>0</v>
      </c>
      <c r="AP26">
        <f t="shared" si="21"/>
        <v>0</v>
      </c>
      <c r="AQ26">
        <f t="shared" si="22"/>
        <v>0</v>
      </c>
      <c r="AR26">
        <f t="shared" si="23"/>
        <v>0</v>
      </c>
      <c r="AS26">
        <f t="shared" si="24"/>
        <v>0</v>
      </c>
      <c r="AT26" s="1">
        <f t="shared" si="25"/>
        <v>0</v>
      </c>
      <c r="AU26" s="1">
        <f t="shared" si="26"/>
        <v>0</v>
      </c>
      <c r="AV26">
        <f t="shared" si="27"/>
        <v>0</v>
      </c>
      <c r="AW26">
        <f t="shared" si="28"/>
        <v>0</v>
      </c>
      <c r="AX26">
        <f t="shared" si="29"/>
        <v>0</v>
      </c>
      <c r="AY26">
        <f t="shared" si="30"/>
        <v>0</v>
      </c>
      <c r="AZ26">
        <f t="shared" si="31"/>
        <v>0</v>
      </c>
      <c r="BA26">
        <f t="shared" si="32"/>
        <v>0</v>
      </c>
      <c r="BB26">
        <f t="shared" si="33"/>
        <v>0</v>
      </c>
      <c r="BC26">
        <f t="shared" si="34"/>
        <v>0</v>
      </c>
      <c r="BD26">
        <f t="shared" si="35"/>
        <v>0</v>
      </c>
    </row>
    <row r="27" spans="1:56" x14ac:dyDescent="0.25">
      <c r="A27" s="1">
        <v>10</v>
      </c>
      <c r="B27" s="2">
        <v>0</v>
      </c>
      <c r="C27" s="2">
        <v>0</v>
      </c>
      <c r="D27" s="2">
        <v>0</v>
      </c>
      <c r="E27" s="2">
        <v>0</v>
      </c>
      <c r="F27" s="1">
        <f t="shared" si="36"/>
        <v>0</v>
      </c>
      <c r="G27" s="1">
        <f t="shared" si="37"/>
        <v>0</v>
      </c>
      <c r="H27" s="1">
        <f t="shared" si="38"/>
        <v>0</v>
      </c>
      <c r="I27" s="1">
        <f t="shared" si="39"/>
        <v>0</v>
      </c>
      <c r="J27" s="1">
        <f t="shared" si="40"/>
        <v>0</v>
      </c>
      <c r="K27" s="1">
        <f t="shared" si="41"/>
        <v>0</v>
      </c>
      <c r="L27" s="1">
        <f t="shared" si="42"/>
        <v>0</v>
      </c>
      <c r="M27" s="1">
        <f t="shared" si="43"/>
        <v>0</v>
      </c>
      <c r="N27" s="1">
        <f t="shared" si="44"/>
        <v>0</v>
      </c>
      <c r="O27" s="1">
        <f t="shared" si="45"/>
        <v>-0.64772727272727271</v>
      </c>
      <c r="P27" s="1">
        <f t="shared" si="46"/>
        <v>-3.1477272727272729</v>
      </c>
      <c r="Q27" s="1">
        <f t="shared" si="47"/>
        <v>0</v>
      </c>
      <c r="R27" s="1">
        <f t="shared" si="2"/>
        <v>0</v>
      </c>
      <c r="S27" s="1">
        <f t="shared" si="48"/>
        <v>0</v>
      </c>
      <c r="T27" s="7">
        <f t="shared" si="49"/>
        <v>-0.64772727272727271</v>
      </c>
      <c r="U27" s="7">
        <f t="shared" si="50"/>
        <v>-3.1477272727272729</v>
      </c>
      <c r="V27" s="7">
        <f t="shared" si="51"/>
        <v>-0.64772727272727271</v>
      </c>
      <c r="W27" s="7">
        <f t="shared" si="52"/>
        <v>-3.1477272727272729</v>
      </c>
      <c r="X27" s="1">
        <f t="shared" si="3"/>
        <v>0</v>
      </c>
      <c r="Y27" s="1">
        <f t="shared" si="4"/>
        <v>0</v>
      </c>
      <c r="Z27">
        <f t="shared" si="5"/>
        <v>0</v>
      </c>
      <c r="AA27">
        <f t="shared" si="6"/>
        <v>0</v>
      </c>
      <c r="AB27">
        <f t="shared" si="7"/>
        <v>0</v>
      </c>
      <c r="AC27">
        <f t="shared" si="8"/>
        <v>0</v>
      </c>
      <c r="AD27">
        <f t="shared" si="9"/>
        <v>0</v>
      </c>
      <c r="AE27">
        <f t="shared" si="10"/>
        <v>0</v>
      </c>
      <c r="AF27">
        <f t="shared" si="11"/>
        <v>0</v>
      </c>
      <c r="AG27">
        <f t="shared" si="12"/>
        <v>0</v>
      </c>
      <c r="AH27">
        <f t="shared" si="13"/>
        <v>0</v>
      </c>
      <c r="AI27" s="1">
        <f t="shared" si="14"/>
        <v>0</v>
      </c>
      <c r="AJ27" s="1">
        <f t="shared" si="15"/>
        <v>0</v>
      </c>
      <c r="AK27">
        <f t="shared" si="16"/>
        <v>0</v>
      </c>
      <c r="AL27">
        <f t="shared" si="17"/>
        <v>0</v>
      </c>
      <c r="AM27">
        <f t="shared" si="18"/>
        <v>0</v>
      </c>
      <c r="AN27">
        <f t="shared" si="19"/>
        <v>0</v>
      </c>
      <c r="AO27">
        <f t="shared" si="20"/>
        <v>0</v>
      </c>
      <c r="AP27">
        <f t="shared" si="21"/>
        <v>0</v>
      </c>
      <c r="AQ27">
        <f t="shared" si="22"/>
        <v>0</v>
      </c>
      <c r="AR27">
        <f t="shared" si="23"/>
        <v>0</v>
      </c>
      <c r="AS27">
        <f t="shared" si="24"/>
        <v>0</v>
      </c>
      <c r="AT27" s="1">
        <f t="shared" si="25"/>
        <v>0</v>
      </c>
      <c r="AU27" s="1">
        <f t="shared" si="26"/>
        <v>0</v>
      </c>
      <c r="AV27">
        <f t="shared" si="27"/>
        <v>0</v>
      </c>
      <c r="AW27">
        <f t="shared" si="28"/>
        <v>0</v>
      </c>
      <c r="AX27">
        <f t="shared" si="29"/>
        <v>0</v>
      </c>
      <c r="AY27">
        <f t="shared" si="30"/>
        <v>0</v>
      </c>
      <c r="AZ27">
        <f t="shared" si="31"/>
        <v>0</v>
      </c>
      <c r="BA27">
        <f t="shared" si="32"/>
        <v>0</v>
      </c>
      <c r="BB27">
        <f t="shared" si="33"/>
        <v>0</v>
      </c>
      <c r="BC27">
        <f t="shared" si="34"/>
        <v>0</v>
      </c>
      <c r="BD27">
        <f t="shared" si="35"/>
        <v>0</v>
      </c>
    </row>
    <row r="28" spans="1:56" x14ac:dyDescent="0.25">
      <c r="A28" s="1">
        <v>11</v>
      </c>
      <c r="B28" s="2">
        <v>0</v>
      </c>
      <c r="C28" s="2">
        <v>0</v>
      </c>
      <c r="D28" s="2">
        <v>0</v>
      </c>
      <c r="E28" s="2">
        <v>0</v>
      </c>
      <c r="F28" s="1">
        <f t="shared" si="36"/>
        <v>0</v>
      </c>
      <c r="G28" s="1">
        <f t="shared" si="37"/>
        <v>0</v>
      </c>
      <c r="H28" s="1">
        <f t="shared" si="38"/>
        <v>0</v>
      </c>
      <c r="I28" s="1">
        <f t="shared" si="39"/>
        <v>0</v>
      </c>
      <c r="J28" s="1">
        <f t="shared" si="40"/>
        <v>0</v>
      </c>
      <c r="K28" s="1">
        <f t="shared" si="41"/>
        <v>0</v>
      </c>
      <c r="L28" s="1">
        <f t="shared" si="42"/>
        <v>0</v>
      </c>
      <c r="M28" s="1">
        <f t="shared" si="43"/>
        <v>0</v>
      </c>
      <c r="N28" s="1">
        <f t="shared" si="44"/>
        <v>0</v>
      </c>
      <c r="O28" s="1">
        <f t="shared" si="45"/>
        <v>-0.64772727272727271</v>
      </c>
      <c r="P28" s="1">
        <f t="shared" si="46"/>
        <v>-3.1477272727272729</v>
      </c>
      <c r="Q28" s="1">
        <f t="shared" si="47"/>
        <v>0</v>
      </c>
      <c r="R28" s="1">
        <f t="shared" si="2"/>
        <v>0</v>
      </c>
      <c r="S28" s="1">
        <f t="shared" si="48"/>
        <v>0</v>
      </c>
      <c r="T28" s="7">
        <f t="shared" si="49"/>
        <v>-0.64772727272727271</v>
      </c>
      <c r="U28" s="7">
        <f t="shared" si="50"/>
        <v>-3.1477272727272729</v>
      </c>
      <c r="V28" s="7">
        <f t="shared" si="51"/>
        <v>-0.64772727272727271</v>
      </c>
      <c r="W28" s="7">
        <f t="shared" si="52"/>
        <v>-3.1477272727272729</v>
      </c>
      <c r="X28" s="1">
        <f t="shared" si="3"/>
        <v>0</v>
      </c>
      <c r="Y28" s="1">
        <f t="shared" si="4"/>
        <v>0</v>
      </c>
      <c r="Z28">
        <f t="shared" si="5"/>
        <v>0</v>
      </c>
      <c r="AA28">
        <f t="shared" si="6"/>
        <v>0</v>
      </c>
      <c r="AB28">
        <f t="shared" si="7"/>
        <v>0</v>
      </c>
      <c r="AC28">
        <f t="shared" si="8"/>
        <v>0</v>
      </c>
      <c r="AD28">
        <f t="shared" si="9"/>
        <v>0</v>
      </c>
      <c r="AE28">
        <f t="shared" si="10"/>
        <v>0</v>
      </c>
      <c r="AF28">
        <f t="shared" si="11"/>
        <v>0</v>
      </c>
      <c r="AG28">
        <f t="shared" si="12"/>
        <v>0</v>
      </c>
      <c r="AH28">
        <f t="shared" si="13"/>
        <v>0</v>
      </c>
      <c r="AI28" s="1">
        <f t="shared" si="14"/>
        <v>0</v>
      </c>
      <c r="AJ28" s="1">
        <f t="shared" si="15"/>
        <v>0</v>
      </c>
      <c r="AK28">
        <f t="shared" si="16"/>
        <v>0</v>
      </c>
      <c r="AL28">
        <f t="shared" si="17"/>
        <v>0</v>
      </c>
      <c r="AM28">
        <f t="shared" si="18"/>
        <v>0</v>
      </c>
      <c r="AN28">
        <f t="shared" si="19"/>
        <v>0</v>
      </c>
      <c r="AO28">
        <f t="shared" si="20"/>
        <v>0</v>
      </c>
      <c r="AP28">
        <f t="shared" si="21"/>
        <v>0</v>
      </c>
      <c r="AQ28">
        <f t="shared" si="22"/>
        <v>0</v>
      </c>
      <c r="AR28">
        <f t="shared" si="23"/>
        <v>0</v>
      </c>
      <c r="AS28">
        <f t="shared" si="24"/>
        <v>0</v>
      </c>
      <c r="AT28" s="1">
        <f t="shared" si="25"/>
        <v>0</v>
      </c>
      <c r="AU28" s="1">
        <f t="shared" si="26"/>
        <v>0</v>
      </c>
      <c r="AV28">
        <f t="shared" si="27"/>
        <v>0</v>
      </c>
      <c r="AW28">
        <f t="shared" si="28"/>
        <v>0</v>
      </c>
      <c r="AX28">
        <f t="shared" si="29"/>
        <v>0</v>
      </c>
      <c r="AY28">
        <f t="shared" si="30"/>
        <v>0</v>
      </c>
      <c r="AZ28">
        <f t="shared" si="31"/>
        <v>0</v>
      </c>
      <c r="BA28">
        <f t="shared" si="32"/>
        <v>0</v>
      </c>
      <c r="BB28">
        <f t="shared" si="33"/>
        <v>0</v>
      </c>
      <c r="BC28">
        <f t="shared" si="34"/>
        <v>0</v>
      </c>
      <c r="BD28">
        <f t="shared" si="35"/>
        <v>0</v>
      </c>
    </row>
    <row r="29" spans="1:56" x14ac:dyDescent="0.25">
      <c r="A29" s="1">
        <v>12</v>
      </c>
      <c r="B29" s="2">
        <v>0</v>
      </c>
      <c r="C29" s="2">
        <v>0</v>
      </c>
      <c r="D29" s="2">
        <v>0</v>
      </c>
      <c r="E29" s="2">
        <v>0</v>
      </c>
      <c r="F29" s="1">
        <f t="shared" si="36"/>
        <v>0</v>
      </c>
      <c r="G29" s="1">
        <f t="shared" si="37"/>
        <v>0</v>
      </c>
      <c r="H29" s="1">
        <f t="shared" si="38"/>
        <v>0</v>
      </c>
      <c r="I29" s="1">
        <f t="shared" si="39"/>
        <v>0</v>
      </c>
      <c r="J29" s="1">
        <f t="shared" si="40"/>
        <v>0</v>
      </c>
      <c r="K29" s="1">
        <f t="shared" si="41"/>
        <v>0</v>
      </c>
      <c r="L29" s="1">
        <f t="shared" si="42"/>
        <v>0</v>
      </c>
      <c r="M29" s="1">
        <f t="shared" si="43"/>
        <v>0</v>
      </c>
      <c r="N29" s="1">
        <f t="shared" si="44"/>
        <v>0</v>
      </c>
      <c r="O29" s="1">
        <f t="shared" si="45"/>
        <v>-0.64772727272727271</v>
      </c>
      <c r="P29" s="1">
        <f t="shared" si="46"/>
        <v>-3.1477272727272729</v>
      </c>
      <c r="Q29" s="1">
        <f t="shared" si="47"/>
        <v>0</v>
      </c>
      <c r="R29" s="1">
        <f t="shared" si="2"/>
        <v>0</v>
      </c>
      <c r="S29" s="1">
        <f t="shared" si="48"/>
        <v>0</v>
      </c>
      <c r="T29" s="7">
        <f t="shared" si="49"/>
        <v>-0.64772727272727271</v>
      </c>
      <c r="U29" s="7">
        <f t="shared" si="50"/>
        <v>-3.1477272727272729</v>
      </c>
      <c r="V29" s="7">
        <f t="shared" si="51"/>
        <v>-0.64772727272727271</v>
      </c>
      <c r="W29" s="7">
        <f t="shared" si="52"/>
        <v>-3.1477272727272729</v>
      </c>
      <c r="X29" s="1">
        <f t="shared" si="3"/>
        <v>0</v>
      </c>
      <c r="Y29" s="1">
        <f t="shared" si="4"/>
        <v>0</v>
      </c>
      <c r="Z29">
        <f t="shared" si="5"/>
        <v>0</v>
      </c>
      <c r="AA29">
        <f t="shared" si="6"/>
        <v>0</v>
      </c>
      <c r="AB29">
        <f t="shared" si="7"/>
        <v>0</v>
      </c>
      <c r="AC29">
        <f t="shared" si="8"/>
        <v>0</v>
      </c>
      <c r="AD29">
        <f t="shared" si="9"/>
        <v>0</v>
      </c>
      <c r="AE29">
        <f t="shared" si="10"/>
        <v>0</v>
      </c>
      <c r="AF29">
        <f t="shared" si="11"/>
        <v>0</v>
      </c>
      <c r="AG29">
        <f t="shared" si="12"/>
        <v>0</v>
      </c>
      <c r="AH29">
        <f t="shared" si="13"/>
        <v>0</v>
      </c>
      <c r="AI29" s="1">
        <f t="shared" si="14"/>
        <v>0</v>
      </c>
      <c r="AJ29" s="1">
        <f t="shared" si="15"/>
        <v>0</v>
      </c>
      <c r="AK29">
        <f t="shared" si="16"/>
        <v>0</v>
      </c>
      <c r="AL29">
        <f t="shared" si="17"/>
        <v>0</v>
      </c>
      <c r="AM29">
        <f t="shared" si="18"/>
        <v>0</v>
      </c>
      <c r="AN29">
        <f t="shared" si="19"/>
        <v>0</v>
      </c>
      <c r="AO29">
        <f t="shared" si="20"/>
        <v>0</v>
      </c>
      <c r="AP29">
        <f t="shared" si="21"/>
        <v>0</v>
      </c>
      <c r="AQ29">
        <f t="shared" si="22"/>
        <v>0</v>
      </c>
      <c r="AR29">
        <f t="shared" si="23"/>
        <v>0</v>
      </c>
      <c r="AS29">
        <f t="shared" si="24"/>
        <v>0</v>
      </c>
      <c r="AT29" s="1">
        <f t="shared" si="25"/>
        <v>0</v>
      </c>
      <c r="AU29" s="1">
        <f t="shared" si="26"/>
        <v>0</v>
      </c>
      <c r="AV29">
        <f t="shared" si="27"/>
        <v>0</v>
      </c>
      <c r="AW29">
        <f t="shared" si="28"/>
        <v>0</v>
      </c>
      <c r="AX29">
        <f t="shared" si="29"/>
        <v>0</v>
      </c>
      <c r="AY29">
        <f t="shared" si="30"/>
        <v>0</v>
      </c>
      <c r="AZ29">
        <f t="shared" si="31"/>
        <v>0</v>
      </c>
      <c r="BA29">
        <f t="shared" si="32"/>
        <v>0</v>
      </c>
      <c r="BB29">
        <f t="shared" si="33"/>
        <v>0</v>
      </c>
      <c r="BC29">
        <f t="shared" si="34"/>
        <v>0</v>
      </c>
      <c r="BD29">
        <f t="shared" si="35"/>
        <v>0</v>
      </c>
    </row>
    <row r="30" spans="1:56" x14ac:dyDescent="0.25">
      <c r="A30" s="1">
        <v>13</v>
      </c>
      <c r="B30" s="2">
        <v>0</v>
      </c>
      <c r="C30" s="2">
        <v>0</v>
      </c>
      <c r="D30" s="2">
        <v>0</v>
      </c>
      <c r="E30" s="2">
        <v>0</v>
      </c>
      <c r="F30" s="1">
        <f t="shared" si="36"/>
        <v>0</v>
      </c>
      <c r="G30" s="1">
        <f t="shared" si="37"/>
        <v>0</v>
      </c>
      <c r="H30" s="1">
        <f t="shared" si="38"/>
        <v>0</v>
      </c>
      <c r="I30" s="1">
        <f t="shared" si="39"/>
        <v>0</v>
      </c>
      <c r="J30" s="1">
        <f t="shared" si="40"/>
        <v>0</v>
      </c>
      <c r="K30" s="1">
        <f t="shared" si="41"/>
        <v>0</v>
      </c>
      <c r="L30" s="1">
        <f t="shared" si="42"/>
        <v>0</v>
      </c>
      <c r="M30" s="1">
        <f t="shared" si="43"/>
        <v>0</v>
      </c>
      <c r="N30" s="1">
        <f t="shared" si="44"/>
        <v>0</v>
      </c>
      <c r="O30" s="1">
        <f t="shared" si="45"/>
        <v>-0.64772727272727271</v>
      </c>
      <c r="P30" s="1">
        <f t="shared" si="46"/>
        <v>-3.1477272727272729</v>
      </c>
      <c r="Q30" s="1">
        <f t="shared" si="47"/>
        <v>0</v>
      </c>
      <c r="R30" s="1">
        <f t="shared" si="2"/>
        <v>0</v>
      </c>
      <c r="S30" s="1">
        <f t="shared" si="48"/>
        <v>0</v>
      </c>
      <c r="T30" s="7">
        <f t="shared" si="49"/>
        <v>-0.64772727272727271</v>
      </c>
      <c r="U30" s="7">
        <f t="shared" si="50"/>
        <v>-3.1477272727272729</v>
      </c>
      <c r="V30" s="7">
        <f t="shared" si="51"/>
        <v>-0.64772727272727271</v>
      </c>
      <c r="W30" s="7">
        <f t="shared" si="52"/>
        <v>-3.1477272727272729</v>
      </c>
      <c r="X30" s="1">
        <f t="shared" si="3"/>
        <v>0</v>
      </c>
      <c r="Y30" s="1">
        <f t="shared" si="4"/>
        <v>0</v>
      </c>
      <c r="Z30">
        <f t="shared" si="5"/>
        <v>0</v>
      </c>
      <c r="AA30">
        <f t="shared" si="6"/>
        <v>0</v>
      </c>
      <c r="AB30">
        <f t="shared" si="7"/>
        <v>0</v>
      </c>
      <c r="AC30">
        <f t="shared" si="8"/>
        <v>0</v>
      </c>
      <c r="AD30">
        <f t="shared" si="9"/>
        <v>0</v>
      </c>
      <c r="AE30">
        <f t="shared" si="10"/>
        <v>0</v>
      </c>
      <c r="AF30">
        <f t="shared" si="11"/>
        <v>0</v>
      </c>
      <c r="AG30">
        <f t="shared" si="12"/>
        <v>0</v>
      </c>
      <c r="AH30">
        <f t="shared" si="13"/>
        <v>0</v>
      </c>
      <c r="AI30" s="1">
        <f t="shared" si="14"/>
        <v>0</v>
      </c>
      <c r="AJ30" s="1">
        <f t="shared" si="15"/>
        <v>0</v>
      </c>
      <c r="AK30">
        <f t="shared" si="16"/>
        <v>0</v>
      </c>
      <c r="AL30">
        <f t="shared" si="17"/>
        <v>0</v>
      </c>
      <c r="AM30">
        <f t="shared" si="18"/>
        <v>0</v>
      </c>
      <c r="AN30">
        <f t="shared" si="19"/>
        <v>0</v>
      </c>
      <c r="AO30">
        <f t="shared" si="20"/>
        <v>0</v>
      </c>
      <c r="AP30">
        <f t="shared" si="21"/>
        <v>0</v>
      </c>
      <c r="AQ30">
        <f t="shared" si="22"/>
        <v>0</v>
      </c>
      <c r="AR30">
        <f t="shared" si="23"/>
        <v>0</v>
      </c>
      <c r="AS30">
        <f t="shared" si="24"/>
        <v>0</v>
      </c>
      <c r="AT30" s="1">
        <f t="shared" si="25"/>
        <v>0</v>
      </c>
      <c r="AU30" s="1">
        <f t="shared" si="26"/>
        <v>0</v>
      </c>
      <c r="AV30">
        <f t="shared" si="27"/>
        <v>0</v>
      </c>
      <c r="AW30">
        <f t="shared" si="28"/>
        <v>0</v>
      </c>
      <c r="AX30">
        <f t="shared" si="29"/>
        <v>0</v>
      </c>
      <c r="AY30">
        <f t="shared" si="30"/>
        <v>0</v>
      </c>
      <c r="AZ30">
        <f t="shared" si="31"/>
        <v>0</v>
      </c>
      <c r="BA30">
        <f t="shared" si="32"/>
        <v>0</v>
      </c>
      <c r="BB30">
        <f t="shared" si="33"/>
        <v>0</v>
      </c>
      <c r="BC30">
        <f t="shared" si="34"/>
        <v>0</v>
      </c>
      <c r="BD30">
        <f t="shared" si="35"/>
        <v>0</v>
      </c>
    </row>
    <row r="31" spans="1:56" x14ac:dyDescent="0.25">
      <c r="A31" s="1">
        <v>14</v>
      </c>
      <c r="B31" s="2">
        <v>0</v>
      </c>
      <c r="C31" s="2">
        <v>0</v>
      </c>
      <c r="D31" s="2">
        <v>0</v>
      </c>
      <c r="E31" s="2">
        <v>0</v>
      </c>
      <c r="F31" s="1">
        <f t="shared" si="36"/>
        <v>0</v>
      </c>
      <c r="G31" s="1">
        <f t="shared" si="37"/>
        <v>0</v>
      </c>
      <c r="H31" s="1">
        <f t="shared" si="38"/>
        <v>0</v>
      </c>
      <c r="I31" s="1">
        <f t="shared" si="39"/>
        <v>0</v>
      </c>
      <c r="J31" s="1">
        <f t="shared" si="40"/>
        <v>0</v>
      </c>
      <c r="K31" s="1">
        <f t="shared" si="41"/>
        <v>0</v>
      </c>
      <c r="L31" s="1">
        <f t="shared" si="42"/>
        <v>0</v>
      </c>
      <c r="M31" s="1">
        <f t="shared" si="43"/>
        <v>0</v>
      </c>
      <c r="N31" s="1">
        <f t="shared" si="44"/>
        <v>0</v>
      </c>
      <c r="O31" s="1">
        <f t="shared" si="45"/>
        <v>-0.64772727272727271</v>
      </c>
      <c r="P31" s="1">
        <f t="shared" si="46"/>
        <v>-3.1477272727272729</v>
      </c>
      <c r="Q31" s="1">
        <f t="shared" si="47"/>
        <v>0</v>
      </c>
      <c r="R31" s="1">
        <f t="shared" si="2"/>
        <v>0</v>
      </c>
      <c r="S31" s="1">
        <f t="shared" si="48"/>
        <v>0</v>
      </c>
      <c r="T31" s="7">
        <f t="shared" si="49"/>
        <v>-0.64772727272727271</v>
      </c>
      <c r="U31" s="7">
        <f t="shared" si="50"/>
        <v>-3.1477272727272729</v>
      </c>
      <c r="V31" s="7">
        <f t="shared" si="51"/>
        <v>-0.64772727272727271</v>
      </c>
      <c r="W31" s="7">
        <f t="shared" si="52"/>
        <v>-3.1477272727272729</v>
      </c>
      <c r="X31" s="1">
        <f t="shared" si="3"/>
        <v>0</v>
      </c>
      <c r="Y31" s="1">
        <f t="shared" si="4"/>
        <v>0</v>
      </c>
      <c r="Z31">
        <f t="shared" si="5"/>
        <v>0</v>
      </c>
      <c r="AA31">
        <f t="shared" si="6"/>
        <v>0</v>
      </c>
      <c r="AB31">
        <f t="shared" si="7"/>
        <v>0</v>
      </c>
      <c r="AC31">
        <f t="shared" si="8"/>
        <v>0</v>
      </c>
      <c r="AD31">
        <f t="shared" si="9"/>
        <v>0</v>
      </c>
      <c r="AE31">
        <f t="shared" si="10"/>
        <v>0</v>
      </c>
      <c r="AF31">
        <f t="shared" si="11"/>
        <v>0</v>
      </c>
      <c r="AG31">
        <f t="shared" si="12"/>
        <v>0</v>
      </c>
      <c r="AH31">
        <f t="shared" si="13"/>
        <v>0</v>
      </c>
      <c r="AI31" s="1">
        <f t="shared" si="14"/>
        <v>0</v>
      </c>
      <c r="AJ31" s="1">
        <f t="shared" si="15"/>
        <v>0</v>
      </c>
      <c r="AK31">
        <f t="shared" si="16"/>
        <v>0</v>
      </c>
      <c r="AL31">
        <f t="shared" si="17"/>
        <v>0</v>
      </c>
      <c r="AM31">
        <f t="shared" si="18"/>
        <v>0</v>
      </c>
      <c r="AN31">
        <f t="shared" si="19"/>
        <v>0</v>
      </c>
      <c r="AO31">
        <f t="shared" si="20"/>
        <v>0</v>
      </c>
      <c r="AP31">
        <f t="shared" si="21"/>
        <v>0</v>
      </c>
      <c r="AQ31">
        <f t="shared" si="22"/>
        <v>0</v>
      </c>
      <c r="AR31">
        <f t="shared" si="23"/>
        <v>0</v>
      </c>
      <c r="AS31">
        <f t="shared" si="24"/>
        <v>0</v>
      </c>
      <c r="AT31" s="1">
        <f t="shared" si="25"/>
        <v>0</v>
      </c>
      <c r="AU31" s="1">
        <f t="shared" si="26"/>
        <v>0</v>
      </c>
      <c r="AV31">
        <f t="shared" si="27"/>
        <v>0</v>
      </c>
      <c r="AW31">
        <f t="shared" si="28"/>
        <v>0</v>
      </c>
      <c r="AX31">
        <f t="shared" si="29"/>
        <v>0</v>
      </c>
      <c r="AY31">
        <f t="shared" si="30"/>
        <v>0</v>
      </c>
      <c r="AZ31">
        <f t="shared" si="31"/>
        <v>0</v>
      </c>
      <c r="BA31">
        <f t="shared" si="32"/>
        <v>0</v>
      </c>
      <c r="BB31">
        <f t="shared" si="33"/>
        <v>0</v>
      </c>
      <c r="BC31">
        <f t="shared" si="34"/>
        <v>0</v>
      </c>
      <c r="BD31">
        <f t="shared" si="35"/>
        <v>0</v>
      </c>
    </row>
    <row r="32" spans="1:56" x14ac:dyDescent="0.25">
      <c r="A32" s="1">
        <v>15</v>
      </c>
      <c r="B32" s="2">
        <v>0</v>
      </c>
      <c r="C32" s="2">
        <v>0</v>
      </c>
      <c r="D32" s="2">
        <v>0</v>
      </c>
      <c r="E32" s="2">
        <v>0</v>
      </c>
      <c r="F32" s="1">
        <f t="shared" si="36"/>
        <v>0</v>
      </c>
      <c r="G32" s="1">
        <f t="shared" si="37"/>
        <v>0</v>
      </c>
      <c r="H32" s="1">
        <f t="shared" si="38"/>
        <v>0</v>
      </c>
      <c r="I32" s="1">
        <f t="shared" si="39"/>
        <v>0</v>
      </c>
      <c r="J32" s="1">
        <f t="shared" si="40"/>
        <v>0</v>
      </c>
      <c r="K32" s="1">
        <f t="shared" si="41"/>
        <v>0</v>
      </c>
      <c r="L32" s="1">
        <f t="shared" si="42"/>
        <v>0</v>
      </c>
      <c r="M32" s="1">
        <f t="shared" si="43"/>
        <v>0</v>
      </c>
      <c r="N32" s="1">
        <f t="shared" si="44"/>
        <v>0</v>
      </c>
      <c r="O32" s="1">
        <f t="shared" si="45"/>
        <v>-0.64772727272727271</v>
      </c>
      <c r="P32" s="1">
        <f t="shared" si="46"/>
        <v>-3.1477272727272729</v>
      </c>
      <c r="Q32" s="1">
        <f t="shared" si="47"/>
        <v>0</v>
      </c>
      <c r="R32" s="1">
        <f t="shared" si="2"/>
        <v>0</v>
      </c>
      <c r="S32" s="1">
        <f t="shared" si="48"/>
        <v>0</v>
      </c>
      <c r="T32" s="7">
        <f t="shared" si="49"/>
        <v>-0.64772727272727271</v>
      </c>
      <c r="U32" s="7">
        <f t="shared" si="50"/>
        <v>-3.1477272727272729</v>
      </c>
      <c r="V32" s="7">
        <f t="shared" si="51"/>
        <v>-0.64772727272727271</v>
      </c>
      <c r="W32" s="7">
        <f t="shared" si="52"/>
        <v>-3.1477272727272729</v>
      </c>
      <c r="X32" s="1">
        <f t="shared" si="3"/>
        <v>0</v>
      </c>
      <c r="Y32" s="1">
        <f t="shared" si="4"/>
        <v>0</v>
      </c>
      <c r="Z32">
        <f t="shared" si="5"/>
        <v>0</v>
      </c>
      <c r="AA32">
        <f t="shared" si="6"/>
        <v>0</v>
      </c>
      <c r="AB32">
        <f t="shared" si="7"/>
        <v>0</v>
      </c>
      <c r="AC32">
        <f t="shared" si="8"/>
        <v>0</v>
      </c>
      <c r="AD32">
        <f t="shared" si="9"/>
        <v>0</v>
      </c>
      <c r="AE32">
        <f t="shared" si="10"/>
        <v>0</v>
      </c>
      <c r="AF32">
        <f t="shared" si="11"/>
        <v>0</v>
      </c>
      <c r="AG32">
        <f t="shared" si="12"/>
        <v>0</v>
      </c>
      <c r="AH32">
        <f t="shared" si="13"/>
        <v>0</v>
      </c>
      <c r="AI32" s="1">
        <f t="shared" si="14"/>
        <v>0</v>
      </c>
      <c r="AJ32" s="1">
        <f t="shared" si="15"/>
        <v>0</v>
      </c>
      <c r="AK32">
        <f t="shared" si="16"/>
        <v>0</v>
      </c>
      <c r="AL32">
        <f t="shared" si="17"/>
        <v>0</v>
      </c>
      <c r="AM32">
        <f t="shared" si="18"/>
        <v>0</v>
      </c>
      <c r="AN32">
        <f t="shared" si="19"/>
        <v>0</v>
      </c>
      <c r="AO32">
        <f t="shared" si="20"/>
        <v>0</v>
      </c>
      <c r="AP32">
        <f t="shared" si="21"/>
        <v>0</v>
      </c>
      <c r="AQ32">
        <f t="shared" si="22"/>
        <v>0</v>
      </c>
      <c r="AR32">
        <f t="shared" si="23"/>
        <v>0</v>
      </c>
      <c r="AS32">
        <f t="shared" si="24"/>
        <v>0</v>
      </c>
      <c r="AT32" s="1">
        <f t="shared" si="25"/>
        <v>0</v>
      </c>
      <c r="AU32" s="1">
        <f t="shared" si="26"/>
        <v>0</v>
      </c>
      <c r="AV32">
        <f t="shared" si="27"/>
        <v>0</v>
      </c>
      <c r="AW32">
        <f t="shared" si="28"/>
        <v>0</v>
      </c>
      <c r="AX32">
        <f t="shared" si="29"/>
        <v>0</v>
      </c>
      <c r="AY32">
        <f t="shared" si="30"/>
        <v>0</v>
      </c>
      <c r="AZ32">
        <f t="shared" si="31"/>
        <v>0</v>
      </c>
      <c r="BA32">
        <f t="shared" si="32"/>
        <v>0</v>
      </c>
      <c r="BB32">
        <f t="shared" si="33"/>
        <v>0</v>
      </c>
      <c r="BC32">
        <f t="shared" si="34"/>
        <v>0</v>
      </c>
      <c r="BD32">
        <f t="shared" si="35"/>
        <v>0</v>
      </c>
    </row>
    <row r="33" spans="1:56" x14ac:dyDescent="0.25">
      <c r="A33" s="1">
        <v>16</v>
      </c>
      <c r="B33" s="2">
        <v>0</v>
      </c>
      <c r="C33" s="2">
        <v>0</v>
      </c>
      <c r="D33" s="2">
        <v>0</v>
      </c>
      <c r="E33" s="2">
        <v>0</v>
      </c>
      <c r="F33" s="1">
        <f t="shared" si="36"/>
        <v>0</v>
      </c>
      <c r="G33" s="1">
        <f t="shared" si="37"/>
        <v>0</v>
      </c>
      <c r="H33" s="1">
        <f t="shared" si="38"/>
        <v>0</v>
      </c>
      <c r="I33" s="1">
        <f t="shared" si="39"/>
        <v>0</v>
      </c>
      <c r="J33" s="1">
        <f t="shared" si="40"/>
        <v>0</v>
      </c>
      <c r="K33" s="1">
        <f t="shared" si="41"/>
        <v>0</v>
      </c>
      <c r="L33" s="1">
        <f t="shared" si="42"/>
        <v>0</v>
      </c>
      <c r="M33" s="1">
        <f t="shared" si="43"/>
        <v>0</v>
      </c>
      <c r="N33" s="1">
        <f t="shared" si="44"/>
        <v>0</v>
      </c>
      <c r="O33" s="1">
        <f t="shared" si="45"/>
        <v>-0.64772727272727271</v>
      </c>
      <c r="P33" s="1">
        <f t="shared" si="46"/>
        <v>-3.1477272727272729</v>
      </c>
      <c r="Q33" s="1">
        <f t="shared" si="47"/>
        <v>0</v>
      </c>
      <c r="R33" s="1">
        <f t="shared" si="2"/>
        <v>0</v>
      </c>
      <c r="S33" s="1">
        <f t="shared" si="48"/>
        <v>0</v>
      </c>
      <c r="T33" s="7">
        <f t="shared" si="49"/>
        <v>-0.64772727272727271</v>
      </c>
      <c r="U33" s="7">
        <f t="shared" si="50"/>
        <v>-3.1477272727272729</v>
      </c>
      <c r="V33" s="7">
        <f t="shared" si="51"/>
        <v>-0.64772727272727271</v>
      </c>
      <c r="W33" s="7">
        <f t="shared" si="52"/>
        <v>-3.1477272727272729</v>
      </c>
      <c r="X33" s="1">
        <f t="shared" si="3"/>
        <v>0</v>
      </c>
      <c r="Y33" s="1">
        <f t="shared" si="4"/>
        <v>0</v>
      </c>
      <c r="Z33">
        <f t="shared" si="5"/>
        <v>0</v>
      </c>
      <c r="AA33">
        <f t="shared" si="6"/>
        <v>0</v>
      </c>
      <c r="AB33">
        <f t="shared" si="7"/>
        <v>0</v>
      </c>
      <c r="AC33">
        <f t="shared" si="8"/>
        <v>0</v>
      </c>
      <c r="AD33">
        <f t="shared" si="9"/>
        <v>0</v>
      </c>
      <c r="AE33">
        <f t="shared" si="10"/>
        <v>0</v>
      </c>
      <c r="AF33">
        <f t="shared" si="11"/>
        <v>0</v>
      </c>
      <c r="AG33">
        <f t="shared" si="12"/>
        <v>0</v>
      </c>
      <c r="AH33">
        <f t="shared" si="13"/>
        <v>0</v>
      </c>
      <c r="AI33" s="1">
        <f t="shared" si="14"/>
        <v>0</v>
      </c>
      <c r="AJ33" s="1">
        <f t="shared" si="15"/>
        <v>0</v>
      </c>
      <c r="AK33">
        <f t="shared" si="16"/>
        <v>0</v>
      </c>
      <c r="AL33">
        <f t="shared" si="17"/>
        <v>0</v>
      </c>
      <c r="AM33">
        <f t="shared" si="18"/>
        <v>0</v>
      </c>
      <c r="AN33">
        <f t="shared" si="19"/>
        <v>0</v>
      </c>
      <c r="AO33">
        <f t="shared" si="20"/>
        <v>0</v>
      </c>
      <c r="AP33">
        <f t="shared" si="21"/>
        <v>0</v>
      </c>
      <c r="AQ33">
        <f t="shared" si="22"/>
        <v>0</v>
      </c>
      <c r="AR33">
        <f t="shared" si="23"/>
        <v>0</v>
      </c>
      <c r="AS33">
        <f t="shared" si="24"/>
        <v>0</v>
      </c>
      <c r="AT33" s="1">
        <f t="shared" si="25"/>
        <v>0</v>
      </c>
      <c r="AU33" s="1">
        <f t="shared" si="26"/>
        <v>0</v>
      </c>
      <c r="AV33">
        <f t="shared" si="27"/>
        <v>0</v>
      </c>
      <c r="AW33">
        <f t="shared" si="28"/>
        <v>0</v>
      </c>
      <c r="AX33">
        <f t="shared" si="29"/>
        <v>0</v>
      </c>
      <c r="AY33">
        <f t="shared" si="30"/>
        <v>0</v>
      </c>
      <c r="AZ33">
        <f t="shared" si="31"/>
        <v>0</v>
      </c>
      <c r="BA33">
        <f t="shared" si="32"/>
        <v>0</v>
      </c>
      <c r="BB33">
        <f t="shared" si="33"/>
        <v>0</v>
      </c>
      <c r="BC33">
        <f t="shared" si="34"/>
        <v>0</v>
      </c>
      <c r="BD33">
        <f t="shared" si="35"/>
        <v>0</v>
      </c>
    </row>
    <row r="34" spans="1:56" x14ac:dyDescent="0.25">
      <c r="A34" s="1">
        <v>17</v>
      </c>
      <c r="B34" s="2">
        <v>0</v>
      </c>
      <c r="C34" s="2">
        <v>0</v>
      </c>
      <c r="D34" s="2">
        <v>0</v>
      </c>
      <c r="E34" s="2">
        <v>0</v>
      </c>
      <c r="F34" s="1">
        <f t="shared" si="36"/>
        <v>0</v>
      </c>
      <c r="G34" s="1">
        <f t="shared" si="37"/>
        <v>0</v>
      </c>
      <c r="H34" s="1">
        <f t="shared" si="38"/>
        <v>0</v>
      </c>
      <c r="I34" s="1">
        <f t="shared" si="39"/>
        <v>0</v>
      </c>
      <c r="J34" s="1">
        <f t="shared" si="40"/>
        <v>0</v>
      </c>
      <c r="K34" s="1">
        <f t="shared" si="41"/>
        <v>0</v>
      </c>
      <c r="L34" s="1">
        <f t="shared" si="42"/>
        <v>0</v>
      </c>
      <c r="M34" s="1">
        <f t="shared" si="43"/>
        <v>0</v>
      </c>
      <c r="N34" s="1">
        <f t="shared" si="44"/>
        <v>0</v>
      </c>
      <c r="O34" s="1">
        <f t="shared" si="45"/>
        <v>-0.64772727272727271</v>
      </c>
      <c r="P34" s="1">
        <f t="shared" si="46"/>
        <v>-3.1477272727272729</v>
      </c>
      <c r="Q34" s="1">
        <f t="shared" si="47"/>
        <v>0</v>
      </c>
      <c r="R34" s="1">
        <f t="shared" si="2"/>
        <v>0</v>
      </c>
      <c r="S34" s="1">
        <f t="shared" si="48"/>
        <v>0</v>
      </c>
      <c r="T34" s="7">
        <f t="shared" si="49"/>
        <v>-0.64772727272727271</v>
      </c>
      <c r="U34" s="7">
        <f t="shared" si="50"/>
        <v>-3.1477272727272729</v>
      </c>
      <c r="V34" s="7">
        <f t="shared" si="51"/>
        <v>-0.64772727272727271</v>
      </c>
      <c r="W34" s="7">
        <f t="shared" si="52"/>
        <v>-3.1477272727272729</v>
      </c>
      <c r="X34" s="1">
        <f t="shared" si="3"/>
        <v>0</v>
      </c>
      <c r="Y34" s="1">
        <f t="shared" si="4"/>
        <v>0</v>
      </c>
      <c r="Z34">
        <f t="shared" si="5"/>
        <v>0</v>
      </c>
      <c r="AA34">
        <f t="shared" si="6"/>
        <v>0</v>
      </c>
      <c r="AB34">
        <f t="shared" si="7"/>
        <v>0</v>
      </c>
      <c r="AC34">
        <f t="shared" si="8"/>
        <v>0</v>
      </c>
      <c r="AD34">
        <f t="shared" si="9"/>
        <v>0</v>
      </c>
      <c r="AE34">
        <f t="shared" si="10"/>
        <v>0</v>
      </c>
      <c r="AF34">
        <f t="shared" si="11"/>
        <v>0</v>
      </c>
      <c r="AG34">
        <f t="shared" si="12"/>
        <v>0</v>
      </c>
      <c r="AH34">
        <f t="shared" si="13"/>
        <v>0</v>
      </c>
      <c r="AI34" s="1">
        <f t="shared" si="14"/>
        <v>0</v>
      </c>
      <c r="AJ34" s="1">
        <f t="shared" si="15"/>
        <v>0</v>
      </c>
      <c r="AK34">
        <f t="shared" si="16"/>
        <v>0</v>
      </c>
      <c r="AL34">
        <f t="shared" si="17"/>
        <v>0</v>
      </c>
      <c r="AM34">
        <f t="shared" si="18"/>
        <v>0</v>
      </c>
      <c r="AN34">
        <f t="shared" si="19"/>
        <v>0</v>
      </c>
      <c r="AO34">
        <f t="shared" si="20"/>
        <v>0</v>
      </c>
      <c r="AP34">
        <f t="shared" si="21"/>
        <v>0</v>
      </c>
      <c r="AQ34">
        <f t="shared" si="22"/>
        <v>0</v>
      </c>
      <c r="AR34">
        <f t="shared" si="23"/>
        <v>0</v>
      </c>
      <c r="AS34">
        <f t="shared" si="24"/>
        <v>0</v>
      </c>
      <c r="AT34" s="1">
        <f t="shared" si="25"/>
        <v>0</v>
      </c>
      <c r="AU34" s="1">
        <f t="shared" si="26"/>
        <v>0</v>
      </c>
      <c r="AV34">
        <f t="shared" si="27"/>
        <v>0</v>
      </c>
      <c r="AW34">
        <f t="shared" si="28"/>
        <v>0</v>
      </c>
      <c r="AX34">
        <f t="shared" si="29"/>
        <v>0</v>
      </c>
      <c r="AY34">
        <f t="shared" si="30"/>
        <v>0</v>
      </c>
      <c r="AZ34">
        <f t="shared" si="31"/>
        <v>0</v>
      </c>
      <c r="BA34">
        <f t="shared" si="32"/>
        <v>0</v>
      </c>
      <c r="BB34">
        <f t="shared" si="33"/>
        <v>0</v>
      </c>
      <c r="BC34">
        <f t="shared" si="34"/>
        <v>0</v>
      </c>
      <c r="BD34">
        <f t="shared" si="35"/>
        <v>0</v>
      </c>
    </row>
    <row r="35" spans="1:56" x14ac:dyDescent="0.25">
      <c r="A35" s="1">
        <v>18</v>
      </c>
      <c r="B35" s="2">
        <v>0</v>
      </c>
      <c r="C35" s="2">
        <v>0</v>
      </c>
      <c r="D35" s="2">
        <v>0</v>
      </c>
      <c r="E35" s="2">
        <v>0</v>
      </c>
      <c r="F35" s="1">
        <f t="shared" si="36"/>
        <v>0</v>
      </c>
      <c r="G35" s="1">
        <f t="shared" si="37"/>
        <v>0</v>
      </c>
      <c r="H35" s="1">
        <f t="shared" si="38"/>
        <v>0</v>
      </c>
      <c r="I35" s="1">
        <f t="shared" si="39"/>
        <v>0</v>
      </c>
      <c r="J35" s="1">
        <f t="shared" si="40"/>
        <v>0</v>
      </c>
      <c r="K35" s="1">
        <f t="shared" si="41"/>
        <v>0</v>
      </c>
      <c r="L35" s="1">
        <f t="shared" si="42"/>
        <v>0</v>
      </c>
      <c r="M35" s="1">
        <f t="shared" si="43"/>
        <v>0</v>
      </c>
      <c r="N35" s="1">
        <f t="shared" si="44"/>
        <v>0</v>
      </c>
      <c r="O35" s="1">
        <f t="shared" si="45"/>
        <v>-0.64772727272727271</v>
      </c>
      <c r="P35" s="1">
        <f t="shared" si="46"/>
        <v>-3.1477272727272729</v>
      </c>
      <c r="Q35" s="1">
        <f t="shared" si="47"/>
        <v>0</v>
      </c>
      <c r="R35" s="1">
        <f t="shared" si="2"/>
        <v>0</v>
      </c>
      <c r="S35" s="1">
        <f t="shared" si="48"/>
        <v>0</v>
      </c>
      <c r="T35" s="7">
        <f t="shared" si="49"/>
        <v>-0.64772727272727271</v>
      </c>
      <c r="U35" s="7">
        <f t="shared" si="50"/>
        <v>-3.1477272727272729</v>
      </c>
      <c r="V35" s="7">
        <f t="shared" si="51"/>
        <v>-0.64772727272727271</v>
      </c>
      <c r="W35" s="7">
        <f t="shared" si="52"/>
        <v>-3.1477272727272729</v>
      </c>
      <c r="X35" s="1">
        <f t="shared" si="3"/>
        <v>0</v>
      </c>
      <c r="Y35" s="1">
        <f t="shared" si="4"/>
        <v>0</v>
      </c>
      <c r="Z35">
        <f t="shared" si="5"/>
        <v>0</v>
      </c>
      <c r="AA35">
        <f t="shared" si="6"/>
        <v>0</v>
      </c>
      <c r="AB35">
        <f t="shared" si="7"/>
        <v>0</v>
      </c>
      <c r="AC35">
        <f t="shared" si="8"/>
        <v>0</v>
      </c>
      <c r="AD35">
        <f t="shared" si="9"/>
        <v>0</v>
      </c>
      <c r="AE35">
        <f t="shared" si="10"/>
        <v>0</v>
      </c>
      <c r="AF35">
        <f t="shared" si="11"/>
        <v>0</v>
      </c>
      <c r="AG35">
        <f t="shared" si="12"/>
        <v>0</v>
      </c>
      <c r="AH35">
        <f t="shared" si="13"/>
        <v>0</v>
      </c>
      <c r="AI35" s="1">
        <f t="shared" si="14"/>
        <v>0</v>
      </c>
      <c r="AJ35" s="1">
        <f t="shared" si="15"/>
        <v>0</v>
      </c>
      <c r="AK35">
        <f t="shared" si="16"/>
        <v>0</v>
      </c>
      <c r="AL35">
        <f t="shared" si="17"/>
        <v>0</v>
      </c>
      <c r="AM35">
        <f t="shared" si="18"/>
        <v>0</v>
      </c>
      <c r="AN35">
        <f t="shared" si="19"/>
        <v>0</v>
      </c>
      <c r="AO35">
        <f t="shared" si="20"/>
        <v>0</v>
      </c>
      <c r="AP35">
        <f t="shared" si="21"/>
        <v>0</v>
      </c>
      <c r="AQ35">
        <f t="shared" si="22"/>
        <v>0</v>
      </c>
      <c r="AR35">
        <f t="shared" si="23"/>
        <v>0</v>
      </c>
      <c r="AS35">
        <f t="shared" si="24"/>
        <v>0</v>
      </c>
      <c r="AT35" s="1">
        <f t="shared" si="25"/>
        <v>0</v>
      </c>
      <c r="AU35" s="1">
        <f t="shared" si="26"/>
        <v>0</v>
      </c>
      <c r="AV35">
        <f t="shared" si="27"/>
        <v>0</v>
      </c>
      <c r="AW35">
        <f t="shared" si="28"/>
        <v>0</v>
      </c>
      <c r="AX35">
        <f t="shared" si="29"/>
        <v>0</v>
      </c>
      <c r="AY35">
        <f t="shared" si="30"/>
        <v>0</v>
      </c>
      <c r="AZ35">
        <f t="shared" si="31"/>
        <v>0</v>
      </c>
      <c r="BA35">
        <f t="shared" si="32"/>
        <v>0</v>
      </c>
      <c r="BB35">
        <f t="shared" si="33"/>
        <v>0</v>
      </c>
      <c r="BC35">
        <f t="shared" si="34"/>
        <v>0</v>
      </c>
      <c r="BD35">
        <f t="shared" si="35"/>
        <v>0</v>
      </c>
    </row>
    <row r="36" spans="1:56" x14ac:dyDescent="0.25">
      <c r="A36" s="1">
        <v>19</v>
      </c>
      <c r="B36" s="2">
        <v>0</v>
      </c>
      <c r="C36" s="2">
        <v>0</v>
      </c>
      <c r="D36" s="2">
        <v>0</v>
      </c>
      <c r="E36" s="2">
        <v>0</v>
      </c>
      <c r="F36" s="1">
        <f t="shared" si="36"/>
        <v>0</v>
      </c>
      <c r="G36" s="1">
        <f t="shared" si="37"/>
        <v>0</v>
      </c>
      <c r="H36" s="1">
        <f t="shared" si="38"/>
        <v>0</v>
      </c>
      <c r="I36" s="1">
        <f t="shared" si="39"/>
        <v>0</v>
      </c>
      <c r="J36" s="1">
        <f t="shared" si="40"/>
        <v>0</v>
      </c>
      <c r="K36" s="1">
        <f t="shared" si="41"/>
        <v>0</v>
      </c>
      <c r="L36" s="1">
        <f t="shared" si="42"/>
        <v>0</v>
      </c>
      <c r="M36" s="1">
        <f t="shared" si="43"/>
        <v>0</v>
      </c>
      <c r="N36" s="1">
        <f t="shared" si="44"/>
        <v>0</v>
      </c>
      <c r="O36" s="1">
        <f t="shared" si="45"/>
        <v>-0.64772727272727271</v>
      </c>
      <c r="P36" s="1">
        <f t="shared" si="46"/>
        <v>-3.1477272727272729</v>
      </c>
      <c r="Q36" s="1">
        <f t="shared" si="47"/>
        <v>0</v>
      </c>
      <c r="R36" s="1">
        <f t="shared" si="2"/>
        <v>0</v>
      </c>
      <c r="S36" s="1">
        <f t="shared" si="48"/>
        <v>0</v>
      </c>
      <c r="T36" s="7">
        <f t="shared" si="49"/>
        <v>-0.64772727272727271</v>
      </c>
      <c r="U36" s="7">
        <f t="shared" si="50"/>
        <v>-3.1477272727272729</v>
      </c>
      <c r="V36" s="7">
        <f t="shared" si="51"/>
        <v>-0.64772727272727271</v>
      </c>
      <c r="W36" s="7">
        <f t="shared" si="52"/>
        <v>-3.1477272727272729</v>
      </c>
      <c r="X36" s="1">
        <f t="shared" si="3"/>
        <v>0</v>
      </c>
      <c r="Y36" s="1">
        <f t="shared" si="4"/>
        <v>0</v>
      </c>
      <c r="Z36">
        <f t="shared" si="5"/>
        <v>0</v>
      </c>
      <c r="AA36">
        <f t="shared" si="6"/>
        <v>0</v>
      </c>
      <c r="AB36">
        <f t="shared" si="7"/>
        <v>0</v>
      </c>
      <c r="AC36">
        <f t="shared" si="8"/>
        <v>0</v>
      </c>
      <c r="AD36">
        <f t="shared" si="9"/>
        <v>0</v>
      </c>
      <c r="AE36">
        <f t="shared" si="10"/>
        <v>0</v>
      </c>
      <c r="AF36">
        <f t="shared" si="11"/>
        <v>0</v>
      </c>
      <c r="AG36">
        <f t="shared" si="12"/>
        <v>0</v>
      </c>
      <c r="AH36">
        <f t="shared" si="13"/>
        <v>0</v>
      </c>
      <c r="AI36" s="1">
        <f t="shared" si="14"/>
        <v>0</v>
      </c>
      <c r="AJ36" s="1">
        <f t="shared" si="15"/>
        <v>0</v>
      </c>
      <c r="AK36">
        <f t="shared" si="16"/>
        <v>0</v>
      </c>
      <c r="AL36">
        <f t="shared" si="17"/>
        <v>0</v>
      </c>
      <c r="AM36">
        <f t="shared" si="18"/>
        <v>0</v>
      </c>
      <c r="AN36">
        <f t="shared" si="19"/>
        <v>0</v>
      </c>
      <c r="AO36">
        <f t="shared" si="20"/>
        <v>0</v>
      </c>
      <c r="AP36">
        <f t="shared" si="21"/>
        <v>0</v>
      </c>
      <c r="AQ36">
        <f t="shared" si="22"/>
        <v>0</v>
      </c>
      <c r="AR36">
        <f t="shared" si="23"/>
        <v>0</v>
      </c>
      <c r="AS36">
        <f t="shared" si="24"/>
        <v>0</v>
      </c>
      <c r="AT36" s="1">
        <f t="shared" si="25"/>
        <v>0</v>
      </c>
      <c r="AU36" s="1">
        <f t="shared" si="26"/>
        <v>0</v>
      </c>
      <c r="AV36">
        <f t="shared" si="27"/>
        <v>0</v>
      </c>
      <c r="AW36">
        <f t="shared" si="28"/>
        <v>0</v>
      </c>
      <c r="AX36">
        <f t="shared" si="29"/>
        <v>0</v>
      </c>
      <c r="AY36">
        <f t="shared" si="30"/>
        <v>0</v>
      </c>
      <c r="AZ36">
        <f t="shared" si="31"/>
        <v>0</v>
      </c>
      <c r="BA36">
        <f t="shared" si="32"/>
        <v>0</v>
      </c>
      <c r="BB36">
        <f t="shared" si="33"/>
        <v>0</v>
      </c>
      <c r="BC36">
        <f t="shared" si="34"/>
        <v>0</v>
      </c>
      <c r="BD36">
        <f t="shared" si="35"/>
        <v>0</v>
      </c>
    </row>
    <row r="37" spans="1:56" x14ac:dyDescent="0.25">
      <c r="A37" s="1">
        <v>20</v>
      </c>
      <c r="B37" s="2">
        <v>0</v>
      </c>
      <c r="C37" s="2">
        <v>0</v>
      </c>
      <c r="D37" s="2">
        <v>0</v>
      </c>
      <c r="E37" s="2">
        <v>0</v>
      </c>
      <c r="F37" s="1">
        <f t="shared" si="36"/>
        <v>0</v>
      </c>
      <c r="G37" s="1">
        <f t="shared" si="37"/>
        <v>0</v>
      </c>
      <c r="H37" s="1">
        <f t="shared" si="38"/>
        <v>0</v>
      </c>
      <c r="I37" s="1">
        <f t="shared" si="39"/>
        <v>0</v>
      </c>
      <c r="J37" s="1">
        <f t="shared" si="40"/>
        <v>0</v>
      </c>
      <c r="K37" s="1">
        <f t="shared" si="41"/>
        <v>0</v>
      </c>
      <c r="L37" s="1">
        <f t="shared" si="42"/>
        <v>0</v>
      </c>
      <c r="M37" s="1">
        <f t="shared" si="43"/>
        <v>0</v>
      </c>
      <c r="N37" s="1">
        <f t="shared" si="44"/>
        <v>0</v>
      </c>
      <c r="O37" s="1">
        <f t="shared" si="45"/>
        <v>-0.64772727272727271</v>
      </c>
      <c r="P37" s="1">
        <f t="shared" si="46"/>
        <v>-3.1477272727272729</v>
      </c>
      <c r="Q37" s="1">
        <f t="shared" si="47"/>
        <v>0</v>
      </c>
      <c r="R37" s="1">
        <f t="shared" si="2"/>
        <v>0</v>
      </c>
      <c r="S37" s="1">
        <f t="shared" si="48"/>
        <v>0</v>
      </c>
      <c r="T37" s="7">
        <f t="shared" si="49"/>
        <v>-0.64772727272727271</v>
      </c>
      <c r="U37" s="7">
        <f t="shared" si="50"/>
        <v>-3.1477272727272729</v>
      </c>
      <c r="V37" s="7">
        <f t="shared" si="51"/>
        <v>-0.64772727272727271</v>
      </c>
      <c r="W37" s="7">
        <f t="shared" si="52"/>
        <v>-3.1477272727272729</v>
      </c>
      <c r="X37" s="1">
        <f t="shared" si="3"/>
        <v>0</v>
      </c>
      <c r="Y37" s="1">
        <f t="shared" si="4"/>
        <v>0</v>
      </c>
      <c r="Z37">
        <f t="shared" si="5"/>
        <v>0</v>
      </c>
      <c r="AA37">
        <f t="shared" si="6"/>
        <v>0</v>
      </c>
      <c r="AB37">
        <f t="shared" si="7"/>
        <v>0</v>
      </c>
      <c r="AC37">
        <f t="shared" si="8"/>
        <v>0</v>
      </c>
      <c r="AD37">
        <f t="shared" si="9"/>
        <v>0</v>
      </c>
      <c r="AE37">
        <f t="shared" si="10"/>
        <v>0</v>
      </c>
      <c r="AF37">
        <f t="shared" si="11"/>
        <v>0</v>
      </c>
      <c r="AG37">
        <f t="shared" si="12"/>
        <v>0</v>
      </c>
      <c r="AH37">
        <f t="shared" si="13"/>
        <v>0</v>
      </c>
      <c r="AI37" s="1">
        <f t="shared" si="14"/>
        <v>0</v>
      </c>
      <c r="AJ37" s="1">
        <f t="shared" si="15"/>
        <v>0</v>
      </c>
      <c r="AK37">
        <f t="shared" si="16"/>
        <v>0</v>
      </c>
      <c r="AL37">
        <f t="shared" si="17"/>
        <v>0</v>
      </c>
      <c r="AM37">
        <f t="shared" si="18"/>
        <v>0</v>
      </c>
      <c r="AN37">
        <f t="shared" si="19"/>
        <v>0</v>
      </c>
      <c r="AO37">
        <f t="shared" si="20"/>
        <v>0</v>
      </c>
      <c r="AP37">
        <f t="shared" si="21"/>
        <v>0</v>
      </c>
      <c r="AQ37">
        <f t="shared" si="22"/>
        <v>0</v>
      </c>
      <c r="AR37">
        <f t="shared" si="23"/>
        <v>0</v>
      </c>
      <c r="AS37">
        <f t="shared" si="24"/>
        <v>0</v>
      </c>
      <c r="AT37" s="1">
        <f t="shared" si="25"/>
        <v>0</v>
      </c>
      <c r="AU37" s="1">
        <f t="shared" si="26"/>
        <v>0</v>
      </c>
      <c r="AV37">
        <f t="shared" si="27"/>
        <v>0</v>
      </c>
      <c r="AW37">
        <f t="shared" si="28"/>
        <v>0</v>
      </c>
      <c r="AX37">
        <f t="shared" si="29"/>
        <v>0</v>
      </c>
      <c r="AY37">
        <f t="shared" si="30"/>
        <v>0</v>
      </c>
      <c r="AZ37">
        <f t="shared" si="31"/>
        <v>0</v>
      </c>
      <c r="BA37">
        <f t="shared" si="32"/>
        <v>0</v>
      </c>
      <c r="BB37">
        <f t="shared" si="33"/>
        <v>0</v>
      </c>
      <c r="BC37">
        <f t="shared" si="34"/>
        <v>0</v>
      </c>
      <c r="BD37">
        <f t="shared" si="35"/>
        <v>0</v>
      </c>
    </row>
    <row r="38" spans="1:56" x14ac:dyDescent="0.25">
      <c r="A38" s="1">
        <v>21</v>
      </c>
      <c r="B38" s="2">
        <v>0</v>
      </c>
      <c r="C38" s="2">
        <v>0</v>
      </c>
      <c r="D38" s="2">
        <v>0</v>
      </c>
      <c r="E38" s="2">
        <v>0</v>
      </c>
      <c r="F38" s="1">
        <f t="shared" si="36"/>
        <v>0</v>
      </c>
      <c r="G38" s="1">
        <f t="shared" si="37"/>
        <v>0</v>
      </c>
      <c r="H38" s="1">
        <f t="shared" si="38"/>
        <v>0</v>
      </c>
      <c r="I38" s="1">
        <f t="shared" si="39"/>
        <v>0</v>
      </c>
      <c r="J38" s="1">
        <f t="shared" si="40"/>
        <v>0</v>
      </c>
      <c r="K38" s="1">
        <f t="shared" si="41"/>
        <v>0</v>
      </c>
      <c r="L38" s="1">
        <f t="shared" si="42"/>
        <v>0</v>
      </c>
      <c r="M38" s="1">
        <f t="shared" si="43"/>
        <v>0</v>
      </c>
      <c r="N38" s="1">
        <f t="shared" si="44"/>
        <v>0</v>
      </c>
      <c r="O38" s="1">
        <f t="shared" si="45"/>
        <v>-0.64772727272727271</v>
      </c>
      <c r="P38" s="1">
        <f t="shared" si="46"/>
        <v>-3.1477272727272729</v>
      </c>
      <c r="Q38" s="1">
        <f t="shared" si="47"/>
        <v>0</v>
      </c>
      <c r="R38" s="1">
        <f t="shared" si="2"/>
        <v>0</v>
      </c>
      <c r="S38" s="1">
        <f t="shared" si="48"/>
        <v>0</v>
      </c>
      <c r="T38" s="7">
        <f t="shared" si="49"/>
        <v>-0.64772727272727271</v>
      </c>
      <c r="U38" s="7">
        <f t="shared" si="50"/>
        <v>-3.1477272727272729</v>
      </c>
      <c r="V38" s="7">
        <f t="shared" si="51"/>
        <v>-0.64772727272727271</v>
      </c>
      <c r="W38" s="7">
        <f t="shared" si="52"/>
        <v>-3.1477272727272729</v>
      </c>
      <c r="X38" s="1">
        <f t="shared" si="3"/>
        <v>0</v>
      </c>
      <c r="Y38" s="1">
        <f t="shared" si="4"/>
        <v>0</v>
      </c>
      <c r="Z38">
        <f t="shared" si="5"/>
        <v>0</v>
      </c>
      <c r="AA38">
        <f t="shared" si="6"/>
        <v>0</v>
      </c>
      <c r="AB38">
        <f t="shared" si="7"/>
        <v>0</v>
      </c>
      <c r="AC38">
        <f t="shared" si="8"/>
        <v>0</v>
      </c>
      <c r="AD38">
        <f t="shared" si="9"/>
        <v>0</v>
      </c>
      <c r="AE38">
        <f t="shared" si="10"/>
        <v>0</v>
      </c>
      <c r="AF38">
        <f t="shared" si="11"/>
        <v>0</v>
      </c>
      <c r="AG38">
        <f t="shared" si="12"/>
        <v>0</v>
      </c>
      <c r="AH38">
        <f t="shared" si="13"/>
        <v>0</v>
      </c>
      <c r="AI38" s="1">
        <f t="shared" si="14"/>
        <v>0</v>
      </c>
      <c r="AJ38" s="1">
        <f t="shared" si="15"/>
        <v>0</v>
      </c>
      <c r="AK38">
        <f t="shared" si="16"/>
        <v>0</v>
      </c>
      <c r="AL38">
        <f t="shared" si="17"/>
        <v>0</v>
      </c>
      <c r="AM38">
        <f t="shared" si="18"/>
        <v>0</v>
      </c>
      <c r="AN38">
        <f t="shared" si="19"/>
        <v>0</v>
      </c>
      <c r="AO38">
        <f t="shared" si="20"/>
        <v>0</v>
      </c>
      <c r="AP38">
        <f t="shared" si="21"/>
        <v>0</v>
      </c>
      <c r="AQ38">
        <f t="shared" si="22"/>
        <v>0</v>
      </c>
      <c r="AR38">
        <f t="shared" si="23"/>
        <v>0</v>
      </c>
      <c r="AS38">
        <f t="shared" si="24"/>
        <v>0</v>
      </c>
      <c r="AT38" s="1">
        <f t="shared" si="25"/>
        <v>0</v>
      </c>
      <c r="AU38" s="1">
        <f t="shared" si="26"/>
        <v>0</v>
      </c>
      <c r="AV38">
        <f t="shared" si="27"/>
        <v>0</v>
      </c>
      <c r="AW38">
        <f t="shared" si="28"/>
        <v>0</v>
      </c>
      <c r="AX38">
        <f t="shared" si="29"/>
        <v>0</v>
      </c>
      <c r="AY38">
        <f t="shared" si="30"/>
        <v>0</v>
      </c>
      <c r="AZ38">
        <f t="shared" si="31"/>
        <v>0</v>
      </c>
      <c r="BA38">
        <f t="shared" si="32"/>
        <v>0</v>
      </c>
      <c r="BB38">
        <f t="shared" si="33"/>
        <v>0</v>
      </c>
      <c r="BC38">
        <f t="shared" si="34"/>
        <v>0</v>
      </c>
      <c r="BD38">
        <f t="shared" si="35"/>
        <v>0</v>
      </c>
    </row>
    <row r="39" spans="1:56" x14ac:dyDescent="0.25">
      <c r="A39" s="1">
        <v>22</v>
      </c>
      <c r="B39" s="2">
        <v>0</v>
      </c>
      <c r="C39" s="2">
        <v>0</v>
      </c>
      <c r="D39" s="2">
        <v>0</v>
      </c>
      <c r="E39" s="2">
        <v>0</v>
      </c>
      <c r="F39" s="1">
        <f t="shared" si="36"/>
        <v>0</v>
      </c>
      <c r="G39" s="1">
        <f t="shared" si="37"/>
        <v>0</v>
      </c>
      <c r="H39" s="1">
        <f t="shared" si="38"/>
        <v>0</v>
      </c>
      <c r="I39" s="1">
        <f t="shared" si="39"/>
        <v>0</v>
      </c>
      <c r="J39" s="1">
        <f t="shared" si="40"/>
        <v>0</v>
      </c>
      <c r="K39" s="1">
        <f t="shared" si="41"/>
        <v>0</v>
      </c>
      <c r="L39" s="1">
        <f t="shared" si="42"/>
        <v>0</v>
      </c>
      <c r="M39" s="1">
        <f t="shared" si="43"/>
        <v>0</v>
      </c>
      <c r="N39" s="1">
        <f t="shared" si="44"/>
        <v>0</v>
      </c>
      <c r="O39" s="1">
        <f t="shared" si="45"/>
        <v>-0.64772727272727271</v>
      </c>
      <c r="P39" s="1">
        <f t="shared" si="46"/>
        <v>-3.1477272727272729</v>
      </c>
      <c r="Q39" s="1">
        <f t="shared" si="47"/>
        <v>0</v>
      </c>
      <c r="R39" s="1">
        <f t="shared" si="2"/>
        <v>0</v>
      </c>
      <c r="S39" s="1">
        <f t="shared" si="48"/>
        <v>0</v>
      </c>
      <c r="T39" s="7">
        <f t="shared" si="49"/>
        <v>-0.64772727272727271</v>
      </c>
      <c r="U39" s="7">
        <f t="shared" si="50"/>
        <v>-3.1477272727272729</v>
      </c>
      <c r="V39" s="7">
        <f t="shared" si="51"/>
        <v>-0.64772727272727271</v>
      </c>
      <c r="W39" s="7">
        <f t="shared" si="52"/>
        <v>-3.1477272727272729</v>
      </c>
      <c r="X39" s="1">
        <f t="shared" si="3"/>
        <v>0</v>
      </c>
      <c r="Y39" s="1">
        <f t="shared" si="4"/>
        <v>0</v>
      </c>
      <c r="Z39">
        <f t="shared" si="5"/>
        <v>0</v>
      </c>
      <c r="AA39">
        <f t="shared" si="6"/>
        <v>0</v>
      </c>
      <c r="AB39">
        <f t="shared" si="7"/>
        <v>0</v>
      </c>
      <c r="AC39">
        <f t="shared" si="8"/>
        <v>0</v>
      </c>
      <c r="AD39">
        <f t="shared" si="9"/>
        <v>0</v>
      </c>
      <c r="AE39">
        <f t="shared" si="10"/>
        <v>0</v>
      </c>
      <c r="AF39">
        <f t="shared" si="11"/>
        <v>0</v>
      </c>
      <c r="AG39">
        <f t="shared" si="12"/>
        <v>0</v>
      </c>
      <c r="AH39">
        <f t="shared" si="13"/>
        <v>0</v>
      </c>
      <c r="AI39" s="1">
        <f t="shared" si="14"/>
        <v>0</v>
      </c>
      <c r="AJ39" s="1">
        <f t="shared" si="15"/>
        <v>0</v>
      </c>
      <c r="AK39">
        <f t="shared" si="16"/>
        <v>0</v>
      </c>
      <c r="AL39">
        <f t="shared" si="17"/>
        <v>0</v>
      </c>
      <c r="AM39">
        <f t="shared" si="18"/>
        <v>0</v>
      </c>
      <c r="AN39">
        <f t="shared" si="19"/>
        <v>0</v>
      </c>
      <c r="AO39">
        <f t="shared" si="20"/>
        <v>0</v>
      </c>
      <c r="AP39">
        <f t="shared" si="21"/>
        <v>0</v>
      </c>
      <c r="AQ39">
        <f t="shared" si="22"/>
        <v>0</v>
      </c>
      <c r="AR39">
        <f t="shared" si="23"/>
        <v>0</v>
      </c>
      <c r="AS39">
        <f t="shared" si="24"/>
        <v>0</v>
      </c>
      <c r="AT39" s="1">
        <f t="shared" si="25"/>
        <v>0</v>
      </c>
      <c r="AU39" s="1">
        <f t="shared" si="26"/>
        <v>0</v>
      </c>
      <c r="AV39">
        <f t="shared" si="27"/>
        <v>0</v>
      </c>
      <c r="AW39">
        <f t="shared" si="28"/>
        <v>0</v>
      </c>
      <c r="AX39">
        <f t="shared" si="29"/>
        <v>0</v>
      </c>
      <c r="AY39">
        <f t="shared" si="30"/>
        <v>0</v>
      </c>
      <c r="AZ39">
        <f t="shared" si="31"/>
        <v>0</v>
      </c>
      <c r="BA39">
        <f t="shared" si="32"/>
        <v>0</v>
      </c>
      <c r="BB39">
        <f t="shared" si="33"/>
        <v>0</v>
      </c>
      <c r="BC39">
        <f t="shared" si="34"/>
        <v>0</v>
      </c>
      <c r="BD39">
        <f t="shared" si="35"/>
        <v>0</v>
      </c>
    </row>
    <row r="40" spans="1:56" x14ac:dyDescent="0.25">
      <c r="A40" s="1">
        <v>23</v>
      </c>
      <c r="B40" s="2">
        <v>0</v>
      </c>
      <c r="C40" s="2">
        <v>0</v>
      </c>
      <c r="D40" s="2">
        <v>0</v>
      </c>
      <c r="E40" s="2">
        <v>0</v>
      </c>
      <c r="F40" s="1">
        <f t="shared" si="36"/>
        <v>0</v>
      </c>
      <c r="G40" s="1">
        <f t="shared" si="37"/>
        <v>0</v>
      </c>
      <c r="H40" s="1">
        <f t="shared" si="38"/>
        <v>0</v>
      </c>
      <c r="I40" s="1">
        <f t="shared" si="39"/>
        <v>0</v>
      </c>
      <c r="J40" s="1">
        <f t="shared" si="40"/>
        <v>0</v>
      </c>
      <c r="K40" s="1">
        <f t="shared" si="41"/>
        <v>0</v>
      </c>
      <c r="L40" s="1">
        <f t="shared" si="42"/>
        <v>0</v>
      </c>
      <c r="M40" s="1">
        <f t="shared" si="43"/>
        <v>0</v>
      </c>
      <c r="N40" s="1">
        <f t="shared" si="44"/>
        <v>0</v>
      </c>
      <c r="O40" s="1">
        <f t="shared" si="45"/>
        <v>-0.64772727272727271</v>
      </c>
      <c r="P40" s="1">
        <f t="shared" si="46"/>
        <v>-3.1477272727272729</v>
      </c>
      <c r="Q40" s="1">
        <f t="shared" si="47"/>
        <v>0</v>
      </c>
      <c r="R40" s="1">
        <f t="shared" si="2"/>
        <v>0</v>
      </c>
      <c r="S40" s="1">
        <f t="shared" si="48"/>
        <v>0</v>
      </c>
      <c r="T40" s="7">
        <f t="shared" si="49"/>
        <v>-0.64772727272727271</v>
      </c>
      <c r="U40" s="7">
        <f t="shared" si="50"/>
        <v>-3.1477272727272729</v>
      </c>
      <c r="V40" s="7">
        <f t="shared" si="51"/>
        <v>-0.64772727272727271</v>
      </c>
      <c r="W40" s="7">
        <f t="shared" si="52"/>
        <v>-3.1477272727272729</v>
      </c>
      <c r="X40" s="1">
        <f t="shared" si="3"/>
        <v>0</v>
      </c>
      <c r="Y40" s="1">
        <f t="shared" si="4"/>
        <v>0</v>
      </c>
      <c r="Z40">
        <f t="shared" si="5"/>
        <v>0</v>
      </c>
      <c r="AA40">
        <f t="shared" si="6"/>
        <v>0</v>
      </c>
      <c r="AB40">
        <f t="shared" si="7"/>
        <v>0</v>
      </c>
      <c r="AC40">
        <f t="shared" si="8"/>
        <v>0</v>
      </c>
      <c r="AD40">
        <f t="shared" si="9"/>
        <v>0</v>
      </c>
      <c r="AE40">
        <f t="shared" si="10"/>
        <v>0</v>
      </c>
      <c r="AF40">
        <f t="shared" si="11"/>
        <v>0</v>
      </c>
      <c r="AG40">
        <f t="shared" si="12"/>
        <v>0</v>
      </c>
      <c r="AH40">
        <f t="shared" si="13"/>
        <v>0</v>
      </c>
      <c r="AI40" s="1">
        <f t="shared" si="14"/>
        <v>0</v>
      </c>
      <c r="AJ40" s="1">
        <f t="shared" si="15"/>
        <v>0</v>
      </c>
      <c r="AK40">
        <f t="shared" si="16"/>
        <v>0</v>
      </c>
      <c r="AL40">
        <f t="shared" si="17"/>
        <v>0</v>
      </c>
      <c r="AM40">
        <f t="shared" si="18"/>
        <v>0</v>
      </c>
      <c r="AN40">
        <f t="shared" si="19"/>
        <v>0</v>
      </c>
      <c r="AO40">
        <f t="shared" si="20"/>
        <v>0</v>
      </c>
      <c r="AP40">
        <f t="shared" si="21"/>
        <v>0</v>
      </c>
      <c r="AQ40">
        <f t="shared" si="22"/>
        <v>0</v>
      </c>
      <c r="AR40">
        <f t="shared" si="23"/>
        <v>0</v>
      </c>
      <c r="AS40">
        <f t="shared" si="24"/>
        <v>0</v>
      </c>
      <c r="AT40" s="1">
        <f t="shared" si="25"/>
        <v>0</v>
      </c>
      <c r="AU40" s="1">
        <f t="shared" si="26"/>
        <v>0</v>
      </c>
      <c r="AV40">
        <f t="shared" si="27"/>
        <v>0</v>
      </c>
      <c r="AW40">
        <f t="shared" si="28"/>
        <v>0</v>
      </c>
      <c r="AX40">
        <f t="shared" si="29"/>
        <v>0</v>
      </c>
      <c r="AY40">
        <f t="shared" si="30"/>
        <v>0</v>
      </c>
      <c r="AZ40">
        <f t="shared" si="31"/>
        <v>0</v>
      </c>
      <c r="BA40">
        <f t="shared" si="32"/>
        <v>0</v>
      </c>
      <c r="BB40">
        <f t="shared" si="33"/>
        <v>0</v>
      </c>
      <c r="BC40">
        <f t="shared" si="34"/>
        <v>0</v>
      </c>
      <c r="BD40">
        <f t="shared" si="35"/>
        <v>0</v>
      </c>
    </row>
    <row r="41" spans="1:56" x14ac:dyDescent="0.25">
      <c r="A41" s="1">
        <v>24</v>
      </c>
      <c r="B41" s="2">
        <v>0</v>
      </c>
      <c r="C41" s="2">
        <v>0</v>
      </c>
      <c r="D41" s="2">
        <v>0</v>
      </c>
      <c r="E41" s="2">
        <v>0</v>
      </c>
      <c r="F41" s="1">
        <f t="shared" si="36"/>
        <v>0</v>
      </c>
      <c r="G41" s="1">
        <f t="shared" si="37"/>
        <v>0</v>
      </c>
      <c r="H41" s="1">
        <f t="shared" si="38"/>
        <v>0</v>
      </c>
      <c r="I41" s="1">
        <f t="shared" si="39"/>
        <v>0</v>
      </c>
      <c r="J41" s="1">
        <f t="shared" si="40"/>
        <v>0</v>
      </c>
      <c r="K41" s="1">
        <f t="shared" si="41"/>
        <v>0</v>
      </c>
      <c r="L41" s="1">
        <f t="shared" si="42"/>
        <v>0</v>
      </c>
      <c r="M41" s="1">
        <f t="shared" si="43"/>
        <v>0</v>
      </c>
      <c r="N41" s="1">
        <f t="shared" si="44"/>
        <v>0</v>
      </c>
      <c r="O41" s="1">
        <f t="shared" si="45"/>
        <v>-0.64772727272727271</v>
      </c>
      <c r="P41" s="1">
        <f t="shared" si="46"/>
        <v>-3.1477272727272729</v>
      </c>
      <c r="Q41" s="1">
        <f t="shared" si="47"/>
        <v>0</v>
      </c>
      <c r="R41" s="1">
        <f t="shared" si="2"/>
        <v>0</v>
      </c>
      <c r="S41" s="1">
        <f t="shared" si="48"/>
        <v>0</v>
      </c>
      <c r="T41" s="7">
        <f t="shared" si="49"/>
        <v>-0.64772727272727271</v>
      </c>
      <c r="U41" s="7">
        <f t="shared" si="50"/>
        <v>-3.1477272727272729</v>
      </c>
      <c r="V41" s="7">
        <f t="shared" si="51"/>
        <v>-0.64772727272727271</v>
      </c>
      <c r="W41" s="7">
        <f t="shared" si="52"/>
        <v>-3.1477272727272729</v>
      </c>
      <c r="X41" s="1">
        <f t="shared" si="3"/>
        <v>0</v>
      </c>
      <c r="Y41" s="1">
        <f t="shared" si="4"/>
        <v>0</v>
      </c>
      <c r="Z41">
        <f t="shared" si="5"/>
        <v>0</v>
      </c>
      <c r="AA41">
        <f t="shared" si="6"/>
        <v>0</v>
      </c>
      <c r="AB41">
        <f t="shared" si="7"/>
        <v>0</v>
      </c>
      <c r="AC41">
        <f t="shared" si="8"/>
        <v>0</v>
      </c>
      <c r="AD41">
        <f t="shared" si="9"/>
        <v>0</v>
      </c>
      <c r="AE41">
        <f t="shared" si="10"/>
        <v>0</v>
      </c>
      <c r="AF41">
        <f t="shared" si="11"/>
        <v>0</v>
      </c>
      <c r="AG41">
        <f t="shared" si="12"/>
        <v>0</v>
      </c>
      <c r="AH41">
        <f t="shared" si="13"/>
        <v>0</v>
      </c>
      <c r="AI41" s="1">
        <f t="shared" si="14"/>
        <v>0</v>
      </c>
      <c r="AJ41" s="1">
        <f t="shared" si="15"/>
        <v>0</v>
      </c>
      <c r="AK41">
        <f t="shared" si="16"/>
        <v>0</v>
      </c>
      <c r="AL41">
        <f t="shared" si="17"/>
        <v>0</v>
      </c>
      <c r="AM41">
        <f t="shared" si="18"/>
        <v>0</v>
      </c>
      <c r="AN41">
        <f t="shared" si="19"/>
        <v>0</v>
      </c>
      <c r="AO41">
        <f t="shared" si="20"/>
        <v>0</v>
      </c>
      <c r="AP41">
        <f t="shared" si="21"/>
        <v>0</v>
      </c>
      <c r="AQ41">
        <f t="shared" si="22"/>
        <v>0</v>
      </c>
      <c r="AR41">
        <f t="shared" si="23"/>
        <v>0</v>
      </c>
      <c r="AS41">
        <f t="shared" si="24"/>
        <v>0</v>
      </c>
      <c r="AT41" s="1">
        <f t="shared" si="25"/>
        <v>0</v>
      </c>
      <c r="AU41" s="1">
        <f t="shared" si="26"/>
        <v>0</v>
      </c>
      <c r="AV41">
        <f t="shared" si="27"/>
        <v>0</v>
      </c>
      <c r="AW41">
        <f t="shared" si="28"/>
        <v>0</v>
      </c>
      <c r="AX41">
        <f t="shared" si="29"/>
        <v>0</v>
      </c>
      <c r="AY41">
        <f t="shared" si="30"/>
        <v>0</v>
      </c>
      <c r="AZ41">
        <f t="shared" si="31"/>
        <v>0</v>
      </c>
      <c r="BA41">
        <f t="shared" si="32"/>
        <v>0</v>
      </c>
      <c r="BB41">
        <f t="shared" si="33"/>
        <v>0</v>
      </c>
      <c r="BC41">
        <f t="shared" si="34"/>
        <v>0</v>
      </c>
      <c r="BD41">
        <f t="shared" si="35"/>
        <v>0</v>
      </c>
    </row>
    <row r="42" spans="1:56" x14ac:dyDescent="0.25">
      <c r="A42" s="1">
        <v>25</v>
      </c>
      <c r="B42" s="2">
        <v>0</v>
      </c>
      <c r="C42" s="2">
        <v>0</v>
      </c>
      <c r="D42" s="2">
        <v>0</v>
      </c>
      <c r="E42" s="2">
        <v>0</v>
      </c>
      <c r="F42" s="1">
        <f t="shared" si="36"/>
        <v>0</v>
      </c>
      <c r="G42" s="1">
        <f t="shared" si="37"/>
        <v>0</v>
      </c>
      <c r="H42" s="1">
        <f t="shared" si="38"/>
        <v>0</v>
      </c>
      <c r="I42" s="1">
        <f t="shared" si="39"/>
        <v>0</v>
      </c>
      <c r="J42" s="1">
        <f t="shared" si="40"/>
        <v>0</v>
      </c>
      <c r="K42" s="1">
        <f t="shared" si="41"/>
        <v>0</v>
      </c>
      <c r="L42" s="1">
        <f t="shared" si="42"/>
        <v>0</v>
      </c>
      <c r="M42" s="1">
        <f t="shared" si="43"/>
        <v>0</v>
      </c>
      <c r="N42" s="1">
        <f t="shared" si="44"/>
        <v>0</v>
      </c>
      <c r="O42" s="1">
        <f t="shared" si="45"/>
        <v>-0.64772727272727271</v>
      </c>
      <c r="P42" s="1">
        <f t="shared" si="46"/>
        <v>-3.1477272727272729</v>
      </c>
      <c r="Q42" s="1">
        <f t="shared" si="47"/>
        <v>0</v>
      </c>
      <c r="R42" s="1">
        <f t="shared" si="2"/>
        <v>0</v>
      </c>
      <c r="S42" s="1">
        <f t="shared" si="48"/>
        <v>0</v>
      </c>
      <c r="T42" s="7">
        <f t="shared" si="49"/>
        <v>-0.64772727272727271</v>
      </c>
      <c r="U42" s="7">
        <f t="shared" si="50"/>
        <v>-3.1477272727272729</v>
      </c>
      <c r="V42" s="7">
        <f t="shared" si="51"/>
        <v>-0.64772727272727271</v>
      </c>
      <c r="W42" s="7">
        <f t="shared" si="52"/>
        <v>-3.1477272727272729</v>
      </c>
      <c r="X42" s="1">
        <f t="shared" si="3"/>
        <v>0</v>
      </c>
      <c r="Y42" s="1">
        <f t="shared" si="4"/>
        <v>0</v>
      </c>
      <c r="Z42">
        <f t="shared" si="5"/>
        <v>0</v>
      </c>
      <c r="AA42">
        <f t="shared" si="6"/>
        <v>0</v>
      </c>
      <c r="AB42">
        <f t="shared" si="7"/>
        <v>0</v>
      </c>
      <c r="AC42">
        <f t="shared" si="8"/>
        <v>0</v>
      </c>
      <c r="AD42">
        <f t="shared" si="9"/>
        <v>0</v>
      </c>
      <c r="AE42">
        <f t="shared" si="10"/>
        <v>0</v>
      </c>
      <c r="AF42">
        <f t="shared" si="11"/>
        <v>0</v>
      </c>
      <c r="AG42">
        <f t="shared" si="12"/>
        <v>0</v>
      </c>
      <c r="AH42">
        <f t="shared" si="13"/>
        <v>0</v>
      </c>
      <c r="AI42" s="1">
        <f t="shared" si="14"/>
        <v>0</v>
      </c>
      <c r="AJ42" s="1">
        <f t="shared" si="15"/>
        <v>0</v>
      </c>
      <c r="AK42">
        <f t="shared" si="16"/>
        <v>0</v>
      </c>
      <c r="AL42">
        <f t="shared" si="17"/>
        <v>0</v>
      </c>
      <c r="AM42">
        <f t="shared" si="18"/>
        <v>0</v>
      </c>
      <c r="AN42">
        <f t="shared" si="19"/>
        <v>0</v>
      </c>
      <c r="AO42">
        <f t="shared" si="20"/>
        <v>0</v>
      </c>
      <c r="AP42">
        <f t="shared" si="21"/>
        <v>0</v>
      </c>
      <c r="AQ42">
        <f t="shared" si="22"/>
        <v>0</v>
      </c>
      <c r="AR42">
        <f t="shared" si="23"/>
        <v>0</v>
      </c>
      <c r="AS42">
        <f t="shared" si="24"/>
        <v>0</v>
      </c>
      <c r="AT42" s="1">
        <f t="shared" si="25"/>
        <v>0</v>
      </c>
      <c r="AU42" s="1">
        <f t="shared" si="26"/>
        <v>0</v>
      </c>
      <c r="AV42">
        <f t="shared" si="27"/>
        <v>0</v>
      </c>
      <c r="AW42">
        <f t="shared" si="28"/>
        <v>0</v>
      </c>
      <c r="AX42">
        <f t="shared" si="29"/>
        <v>0</v>
      </c>
      <c r="AY42">
        <f t="shared" si="30"/>
        <v>0</v>
      </c>
      <c r="AZ42">
        <f t="shared" si="31"/>
        <v>0</v>
      </c>
      <c r="BA42">
        <f t="shared" si="32"/>
        <v>0</v>
      </c>
      <c r="BB42">
        <f t="shared" si="33"/>
        <v>0</v>
      </c>
      <c r="BC42">
        <f t="shared" si="34"/>
        <v>0</v>
      </c>
      <c r="BD42">
        <f t="shared" si="35"/>
        <v>0</v>
      </c>
    </row>
    <row r="43" spans="1:56" x14ac:dyDescent="0.25">
      <c r="A43" s="1">
        <v>26</v>
      </c>
      <c r="B43" s="2">
        <v>0</v>
      </c>
      <c r="C43" s="2">
        <v>0</v>
      </c>
      <c r="D43" s="2">
        <v>0</v>
      </c>
      <c r="E43" s="2">
        <v>0</v>
      </c>
      <c r="F43" s="1">
        <f t="shared" si="36"/>
        <v>0</v>
      </c>
      <c r="G43" s="1">
        <f t="shared" si="37"/>
        <v>0</v>
      </c>
      <c r="H43" s="1">
        <f t="shared" si="38"/>
        <v>0</v>
      </c>
      <c r="I43" s="1">
        <f t="shared" si="39"/>
        <v>0</v>
      </c>
      <c r="J43" s="1">
        <f t="shared" si="40"/>
        <v>0</v>
      </c>
      <c r="K43" s="1">
        <f t="shared" si="41"/>
        <v>0</v>
      </c>
      <c r="L43" s="1">
        <f t="shared" si="42"/>
        <v>0</v>
      </c>
      <c r="M43" s="1">
        <f t="shared" si="43"/>
        <v>0</v>
      </c>
      <c r="N43" s="1">
        <f t="shared" si="44"/>
        <v>0</v>
      </c>
      <c r="O43" s="1">
        <f t="shared" si="45"/>
        <v>-0.64772727272727271</v>
      </c>
      <c r="P43" s="1">
        <f t="shared" si="46"/>
        <v>-3.1477272727272729</v>
      </c>
      <c r="Q43" s="1">
        <f t="shared" si="47"/>
        <v>0</v>
      </c>
      <c r="R43" s="1">
        <f t="shared" si="2"/>
        <v>0</v>
      </c>
      <c r="S43" s="1">
        <f t="shared" si="48"/>
        <v>0</v>
      </c>
      <c r="T43" s="7">
        <f t="shared" si="49"/>
        <v>-0.64772727272727271</v>
      </c>
      <c r="U43" s="7">
        <f t="shared" si="50"/>
        <v>-3.1477272727272729</v>
      </c>
      <c r="V43" s="7">
        <f t="shared" si="51"/>
        <v>-0.64772727272727271</v>
      </c>
      <c r="W43" s="7">
        <f t="shared" si="52"/>
        <v>-3.1477272727272729</v>
      </c>
      <c r="X43" s="1">
        <f t="shared" si="3"/>
        <v>0</v>
      </c>
      <c r="Y43" s="1">
        <f t="shared" si="4"/>
        <v>0</v>
      </c>
      <c r="Z43">
        <f t="shared" si="5"/>
        <v>0</v>
      </c>
      <c r="AA43">
        <f t="shared" si="6"/>
        <v>0</v>
      </c>
      <c r="AB43">
        <f t="shared" si="7"/>
        <v>0</v>
      </c>
      <c r="AC43">
        <f t="shared" si="8"/>
        <v>0</v>
      </c>
      <c r="AD43">
        <f t="shared" si="9"/>
        <v>0</v>
      </c>
      <c r="AE43">
        <f t="shared" si="10"/>
        <v>0</v>
      </c>
      <c r="AF43">
        <f t="shared" si="11"/>
        <v>0</v>
      </c>
      <c r="AG43">
        <f t="shared" si="12"/>
        <v>0</v>
      </c>
      <c r="AH43">
        <f t="shared" si="13"/>
        <v>0</v>
      </c>
      <c r="AI43" s="1">
        <f t="shared" si="14"/>
        <v>0</v>
      </c>
      <c r="AJ43" s="1">
        <f t="shared" si="15"/>
        <v>0</v>
      </c>
      <c r="AK43">
        <f t="shared" si="16"/>
        <v>0</v>
      </c>
      <c r="AL43">
        <f t="shared" si="17"/>
        <v>0</v>
      </c>
      <c r="AM43">
        <f t="shared" si="18"/>
        <v>0</v>
      </c>
      <c r="AN43">
        <f t="shared" si="19"/>
        <v>0</v>
      </c>
      <c r="AO43">
        <f t="shared" si="20"/>
        <v>0</v>
      </c>
      <c r="AP43">
        <f t="shared" si="21"/>
        <v>0</v>
      </c>
      <c r="AQ43">
        <f t="shared" si="22"/>
        <v>0</v>
      </c>
      <c r="AR43">
        <f t="shared" si="23"/>
        <v>0</v>
      </c>
      <c r="AS43">
        <f t="shared" si="24"/>
        <v>0</v>
      </c>
      <c r="AT43" s="1">
        <f t="shared" si="25"/>
        <v>0</v>
      </c>
      <c r="AU43" s="1">
        <f t="shared" si="26"/>
        <v>0</v>
      </c>
      <c r="AV43">
        <f t="shared" si="27"/>
        <v>0</v>
      </c>
      <c r="AW43">
        <f t="shared" si="28"/>
        <v>0</v>
      </c>
      <c r="AX43">
        <f t="shared" si="29"/>
        <v>0</v>
      </c>
      <c r="AY43">
        <f t="shared" si="30"/>
        <v>0</v>
      </c>
      <c r="AZ43">
        <f t="shared" si="31"/>
        <v>0</v>
      </c>
      <c r="BA43">
        <f t="shared" si="32"/>
        <v>0</v>
      </c>
      <c r="BB43">
        <f t="shared" si="33"/>
        <v>0</v>
      </c>
      <c r="BC43">
        <f t="shared" si="34"/>
        <v>0</v>
      </c>
      <c r="BD43">
        <f t="shared" si="35"/>
        <v>0</v>
      </c>
    </row>
    <row r="44" spans="1:56" x14ac:dyDescent="0.25">
      <c r="A44" s="1">
        <v>27</v>
      </c>
      <c r="B44" s="2">
        <v>0</v>
      </c>
      <c r="C44" s="2">
        <v>0</v>
      </c>
      <c r="D44" s="2">
        <v>0</v>
      </c>
      <c r="E44" s="2">
        <v>0</v>
      </c>
      <c r="F44" s="1">
        <f t="shared" si="36"/>
        <v>0</v>
      </c>
      <c r="G44" s="1">
        <f t="shared" si="37"/>
        <v>0</v>
      </c>
      <c r="H44" s="1">
        <f t="shared" si="38"/>
        <v>0</v>
      </c>
      <c r="I44" s="1">
        <f t="shared" si="39"/>
        <v>0</v>
      </c>
      <c r="J44" s="1">
        <f t="shared" si="40"/>
        <v>0</v>
      </c>
      <c r="K44" s="1">
        <f t="shared" si="41"/>
        <v>0</v>
      </c>
      <c r="L44" s="1">
        <f t="shared" si="42"/>
        <v>0</v>
      </c>
      <c r="M44" s="1">
        <f t="shared" si="43"/>
        <v>0</v>
      </c>
      <c r="N44" s="1">
        <f t="shared" si="44"/>
        <v>0</v>
      </c>
      <c r="O44" s="1">
        <f t="shared" si="45"/>
        <v>-0.64772727272727271</v>
      </c>
      <c r="P44" s="1">
        <f t="shared" si="46"/>
        <v>-3.1477272727272729</v>
      </c>
      <c r="Q44" s="1">
        <f t="shared" si="47"/>
        <v>0</v>
      </c>
      <c r="R44" s="1">
        <f t="shared" si="2"/>
        <v>0</v>
      </c>
      <c r="S44" s="1">
        <f t="shared" si="48"/>
        <v>0</v>
      </c>
      <c r="T44" s="7">
        <f t="shared" si="49"/>
        <v>-0.64772727272727271</v>
      </c>
      <c r="U44" s="7">
        <f t="shared" si="50"/>
        <v>-3.1477272727272729</v>
      </c>
      <c r="V44" s="7">
        <f t="shared" si="51"/>
        <v>-0.64772727272727271</v>
      </c>
      <c r="W44" s="7">
        <f t="shared" si="52"/>
        <v>-3.1477272727272729</v>
      </c>
      <c r="X44" s="1">
        <f t="shared" si="3"/>
        <v>0</v>
      </c>
      <c r="Y44" s="1">
        <f t="shared" si="4"/>
        <v>0</v>
      </c>
      <c r="Z44">
        <f t="shared" si="5"/>
        <v>0</v>
      </c>
      <c r="AA44">
        <f t="shared" si="6"/>
        <v>0</v>
      </c>
      <c r="AB44">
        <f t="shared" si="7"/>
        <v>0</v>
      </c>
      <c r="AC44">
        <f t="shared" si="8"/>
        <v>0</v>
      </c>
      <c r="AD44">
        <f t="shared" si="9"/>
        <v>0</v>
      </c>
      <c r="AE44">
        <f t="shared" si="10"/>
        <v>0</v>
      </c>
      <c r="AF44">
        <f t="shared" si="11"/>
        <v>0</v>
      </c>
      <c r="AG44">
        <f t="shared" si="12"/>
        <v>0</v>
      </c>
      <c r="AH44">
        <f t="shared" si="13"/>
        <v>0</v>
      </c>
      <c r="AI44" s="1">
        <f t="shared" si="14"/>
        <v>0</v>
      </c>
      <c r="AJ44" s="1">
        <f t="shared" si="15"/>
        <v>0</v>
      </c>
      <c r="AK44">
        <f t="shared" si="16"/>
        <v>0</v>
      </c>
      <c r="AL44">
        <f t="shared" si="17"/>
        <v>0</v>
      </c>
      <c r="AM44">
        <f t="shared" si="18"/>
        <v>0</v>
      </c>
      <c r="AN44">
        <f t="shared" si="19"/>
        <v>0</v>
      </c>
      <c r="AO44">
        <f t="shared" si="20"/>
        <v>0</v>
      </c>
      <c r="AP44">
        <f t="shared" si="21"/>
        <v>0</v>
      </c>
      <c r="AQ44">
        <f t="shared" si="22"/>
        <v>0</v>
      </c>
      <c r="AR44">
        <f t="shared" si="23"/>
        <v>0</v>
      </c>
      <c r="AS44">
        <f t="shared" si="24"/>
        <v>0</v>
      </c>
      <c r="AT44" s="1">
        <f t="shared" si="25"/>
        <v>0</v>
      </c>
      <c r="AU44" s="1">
        <f t="shared" si="26"/>
        <v>0</v>
      </c>
      <c r="AV44">
        <f t="shared" si="27"/>
        <v>0</v>
      </c>
      <c r="AW44">
        <f t="shared" si="28"/>
        <v>0</v>
      </c>
      <c r="AX44">
        <f t="shared" si="29"/>
        <v>0</v>
      </c>
      <c r="AY44">
        <f t="shared" si="30"/>
        <v>0</v>
      </c>
      <c r="AZ44">
        <f t="shared" si="31"/>
        <v>0</v>
      </c>
      <c r="BA44">
        <f t="shared" si="32"/>
        <v>0</v>
      </c>
      <c r="BB44">
        <f t="shared" si="33"/>
        <v>0</v>
      </c>
      <c r="BC44">
        <f t="shared" si="34"/>
        <v>0</v>
      </c>
      <c r="BD44">
        <f t="shared" si="35"/>
        <v>0</v>
      </c>
    </row>
    <row r="45" spans="1:56" x14ac:dyDescent="0.25">
      <c r="A45" s="1">
        <v>28</v>
      </c>
      <c r="B45" s="2">
        <v>0</v>
      </c>
      <c r="C45" s="2">
        <v>0</v>
      </c>
      <c r="D45" s="2">
        <v>0</v>
      </c>
      <c r="E45" s="2">
        <v>0</v>
      </c>
      <c r="F45" s="1">
        <f t="shared" si="36"/>
        <v>0</v>
      </c>
      <c r="G45" s="1">
        <f t="shared" si="37"/>
        <v>0</v>
      </c>
      <c r="H45" s="1">
        <f t="shared" si="38"/>
        <v>0</v>
      </c>
      <c r="I45" s="1">
        <f t="shared" si="39"/>
        <v>0</v>
      </c>
      <c r="J45" s="1">
        <f t="shared" si="40"/>
        <v>0</v>
      </c>
      <c r="K45" s="1">
        <f t="shared" si="41"/>
        <v>0</v>
      </c>
      <c r="L45" s="1">
        <f t="shared" si="42"/>
        <v>0</v>
      </c>
      <c r="M45" s="1">
        <f t="shared" si="43"/>
        <v>0</v>
      </c>
      <c r="N45" s="1">
        <f t="shared" si="44"/>
        <v>0</v>
      </c>
      <c r="O45" s="1">
        <f t="shared" si="45"/>
        <v>-0.64772727272727271</v>
      </c>
      <c r="P45" s="1">
        <f t="shared" si="46"/>
        <v>-3.1477272727272729</v>
      </c>
      <c r="Q45" s="1">
        <f t="shared" si="47"/>
        <v>0</v>
      </c>
      <c r="R45" s="1">
        <f t="shared" si="2"/>
        <v>0</v>
      </c>
      <c r="S45" s="1">
        <f t="shared" si="48"/>
        <v>0</v>
      </c>
      <c r="T45" s="7">
        <f t="shared" si="49"/>
        <v>-0.64772727272727271</v>
      </c>
      <c r="U45" s="7">
        <f t="shared" si="50"/>
        <v>-3.1477272727272729</v>
      </c>
      <c r="V45" s="7">
        <f t="shared" si="51"/>
        <v>-0.64772727272727271</v>
      </c>
      <c r="W45" s="7">
        <f t="shared" si="52"/>
        <v>-3.1477272727272729</v>
      </c>
      <c r="X45" s="1">
        <f t="shared" si="3"/>
        <v>0</v>
      </c>
      <c r="Y45" s="1">
        <f t="shared" si="4"/>
        <v>0</v>
      </c>
      <c r="Z45">
        <f t="shared" si="5"/>
        <v>0</v>
      </c>
      <c r="AA45">
        <f t="shared" si="6"/>
        <v>0</v>
      </c>
      <c r="AB45">
        <f t="shared" si="7"/>
        <v>0</v>
      </c>
      <c r="AC45">
        <f t="shared" si="8"/>
        <v>0</v>
      </c>
      <c r="AD45">
        <f t="shared" si="9"/>
        <v>0</v>
      </c>
      <c r="AE45">
        <f t="shared" si="10"/>
        <v>0</v>
      </c>
      <c r="AF45">
        <f t="shared" si="11"/>
        <v>0</v>
      </c>
      <c r="AG45">
        <f t="shared" si="12"/>
        <v>0</v>
      </c>
      <c r="AH45">
        <f t="shared" si="13"/>
        <v>0</v>
      </c>
      <c r="AI45" s="1">
        <f t="shared" si="14"/>
        <v>0</v>
      </c>
      <c r="AJ45" s="1">
        <f t="shared" si="15"/>
        <v>0</v>
      </c>
      <c r="AK45">
        <f t="shared" si="16"/>
        <v>0</v>
      </c>
      <c r="AL45">
        <f t="shared" si="17"/>
        <v>0</v>
      </c>
      <c r="AM45">
        <f t="shared" si="18"/>
        <v>0</v>
      </c>
      <c r="AN45">
        <f t="shared" si="19"/>
        <v>0</v>
      </c>
      <c r="AO45">
        <f t="shared" si="20"/>
        <v>0</v>
      </c>
      <c r="AP45">
        <f t="shared" si="21"/>
        <v>0</v>
      </c>
      <c r="AQ45">
        <f t="shared" si="22"/>
        <v>0</v>
      </c>
      <c r="AR45">
        <f t="shared" si="23"/>
        <v>0</v>
      </c>
      <c r="AS45">
        <f t="shared" si="24"/>
        <v>0</v>
      </c>
      <c r="AT45" s="1">
        <f t="shared" si="25"/>
        <v>0</v>
      </c>
      <c r="AU45" s="1">
        <f t="shared" si="26"/>
        <v>0</v>
      </c>
      <c r="AV45">
        <f t="shared" si="27"/>
        <v>0</v>
      </c>
      <c r="AW45">
        <f t="shared" si="28"/>
        <v>0</v>
      </c>
      <c r="AX45">
        <f t="shared" si="29"/>
        <v>0</v>
      </c>
      <c r="AY45">
        <f t="shared" si="30"/>
        <v>0</v>
      </c>
      <c r="AZ45">
        <f t="shared" si="31"/>
        <v>0</v>
      </c>
      <c r="BA45">
        <f t="shared" si="32"/>
        <v>0</v>
      </c>
      <c r="BB45">
        <f t="shared" si="33"/>
        <v>0</v>
      </c>
      <c r="BC45">
        <f t="shared" si="34"/>
        <v>0</v>
      </c>
      <c r="BD45">
        <f t="shared" si="35"/>
        <v>0</v>
      </c>
    </row>
    <row r="46" spans="1:56" x14ac:dyDescent="0.25">
      <c r="A46" s="1">
        <v>29</v>
      </c>
      <c r="B46" s="2">
        <v>0</v>
      </c>
      <c r="C46" s="2">
        <v>0</v>
      </c>
      <c r="D46" s="2">
        <v>0</v>
      </c>
      <c r="E46" s="2">
        <v>0</v>
      </c>
      <c r="F46" s="1">
        <f t="shared" si="36"/>
        <v>0</v>
      </c>
      <c r="G46" s="1">
        <f t="shared" si="37"/>
        <v>0</v>
      </c>
      <c r="H46" s="1">
        <f t="shared" si="38"/>
        <v>0</v>
      </c>
      <c r="I46" s="1">
        <f t="shared" si="39"/>
        <v>0</v>
      </c>
      <c r="J46" s="1">
        <f t="shared" si="40"/>
        <v>0</v>
      </c>
      <c r="K46" s="1">
        <f t="shared" si="41"/>
        <v>0</v>
      </c>
      <c r="L46" s="1">
        <f t="shared" si="42"/>
        <v>0</v>
      </c>
      <c r="M46" s="1">
        <f t="shared" si="43"/>
        <v>0</v>
      </c>
      <c r="N46" s="1">
        <f t="shared" si="44"/>
        <v>0</v>
      </c>
      <c r="O46" s="1">
        <f t="shared" si="45"/>
        <v>-0.64772727272727271</v>
      </c>
      <c r="P46" s="1">
        <f t="shared" si="46"/>
        <v>-3.1477272727272729</v>
      </c>
      <c r="Q46" s="1">
        <f t="shared" si="47"/>
        <v>0</v>
      </c>
      <c r="R46" s="1">
        <f t="shared" si="2"/>
        <v>0</v>
      </c>
      <c r="S46" s="1">
        <f t="shared" si="48"/>
        <v>0</v>
      </c>
      <c r="T46" s="7">
        <f t="shared" si="49"/>
        <v>-0.64772727272727271</v>
      </c>
      <c r="U46" s="7">
        <f t="shared" si="50"/>
        <v>-3.1477272727272729</v>
      </c>
      <c r="V46" s="7">
        <f t="shared" si="51"/>
        <v>-0.64772727272727271</v>
      </c>
      <c r="W46" s="7">
        <f t="shared" si="52"/>
        <v>-3.1477272727272729</v>
      </c>
      <c r="X46" s="1">
        <f t="shared" si="3"/>
        <v>0</v>
      </c>
      <c r="Y46" s="1">
        <f t="shared" si="4"/>
        <v>0</v>
      </c>
      <c r="Z46">
        <f t="shared" si="5"/>
        <v>0</v>
      </c>
      <c r="AA46">
        <f t="shared" si="6"/>
        <v>0</v>
      </c>
      <c r="AB46">
        <f t="shared" si="7"/>
        <v>0</v>
      </c>
      <c r="AC46">
        <f t="shared" si="8"/>
        <v>0</v>
      </c>
      <c r="AD46">
        <f t="shared" si="9"/>
        <v>0</v>
      </c>
      <c r="AE46">
        <f t="shared" si="10"/>
        <v>0</v>
      </c>
      <c r="AF46">
        <f t="shared" si="11"/>
        <v>0</v>
      </c>
      <c r="AG46">
        <f t="shared" si="12"/>
        <v>0</v>
      </c>
      <c r="AH46">
        <f t="shared" si="13"/>
        <v>0</v>
      </c>
      <c r="AI46" s="1">
        <f t="shared" si="14"/>
        <v>0</v>
      </c>
      <c r="AJ46" s="1">
        <f t="shared" si="15"/>
        <v>0</v>
      </c>
      <c r="AK46">
        <f t="shared" si="16"/>
        <v>0</v>
      </c>
      <c r="AL46">
        <f t="shared" si="17"/>
        <v>0</v>
      </c>
      <c r="AM46">
        <f t="shared" si="18"/>
        <v>0</v>
      </c>
      <c r="AN46">
        <f t="shared" si="19"/>
        <v>0</v>
      </c>
      <c r="AO46">
        <f t="shared" si="20"/>
        <v>0</v>
      </c>
      <c r="AP46">
        <f t="shared" si="21"/>
        <v>0</v>
      </c>
      <c r="AQ46">
        <f t="shared" si="22"/>
        <v>0</v>
      </c>
      <c r="AR46">
        <f t="shared" si="23"/>
        <v>0</v>
      </c>
      <c r="AS46">
        <f t="shared" si="24"/>
        <v>0</v>
      </c>
      <c r="AT46" s="1">
        <f t="shared" si="25"/>
        <v>0</v>
      </c>
      <c r="AU46" s="1">
        <f t="shared" si="26"/>
        <v>0</v>
      </c>
      <c r="AV46">
        <f t="shared" si="27"/>
        <v>0</v>
      </c>
      <c r="AW46">
        <f t="shared" si="28"/>
        <v>0</v>
      </c>
      <c r="AX46">
        <f t="shared" si="29"/>
        <v>0</v>
      </c>
      <c r="AY46">
        <f t="shared" si="30"/>
        <v>0</v>
      </c>
      <c r="AZ46">
        <f t="shared" si="31"/>
        <v>0</v>
      </c>
      <c r="BA46">
        <f t="shared" si="32"/>
        <v>0</v>
      </c>
      <c r="BB46">
        <f t="shared" si="33"/>
        <v>0</v>
      </c>
      <c r="BC46">
        <f t="shared" si="34"/>
        <v>0</v>
      </c>
      <c r="BD46">
        <f t="shared" si="35"/>
        <v>0</v>
      </c>
    </row>
    <row r="47" spans="1:56" x14ac:dyDescent="0.25">
      <c r="A47" s="1">
        <v>30</v>
      </c>
      <c r="B47" s="2">
        <v>0</v>
      </c>
      <c r="C47" s="2">
        <v>0</v>
      </c>
      <c r="D47" s="2">
        <v>0</v>
      </c>
      <c r="E47" s="2">
        <v>0</v>
      </c>
      <c r="F47" s="1">
        <f t="shared" si="36"/>
        <v>0</v>
      </c>
      <c r="G47" s="1">
        <f t="shared" si="37"/>
        <v>0</v>
      </c>
      <c r="H47" s="1">
        <f t="shared" si="38"/>
        <v>0</v>
      </c>
      <c r="I47" s="1">
        <f t="shared" si="39"/>
        <v>0</v>
      </c>
      <c r="J47" s="1">
        <f t="shared" si="40"/>
        <v>0</v>
      </c>
      <c r="K47" s="1">
        <f t="shared" si="41"/>
        <v>0</v>
      </c>
      <c r="L47" s="1">
        <f t="shared" si="42"/>
        <v>0</v>
      </c>
      <c r="M47" s="1">
        <f t="shared" si="43"/>
        <v>0</v>
      </c>
      <c r="N47" s="1">
        <f t="shared" si="44"/>
        <v>0</v>
      </c>
      <c r="O47" s="1">
        <f t="shared" si="45"/>
        <v>-0.64772727272727271</v>
      </c>
      <c r="P47" s="1">
        <f t="shared" si="46"/>
        <v>-3.1477272727272729</v>
      </c>
      <c r="Q47" s="1">
        <f t="shared" si="47"/>
        <v>0</v>
      </c>
      <c r="R47" s="1">
        <f t="shared" si="2"/>
        <v>0</v>
      </c>
      <c r="S47" s="1">
        <f t="shared" si="48"/>
        <v>0</v>
      </c>
      <c r="T47" s="7">
        <f t="shared" si="49"/>
        <v>-0.64772727272727271</v>
      </c>
      <c r="U47" s="7">
        <f t="shared" si="50"/>
        <v>-3.1477272727272729</v>
      </c>
      <c r="V47" s="7">
        <f t="shared" si="51"/>
        <v>-0.64772727272727271</v>
      </c>
      <c r="W47" s="7">
        <f t="shared" si="52"/>
        <v>-3.1477272727272729</v>
      </c>
      <c r="X47" s="1">
        <f t="shared" si="3"/>
        <v>0</v>
      </c>
      <c r="Y47" s="1">
        <f t="shared" si="4"/>
        <v>0</v>
      </c>
      <c r="Z47">
        <f t="shared" si="5"/>
        <v>0</v>
      </c>
      <c r="AA47">
        <f t="shared" si="6"/>
        <v>0</v>
      </c>
      <c r="AB47">
        <f t="shared" si="7"/>
        <v>0</v>
      </c>
      <c r="AC47">
        <f t="shared" si="8"/>
        <v>0</v>
      </c>
      <c r="AD47">
        <f t="shared" si="9"/>
        <v>0</v>
      </c>
      <c r="AE47">
        <f t="shared" si="10"/>
        <v>0</v>
      </c>
      <c r="AF47">
        <f t="shared" si="11"/>
        <v>0</v>
      </c>
      <c r="AG47">
        <f t="shared" si="12"/>
        <v>0</v>
      </c>
      <c r="AH47">
        <f t="shared" si="13"/>
        <v>0</v>
      </c>
      <c r="AI47" s="1">
        <f t="shared" si="14"/>
        <v>0</v>
      </c>
      <c r="AJ47" s="1">
        <f t="shared" si="15"/>
        <v>0</v>
      </c>
      <c r="AK47">
        <f t="shared" si="16"/>
        <v>0</v>
      </c>
      <c r="AL47">
        <f t="shared" si="17"/>
        <v>0</v>
      </c>
      <c r="AM47">
        <f t="shared" si="18"/>
        <v>0</v>
      </c>
      <c r="AN47">
        <f t="shared" si="19"/>
        <v>0</v>
      </c>
      <c r="AO47">
        <f t="shared" si="20"/>
        <v>0</v>
      </c>
      <c r="AP47">
        <f t="shared" si="21"/>
        <v>0</v>
      </c>
      <c r="AQ47">
        <f t="shared" si="22"/>
        <v>0</v>
      </c>
      <c r="AR47">
        <f t="shared" si="23"/>
        <v>0</v>
      </c>
      <c r="AS47">
        <f t="shared" si="24"/>
        <v>0</v>
      </c>
      <c r="AT47" s="1">
        <f t="shared" si="25"/>
        <v>0</v>
      </c>
      <c r="AU47" s="1">
        <f t="shared" si="26"/>
        <v>0</v>
      </c>
      <c r="AV47">
        <f t="shared" si="27"/>
        <v>0</v>
      </c>
      <c r="AW47">
        <f t="shared" si="28"/>
        <v>0</v>
      </c>
      <c r="AX47">
        <f t="shared" si="29"/>
        <v>0</v>
      </c>
      <c r="AY47">
        <f t="shared" si="30"/>
        <v>0</v>
      </c>
      <c r="AZ47">
        <f t="shared" si="31"/>
        <v>0</v>
      </c>
      <c r="BA47">
        <f t="shared" si="32"/>
        <v>0</v>
      </c>
      <c r="BB47">
        <f t="shared" si="33"/>
        <v>0</v>
      </c>
      <c r="BC47">
        <f t="shared" si="34"/>
        <v>0</v>
      </c>
      <c r="BD47">
        <f t="shared" si="35"/>
        <v>0</v>
      </c>
    </row>
    <row r="48" spans="1:56" x14ac:dyDescent="0.25">
      <c r="A48" s="1">
        <v>31</v>
      </c>
      <c r="B48" s="2">
        <v>0</v>
      </c>
      <c r="C48" s="2">
        <v>0</v>
      </c>
      <c r="D48" s="2">
        <v>0</v>
      </c>
      <c r="E48" s="2">
        <v>0</v>
      </c>
      <c r="F48" s="1">
        <f t="shared" si="36"/>
        <v>0</v>
      </c>
      <c r="G48" s="1">
        <f t="shared" si="37"/>
        <v>0</v>
      </c>
      <c r="H48" s="1">
        <f t="shared" si="38"/>
        <v>0</v>
      </c>
      <c r="I48" s="1">
        <f t="shared" si="39"/>
        <v>0</v>
      </c>
      <c r="J48" s="1">
        <f t="shared" si="40"/>
        <v>0</v>
      </c>
      <c r="K48" s="1">
        <f t="shared" si="41"/>
        <v>0</v>
      </c>
      <c r="L48" s="1">
        <f t="shared" si="42"/>
        <v>0</v>
      </c>
      <c r="M48" s="1">
        <f t="shared" si="43"/>
        <v>0</v>
      </c>
      <c r="N48" s="1">
        <f t="shared" si="44"/>
        <v>0</v>
      </c>
      <c r="O48" s="1">
        <f t="shared" si="45"/>
        <v>-0.64772727272727271</v>
      </c>
      <c r="P48" s="1">
        <f t="shared" si="46"/>
        <v>-3.1477272727272729</v>
      </c>
      <c r="Q48" s="1">
        <f t="shared" si="47"/>
        <v>0</v>
      </c>
      <c r="R48" s="1">
        <f t="shared" si="2"/>
        <v>0</v>
      </c>
      <c r="S48" s="1">
        <f t="shared" si="48"/>
        <v>0</v>
      </c>
      <c r="T48" s="7">
        <f t="shared" si="49"/>
        <v>-0.64772727272727271</v>
      </c>
      <c r="U48" s="7">
        <f t="shared" si="50"/>
        <v>-3.1477272727272729</v>
      </c>
      <c r="V48" s="7">
        <f t="shared" si="51"/>
        <v>-0.64772727272727271</v>
      </c>
      <c r="W48" s="7">
        <f t="shared" si="52"/>
        <v>-3.1477272727272729</v>
      </c>
      <c r="X48" s="1">
        <f t="shared" si="3"/>
        <v>0</v>
      </c>
      <c r="Y48" s="1">
        <f t="shared" si="4"/>
        <v>0</v>
      </c>
      <c r="Z48">
        <f t="shared" si="5"/>
        <v>0</v>
      </c>
      <c r="AA48">
        <f t="shared" si="6"/>
        <v>0</v>
      </c>
      <c r="AB48">
        <f t="shared" si="7"/>
        <v>0</v>
      </c>
      <c r="AC48">
        <f t="shared" si="8"/>
        <v>0</v>
      </c>
      <c r="AD48">
        <f t="shared" si="9"/>
        <v>0</v>
      </c>
      <c r="AE48">
        <f t="shared" si="10"/>
        <v>0</v>
      </c>
      <c r="AF48">
        <f t="shared" si="11"/>
        <v>0</v>
      </c>
      <c r="AG48">
        <f t="shared" si="12"/>
        <v>0</v>
      </c>
      <c r="AH48">
        <f t="shared" si="13"/>
        <v>0</v>
      </c>
      <c r="AI48" s="1">
        <f t="shared" si="14"/>
        <v>0</v>
      </c>
      <c r="AJ48" s="1">
        <f t="shared" si="15"/>
        <v>0</v>
      </c>
      <c r="AK48">
        <f t="shared" si="16"/>
        <v>0</v>
      </c>
      <c r="AL48">
        <f t="shared" si="17"/>
        <v>0</v>
      </c>
      <c r="AM48">
        <f t="shared" si="18"/>
        <v>0</v>
      </c>
      <c r="AN48">
        <f t="shared" si="19"/>
        <v>0</v>
      </c>
      <c r="AO48">
        <f t="shared" si="20"/>
        <v>0</v>
      </c>
      <c r="AP48">
        <f t="shared" si="21"/>
        <v>0</v>
      </c>
      <c r="AQ48">
        <f t="shared" si="22"/>
        <v>0</v>
      </c>
      <c r="AR48">
        <f t="shared" si="23"/>
        <v>0</v>
      </c>
      <c r="AS48">
        <f t="shared" si="24"/>
        <v>0</v>
      </c>
      <c r="AT48" s="1">
        <f t="shared" si="25"/>
        <v>0</v>
      </c>
      <c r="AU48" s="1">
        <f t="shared" si="26"/>
        <v>0</v>
      </c>
      <c r="AV48">
        <f t="shared" si="27"/>
        <v>0</v>
      </c>
      <c r="AW48">
        <f t="shared" si="28"/>
        <v>0</v>
      </c>
      <c r="AX48">
        <f t="shared" si="29"/>
        <v>0</v>
      </c>
      <c r="AY48">
        <f t="shared" si="30"/>
        <v>0</v>
      </c>
      <c r="AZ48">
        <f t="shared" si="31"/>
        <v>0</v>
      </c>
      <c r="BA48">
        <f t="shared" si="32"/>
        <v>0</v>
      </c>
      <c r="BB48">
        <f t="shared" si="33"/>
        <v>0</v>
      </c>
      <c r="BC48">
        <f t="shared" si="34"/>
        <v>0</v>
      </c>
      <c r="BD48">
        <f t="shared" si="35"/>
        <v>0</v>
      </c>
    </row>
    <row r="49" spans="1:56" x14ac:dyDescent="0.25">
      <c r="A49" s="1">
        <v>32</v>
      </c>
      <c r="B49" s="2">
        <v>0</v>
      </c>
      <c r="C49" s="2">
        <v>0</v>
      </c>
      <c r="D49" s="2">
        <v>0</v>
      </c>
      <c r="E49" s="2">
        <v>0</v>
      </c>
      <c r="F49" s="1">
        <f t="shared" si="36"/>
        <v>0</v>
      </c>
      <c r="G49" s="1">
        <f t="shared" si="37"/>
        <v>0</v>
      </c>
      <c r="H49" s="1">
        <f t="shared" si="38"/>
        <v>0</v>
      </c>
      <c r="I49" s="1">
        <f t="shared" si="39"/>
        <v>0</v>
      </c>
      <c r="J49" s="1">
        <f t="shared" si="40"/>
        <v>0</v>
      </c>
      <c r="K49" s="1">
        <f t="shared" si="41"/>
        <v>0</v>
      </c>
      <c r="L49" s="1">
        <f t="shared" si="42"/>
        <v>0</v>
      </c>
      <c r="M49" s="1">
        <f t="shared" si="43"/>
        <v>0</v>
      </c>
      <c r="N49" s="1">
        <f t="shared" si="44"/>
        <v>0</v>
      </c>
      <c r="O49" s="1">
        <f t="shared" si="45"/>
        <v>-0.64772727272727271</v>
      </c>
      <c r="P49" s="1">
        <f t="shared" si="46"/>
        <v>-3.1477272727272729</v>
      </c>
      <c r="Q49" s="1">
        <f t="shared" si="47"/>
        <v>0</v>
      </c>
      <c r="R49" s="1">
        <f t="shared" si="2"/>
        <v>0</v>
      </c>
      <c r="S49" s="1">
        <f t="shared" si="48"/>
        <v>0</v>
      </c>
      <c r="T49" s="7">
        <f t="shared" si="49"/>
        <v>-0.64772727272727271</v>
      </c>
      <c r="U49" s="7">
        <f t="shared" si="50"/>
        <v>-3.1477272727272729</v>
      </c>
      <c r="V49" s="7">
        <f t="shared" si="51"/>
        <v>-0.64772727272727271</v>
      </c>
      <c r="W49" s="7">
        <f t="shared" si="52"/>
        <v>-3.1477272727272729</v>
      </c>
      <c r="X49" s="1">
        <f t="shared" si="3"/>
        <v>0</v>
      </c>
      <c r="Y49" s="1">
        <f t="shared" si="4"/>
        <v>0</v>
      </c>
      <c r="Z49">
        <f t="shared" si="5"/>
        <v>0</v>
      </c>
      <c r="AA49">
        <f t="shared" si="6"/>
        <v>0</v>
      </c>
      <c r="AB49">
        <f t="shared" si="7"/>
        <v>0</v>
      </c>
      <c r="AC49">
        <f t="shared" si="8"/>
        <v>0</v>
      </c>
      <c r="AD49">
        <f t="shared" si="9"/>
        <v>0</v>
      </c>
      <c r="AE49">
        <f t="shared" si="10"/>
        <v>0</v>
      </c>
      <c r="AF49">
        <f t="shared" si="11"/>
        <v>0</v>
      </c>
      <c r="AG49">
        <f t="shared" si="12"/>
        <v>0</v>
      </c>
      <c r="AH49">
        <f t="shared" si="13"/>
        <v>0</v>
      </c>
      <c r="AI49" s="1">
        <f t="shared" si="14"/>
        <v>0</v>
      </c>
      <c r="AJ49" s="1">
        <f t="shared" si="15"/>
        <v>0</v>
      </c>
      <c r="AK49">
        <f t="shared" si="16"/>
        <v>0</v>
      </c>
      <c r="AL49">
        <f t="shared" si="17"/>
        <v>0</v>
      </c>
      <c r="AM49">
        <f t="shared" si="18"/>
        <v>0</v>
      </c>
      <c r="AN49">
        <f t="shared" si="19"/>
        <v>0</v>
      </c>
      <c r="AO49">
        <f t="shared" si="20"/>
        <v>0</v>
      </c>
      <c r="AP49">
        <f t="shared" si="21"/>
        <v>0</v>
      </c>
      <c r="AQ49">
        <f t="shared" si="22"/>
        <v>0</v>
      </c>
      <c r="AR49">
        <f t="shared" si="23"/>
        <v>0</v>
      </c>
      <c r="AS49">
        <f t="shared" si="24"/>
        <v>0</v>
      </c>
      <c r="AT49" s="1">
        <f t="shared" si="25"/>
        <v>0</v>
      </c>
      <c r="AU49" s="1">
        <f t="shared" si="26"/>
        <v>0</v>
      </c>
      <c r="AV49">
        <f t="shared" si="27"/>
        <v>0</v>
      </c>
      <c r="AW49">
        <f t="shared" si="28"/>
        <v>0</v>
      </c>
      <c r="AX49">
        <f t="shared" si="29"/>
        <v>0</v>
      </c>
      <c r="AY49">
        <f t="shared" si="30"/>
        <v>0</v>
      </c>
      <c r="AZ49">
        <f t="shared" si="31"/>
        <v>0</v>
      </c>
      <c r="BA49">
        <f t="shared" si="32"/>
        <v>0</v>
      </c>
      <c r="BB49">
        <f t="shared" si="33"/>
        <v>0</v>
      </c>
      <c r="BC49">
        <f t="shared" si="34"/>
        <v>0</v>
      </c>
      <c r="BD49">
        <f t="shared" si="35"/>
        <v>0</v>
      </c>
    </row>
    <row r="50" spans="1:56" x14ac:dyDescent="0.25">
      <c r="A50" s="1">
        <v>33</v>
      </c>
      <c r="B50" s="2">
        <v>0</v>
      </c>
      <c r="C50" s="2">
        <v>0</v>
      </c>
      <c r="D50" s="2">
        <v>0</v>
      </c>
      <c r="E50" s="2">
        <v>0</v>
      </c>
      <c r="F50" s="1">
        <f t="shared" si="36"/>
        <v>0</v>
      </c>
      <c r="G50" s="1">
        <f t="shared" si="37"/>
        <v>0</v>
      </c>
      <c r="H50" s="1">
        <f t="shared" si="38"/>
        <v>0</v>
      </c>
      <c r="I50" s="1">
        <f t="shared" si="39"/>
        <v>0</v>
      </c>
      <c r="J50" s="1">
        <f t="shared" si="40"/>
        <v>0</v>
      </c>
      <c r="K50" s="1">
        <f t="shared" si="41"/>
        <v>0</v>
      </c>
      <c r="L50" s="1">
        <f t="shared" si="42"/>
        <v>0</v>
      </c>
      <c r="M50" s="1">
        <f t="shared" si="43"/>
        <v>0</v>
      </c>
      <c r="N50" s="1">
        <f t="shared" si="44"/>
        <v>0</v>
      </c>
      <c r="O50" s="1">
        <f t="shared" si="45"/>
        <v>-0.64772727272727271</v>
      </c>
      <c r="P50" s="1">
        <f t="shared" si="46"/>
        <v>-3.1477272727272729</v>
      </c>
      <c r="Q50" s="1">
        <f t="shared" si="47"/>
        <v>0</v>
      </c>
      <c r="R50" s="1">
        <f t="shared" si="2"/>
        <v>0</v>
      </c>
      <c r="S50" s="1">
        <f t="shared" si="48"/>
        <v>0</v>
      </c>
      <c r="T50" s="7">
        <f t="shared" si="49"/>
        <v>-0.64772727272727271</v>
      </c>
      <c r="U50" s="7">
        <f t="shared" si="50"/>
        <v>-3.1477272727272729</v>
      </c>
      <c r="V50" s="7">
        <f t="shared" si="51"/>
        <v>-0.64772727272727271</v>
      </c>
      <c r="W50" s="7">
        <f t="shared" si="52"/>
        <v>-3.1477272727272729</v>
      </c>
      <c r="X50" s="1">
        <f t="shared" si="3"/>
        <v>0</v>
      </c>
      <c r="Y50" s="1">
        <f t="shared" si="4"/>
        <v>0</v>
      </c>
      <c r="Z50">
        <f t="shared" si="5"/>
        <v>0</v>
      </c>
      <c r="AA50">
        <f t="shared" si="6"/>
        <v>0</v>
      </c>
      <c r="AB50">
        <f t="shared" si="7"/>
        <v>0</v>
      </c>
      <c r="AC50">
        <f t="shared" si="8"/>
        <v>0</v>
      </c>
      <c r="AD50">
        <f t="shared" si="9"/>
        <v>0</v>
      </c>
      <c r="AE50">
        <f t="shared" si="10"/>
        <v>0</v>
      </c>
      <c r="AF50">
        <f t="shared" si="11"/>
        <v>0</v>
      </c>
      <c r="AG50">
        <f t="shared" si="12"/>
        <v>0</v>
      </c>
      <c r="AH50">
        <f t="shared" si="13"/>
        <v>0</v>
      </c>
      <c r="AI50" s="1">
        <f t="shared" si="14"/>
        <v>0</v>
      </c>
      <c r="AJ50" s="1">
        <f t="shared" si="15"/>
        <v>0</v>
      </c>
      <c r="AK50">
        <f t="shared" si="16"/>
        <v>0</v>
      </c>
      <c r="AL50">
        <f t="shared" si="17"/>
        <v>0</v>
      </c>
      <c r="AM50">
        <f t="shared" si="18"/>
        <v>0</v>
      </c>
      <c r="AN50">
        <f t="shared" si="19"/>
        <v>0</v>
      </c>
      <c r="AO50">
        <f t="shared" si="20"/>
        <v>0</v>
      </c>
      <c r="AP50">
        <f t="shared" si="21"/>
        <v>0</v>
      </c>
      <c r="AQ50">
        <f t="shared" si="22"/>
        <v>0</v>
      </c>
      <c r="AR50">
        <f t="shared" si="23"/>
        <v>0</v>
      </c>
      <c r="AS50">
        <f t="shared" si="24"/>
        <v>0</v>
      </c>
      <c r="AT50" s="1">
        <f t="shared" si="25"/>
        <v>0</v>
      </c>
      <c r="AU50" s="1">
        <f t="shared" si="26"/>
        <v>0</v>
      </c>
      <c r="AV50">
        <f t="shared" si="27"/>
        <v>0</v>
      </c>
      <c r="AW50">
        <f t="shared" si="28"/>
        <v>0</v>
      </c>
      <c r="AX50">
        <f t="shared" si="29"/>
        <v>0</v>
      </c>
      <c r="AY50">
        <f t="shared" si="30"/>
        <v>0</v>
      </c>
      <c r="AZ50">
        <f t="shared" si="31"/>
        <v>0</v>
      </c>
      <c r="BA50">
        <f t="shared" si="32"/>
        <v>0</v>
      </c>
      <c r="BB50">
        <f t="shared" si="33"/>
        <v>0</v>
      </c>
      <c r="BC50">
        <f t="shared" si="34"/>
        <v>0</v>
      </c>
      <c r="BD50">
        <f t="shared" si="35"/>
        <v>0</v>
      </c>
    </row>
    <row r="51" spans="1:56" x14ac:dyDescent="0.25">
      <c r="A51" s="1">
        <v>34</v>
      </c>
      <c r="B51" s="2">
        <v>0</v>
      </c>
      <c r="C51" s="2">
        <v>0</v>
      </c>
      <c r="D51" s="2">
        <v>0</v>
      </c>
      <c r="E51" s="2">
        <v>0</v>
      </c>
      <c r="F51" s="1">
        <f t="shared" si="36"/>
        <v>0</v>
      </c>
      <c r="G51" s="1">
        <f t="shared" si="37"/>
        <v>0</v>
      </c>
      <c r="H51" s="1">
        <f t="shared" si="38"/>
        <v>0</v>
      </c>
      <c r="I51" s="1">
        <f t="shared" si="39"/>
        <v>0</v>
      </c>
      <c r="J51" s="1">
        <f t="shared" si="40"/>
        <v>0</v>
      </c>
      <c r="K51" s="1">
        <f t="shared" si="41"/>
        <v>0</v>
      </c>
      <c r="L51" s="1">
        <f t="shared" si="42"/>
        <v>0</v>
      </c>
      <c r="M51" s="1">
        <f t="shared" si="43"/>
        <v>0</v>
      </c>
      <c r="N51" s="1">
        <f t="shared" si="44"/>
        <v>0</v>
      </c>
      <c r="O51" s="1">
        <f t="shared" si="45"/>
        <v>-0.64772727272727271</v>
      </c>
      <c r="P51" s="1">
        <f t="shared" si="46"/>
        <v>-3.1477272727272729</v>
      </c>
      <c r="Q51" s="1">
        <f t="shared" si="47"/>
        <v>0</v>
      </c>
      <c r="R51" s="1">
        <f t="shared" si="2"/>
        <v>0</v>
      </c>
      <c r="S51" s="1">
        <f t="shared" si="48"/>
        <v>0</v>
      </c>
      <c r="T51" s="7">
        <f t="shared" si="49"/>
        <v>-0.64772727272727271</v>
      </c>
      <c r="U51" s="7">
        <f t="shared" si="50"/>
        <v>-3.1477272727272729</v>
      </c>
      <c r="V51" s="7">
        <f t="shared" si="51"/>
        <v>-0.64772727272727271</v>
      </c>
      <c r="W51" s="7">
        <f t="shared" si="52"/>
        <v>-3.1477272727272729</v>
      </c>
      <c r="X51" s="1">
        <f t="shared" si="3"/>
        <v>0</v>
      </c>
      <c r="Y51" s="1">
        <f t="shared" si="4"/>
        <v>0</v>
      </c>
      <c r="Z51">
        <f t="shared" si="5"/>
        <v>0</v>
      </c>
      <c r="AA51">
        <f t="shared" si="6"/>
        <v>0</v>
      </c>
      <c r="AB51">
        <f t="shared" si="7"/>
        <v>0</v>
      </c>
      <c r="AC51">
        <f t="shared" si="8"/>
        <v>0</v>
      </c>
      <c r="AD51">
        <f t="shared" si="9"/>
        <v>0</v>
      </c>
      <c r="AE51">
        <f t="shared" si="10"/>
        <v>0</v>
      </c>
      <c r="AF51">
        <f t="shared" si="11"/>
        <v>0</v>
      </c>
      <c r="AG51">
        <f t="shared" si="12"/>
        <v>0</v>
      </c>
      <c r="AH51">
        <f t="shared" si="13"/>
        <v>0</v>
      </c>
      <c r="AI51" s="1">
        <f t="shared" si="14"/>
        <v>0</v>
      </c>
      <c r="AJ51" s="1">
        <f t="shared" si="15"/>
        <v>0</v>
      </c>
      <c r="AK51">
        <f t="shared" si="16"/>
        <v>0</v>
      </c>
      <c r="AL51">
        <f t="shared" si="17"/>
        <v>0</v>
      </c>
      <c r="AM51">
        <f t="shared" si="18"/>
        <v>0</v>
      </c>
      <c r="AN51">
        <f t="shared" si="19"/>
        <v>0</v>
      </c>
      <c r="AO51">
        <f t="shared" si="20"/>
        <v>0</v>
      </c>
      <c r="AP51">
        <f t="shared" si="21"/>
        <v>0</v>
      </c>
      <c r="AQ51">
        <f t="shared" si="22"/>
        <v>0</v>
      </c>
      <c r="AR51">
        <f t="shared" si="23"/>
        <v>0</v>
      </c>
      <c r="AS51">
        <f t="shared" si="24"/>
        <v>0</v>
      </c>
      <c r="AT51" s="1">
        <f t="shared" si="25"/>
        <v>0</v>
      </c>
      <c r="AU51" s="1">
        <f t="shared" si="26"/>
        <v>0</v>
      </c>
      <c r="AV51">
        <f t="shared" si="27"/>
        <v>0</v>
      </c>
      <c r="AW51">
        <f t="shared" si="28"/>
        <v>0</v>
      </c>
      <c r="AX51">
        <f t="shared" si="29"/>
        <v>0</v>
      </c>
      <c r="AY51">
        <f t="shared" si="30"/>
        <v>0</v>
      </c>
      <c r="AZ51">
        <f t="shared" si="31"/>
        <v>0</v>
      </c>
      <c r="BA51">
        <f t="shared" si="32"/>
        <v>0</v>
      </c>
      <c r="BB51">
        <f t="shared" si="33"/>
        <v>0</v>
      </c>
      <c r="BC51">
        <f t="shared" si="34"/>
        <v>0</v>
      </c>
      <c r="BD51">
        <f t="shared" si="35"/>
        <v>0</v>
      </c>
    </row>
    <row r="52" spans="1:56" x14ac:dyDescent="0.25">
      <c r="A52" s="1">
        <v>35</v>
      </c>
      <c r="B52" s="2">
        <v>0</v>
      </c>
      <c r="C52" s="2">
        <v>0</v>
      </c>
      <c r="D52" s="2">
        <v>0</v>
      </c>
      <c r="E52" s="2">
        <v>0</v>
      </c>
      <c r="F52" s="1">
        <f t="shared" si="36"/>
        <v>0</v>
      </c>
      <c r="G52" s="1">
        <f t="shared" si="37"/>
        <v>0</v>
      </c>
      <c r="H52" s="1">
        <f t="shared" si="38"/>
        <v>0</v>
      </c>
      <c r="I52" s="1">
        <f t="shared" si="39"/>
        <v>0</v>
      </c>
      <c r="J52" s="1">
        <f t="shared" si="40"/>
        <v>0</v>
      </c>
      <c r="K52" s="1">
        <f t="shared" si="41"/>
        <v>0</v>
      </c>
      <c r="L52" s="1">
        <f t="shared" si="42"/>
        <v>0</v>
      </c>
      <c r="M52" s="1">
        <f t="shared" si="43"/>
        <v>0</v>
      </c>
      <c r="N52" s="1">
        <f t="shared" si="44"/>
        <v>0</v>
      </c>
      <c r="O52" s="1">
        <f t="shared" si="45"/>
        <v>-0.64772727272727271</v>
      </c>
      <c r="P52" s="1">
        <f t="shared" si="46"/>
        <v>-3.1477272727272729</v>
      </c>
      <c r="Q52" s="1">
        <f t="shared" si="47"/>
        <v>0</v>
      </c>
      <c r="R52" s="1">
        <f t="shared" si="2"/>
        <v>0</v>
      </c>
      <c r="S52" s="1">
        <f t="shared" si="48"/>
        <v>0</v>
      </c>
      <c r="T52" s="7">
        <f t="shared" si="49"/>
        <v>-0.64772727272727271</v>
      </c>
      <c r="U52" s="7">
        <f t="shared" si="50"/>
        <v>-3.1477272727272729</v>
      </c>
      <c r="V52" s="7">
        <f t="shared" si="51"/>
        <v>-0.64772727272727271</v>
      </c>
      <c r="W52" s="7">
        <f t="shared" si="52"/>
        <v>-3.1477272727272729</v>
      </c>
      <c r="X52" s="1">
        <f t="shared" si="3"/>
        <v>0</v>
      </c>
      <c r="Y52" s="1">
        <f t="shared" si="4"/>
        <v>0</v>
      </c>
      <c r="Z52">
        <f t="shared" si="5"/>
        <v>0</v>
      </c>
      <c r="AA52">
        <f t="shared" si="6"/>
        <v>0</v>
      </c>
      <c r="AB52">
        <f t="shared" si="7"/>
        <v>0</v>
      </c>
      <c r="AC52">
        <f t="shared" si="8"/>
        <v>0</v>
      </c>
      <c r="AD52">
        <f t="shared" si="9"/>
        <v>0</v>
      </c>
      <c r="AE52">
        <f t="shared" si="10"/>
        <v>0</v>
      </c>
      <c r="AF52">
        <f t="shared" si="11"/>
        <v>0</v>
      </c>
      <c r="AG52">
        <f t="shared" si="12"/>
        <v>0</v>
      </c>
      <c r="AH52">
        <f t="shared" si="13"/>
        <v>0</v>
      </c>
      <c r="AI52" s="1">
        <f t="shared" si="14"/>
        <v>0</v>
      </c>
      <c r="AJ52" s="1">
        <f t="shared" si="15"/>
        <v>0</v>
      </c>
      <c r="AK52">
        <f t="shared" si="16"/>
        <v>0</v>
      </c>
      <c r="AL52">
        <f t="shared" si="17"/>
        <v>0</v>
      </c>
      <c r="AM52">
        <f t="shared" si="18"/>
        <v>0</v>
      </c>
      <c r="AN52">
        <f t="shared" si="19"/>
        <v>0</v>
      </c>
      <c r="AO52">
        <f t="shared" si="20"/>
        <v>0</v>
      </c>
      <c r="AP52">
        <f t="shared" si="21"/>
        <v>0</v>
      </c>
      <c r="AQ52">
        <f t="shared" si="22"/>
        <v>0</v>
      </c>
      <c r="AR52">
        <f t="shared" si="23"/>
        <v>0</v>
      </c>
      <c r="AS52">
        <f t="shared" si="24"/>
        <v>0</v>
      </c>
      <c r="AT52" s="1">
        <f t="shared" si="25"/>
        <v>0</v>
      </c>
      <c r="AU52" s="1">
        <f t="shared" si="26"/>
        <v>0</v>
      </c>
      <c r="AV52">
        <f t="shared" si="27"/>
        <v>0</v>
      </c>
      <c r="AW52">
        <f t="shared" si="28"/>
        <v>0</v>
      </c>
      <c r="AX52">
        <f t="shared" si="29"/>
        <v>0</v>
      </c>
      <c r="AY52">
        <f t="shared" si="30"/>
        <v>0</v>
      </c>
      <c r="AZ52">
        <f t="shared" si="31"/>
        <v>0</v>
      </c>
      <c r="BA52">
        <f t="shared" si="32"/>
        <v>0</v>
      </c>
      <c r="BB52">
        <f t="shared" si="33"/>
        <v>0</v>
      </c>
      <c r="BC52">
        <f t="shared" si="34"/>
        <v>0</v>
      </c>
      <c r="BD52">
        <f t="shared" si="35"/>
        <v>0</v>
      </c>
    </row>
    <row r="53" spans="1:56" x14ac:dyDescent="0.25">
      <c r="A53" s="1">
        <v>36</v>
      </c>
      <c r="B53" s="2">
        <v>0</v>
      </c>
      <c r="C53" s="2">
        <v>0</v>
      </c>
      <c r="D53" s="2">
        <v>0</v>
      </c>
      <c r="E53" s="2">
        <v>0</v>
      </c>
      <c r="F53" s="1">
        <f t="shared" si="36"/>
        <v>0</v>
      </c>
      <c r="G53" s="1">
        <f t="shared" si="37"/>
        <v>0</v>
      </c>
      <c r="H53" s="1">
        <f t="shared" si="38"/>
        <v>0</v>
      </c>
      <c r="I53" s="1">
        <f t="shared" si="39"/>
        <v>0</v>
      </c>
      <c r="J53" s="1">
        <f t="shared" si="40"/>
        <v>0</v>
      </c>
      <c r="K53" s="1">
        <f t="shared" si="41"/>
        <v>0</v>
      </c>
      <c r="L53" s="1">
        <f t="shared" si="42"/>
        <v>0</v>
      </c>
      <c r="M53" s="1">
        <f t="shared" si="43"/>
        <v>0</v>
      </c>
      <c r="N53" s="1">
        <f t="shared" si="44"/>
        <v>0</v>
      </c>
      <c r="O53" s="1">
        <f t="shared" si="45"/>
        <v>-0.64772727272727271</v>
      </c>
      <c r="P53" s="1">
        <f t="shared" si="46"/>
        <v>-3.1477272727272729</v>
      </c>
      <c r="Q53" s="1">
        <f t="shared" si="47"/>
        <v>0</v>
      </c>
      <c r="R53" s="1">
        <f t="shared" si="2"/>
        <v>0</v>
      </c>
      <c r="S53" s="1">
        <f t="shared" si="48"/>
        <v>0</v>
      </c>
      <c r="T53" s="7">
        <f t="shared" si="49"/>
        <v>-0.64772727272727271</v>
      </c>
      <c r="U53" s="7">
        <f t="shared" si="50"/>
        <v>-3.1477272727272729</v>
      </c>
      <c r="V53" s="7">
        <f t="shared" si="51"/>
        <v>-0.64772727272727271</v>
      </c>
      <c r="W53" s="7">
        <f t="shared" si="52"/>
        <v>-3.1477272727272729</v>
      </c>
      <c r="X53" s="1">
        <f t="shared" si="3"/>
        <v>0</v>
      </c>
      <c r="Y53" s="1">
        <f t="shared" si="4"/>
        <v>0</v>
      </c>
      <c r="Z53">
        <f t="shared" si="5"/>
        <v>0</v>
      </c>
      <c r="AA53">
        <f t="shared" si="6"/>
        <v>0</v>
      </c>
      <c r="AB53">
        <f t="shared" si="7"/>
        <v>0</v>
      </c>
      <c r="AC53">
        <f t="shared" si="8"/>
        <v>0</v>
      </c>
      <c r="AD53">
        <f t="shared" si="9"/>
        <v>0</v>
      </c>
      <c r="AE53">
        <f t="shared" si="10"/>
        <v>0</v>
      </c>
      <c r="AF53">
        <f t="shared" si="11"/>
        <v>0</v>
      </c>
      <c r="AG53">
        <f t="shared" si="12"/>
        <v>0</v>
      </c>
      <c r="AH53">
        <f t="shared" si="13"/>
        <v>0</v>
      </c>
      <c r="AI53" s="1">
        <f t="shared" si="14"/>
        <v>0</v>
      </c>
      <c r="AJ53" s="1">
        <f t="shared" si="15"/>
        <v>0</v>
      </c>
      <c r="AK53">
        <f t="shared" si="16"/>
        <v>0</v>
      </c>
      <c r="AL53">
        <f t="shared" si="17"/>
        <v>0</v>
      </c>
      <c r="AM53">
        <f t="shared" si="18"/>
        <v>0</v>
      </c>
      <c r="AN53">
        <f t="shared" si="19"/>
        <v>0</v>
      </c>
      <c r="AO53">
        <f t="shared" si="20"/>
        <v>0</v>
      </c>
      <c r="AP53">
        <f t="shared" si="21"/>
        <v>0</v>
      </c>
      <c r="AQ53">
        <f t="shared" si="22"/>
        <v>0</v>
      </c>
      <c r="AR53">
        <f t="shared" si="23"/>
        <v>0</v>
      </c>
      <c r="AS53">
        <f t="shared" si="24"/>
        <v>0</v>
      </c>
      <c r="AT53" s="1">
        <f t="shared" si="25"/>
        <v>0</v>
      </c>
      <c r="AU53" s="1">
        <f t="shared" si="26"/>
        <v>0</v>
      </c>
      <c r="AV53">
        <f t="shared" si="27"/>
        <v>0</v>
      </c>
      <c r="AW53">
        <f t="shared" si="28"/>
        <v>0</v>
      </c>
      <c r="AX53">
        <f t="shared" si="29"/>
        <v>0</v>
      </c>
      <c r="AY53">
        <f t="shared" si="30"/>
        <v>0</v>
      </c>
      <c r="AZ53">
        <f t="shared" si="31"/>
        <v>0</v>
      </c>
      <c r="BA53">
        <f t="shared" si="32"/>
        <v>0</v>
      </c>
      <c r="BB53">
        <f t="shared" si="33"/>
        <v>0</v>
      </c>
      <c r="BC53">
        <f t="shared" si="34"/>
        <v>0</v>
      </c>
      <c r="BD53">
        <f t="shared" si="35"/>
        <v>0</v>
      </c>
    </row>
    <row r="54" spans="1:56" x14ac:dyDescent="0.25">
      <c r="A54" s="1">
        <v>37</v>
      </c>
      <c r="B54" s="2">
        <v>0</v>
      </c>
      <c r="C54" s="2">
        <v>0</v>
      </c>
      <c r="D54" s="2">
        <v>0</v>
      </c>
      <c r="E54" s="2">
        <v>0</v>
      </c>
      <c r="F54" s="1">
        <f t="shared" si="36"/>
        <v>0</v>
      </c>
      <c r="G54" s="1">
        <f t="shared" si="37"/>
        <v>0</v>
      </c>
      <c r="H54" s="1">
        <f t="shared" si="38"/>
        <v>0</v>
      </c>
      <c r="I54" s="1">
        <f t="shared" si="39"/>
        <v>0</v>
      </c>
      <c r="J54" s="1">
        <f t="shared" si="40"/>
        <v>0</v>
      </c>
      <c r="K54" s="1">
        <f t="shared" si="41"/>
        <v>0</v>
      </c>
      <c r="L54" s="1">
        <f t="shared" si="42"/>
        <v>0</v>
      </c>
      <c r="M54" s="1">
        <f t="shared" si="43"/>
        <v>0</v>
      </c>
      <c r="N54" s="1">
        <f t="shared" si="44"/>
        <v>0</v>
      </c>
      <c r="O54" s="1">
        <f t="shared" si="45"/>
        <v>-0.64772727272727271</v>
      </c>
      <c r="P54" s="1">
        <f t="shared" si="46"/>
        <v>-3.1477272727272729</v>
      </c>
      <c r="Q54" s="1">
        <f t="shared" si="47"/>
        <v>0</v>
      </c>
      <c r="R54" s="1">
        <f t="shared" si="2"/>
        <v>0</v>
      </c>
      <c r="S54" s="1">
        <f t="shared" si="48"/>
        <v>0</v>
      </c>
      <c r="T54" s="7">
        <f t="shared" si="49"/>
        <v>-0.64772727272727271</v>
      </c>
      <c r="U54" s="7">
        <f t="shared" si="50"/>
        <v>-3.1477272727272729</v>
      </c>
      <c r="V54" s="7">
        <f t="shared" si="51"/>
        <v>-0.64772727272727271</v>
      </c>
      <c r="W54" s="7">
        <f t="shared" si="52"/>
        <v>-3.1477272727272729</v>
      </c>
      <c r="X54" s="1">
        <f t="shared" si="3"/>
        <v>0</v>
      </c>
      <c r="Y54" s="1">
        <f t="shared" si="4"/>
        <v>0</v>
      </c>
      <c r="Z54">
        <f t="shared" si="5"/>
        <v>0</v>
      </c>
      <c r="AA54">
        <f t="shared" si="6"/>
        <v>0</v>
      </c>
      <c r="AB54">
        <f t="shared" si="7"/>
        <v>0</v>
      </c>
      <c r="AC54">
        <f t="shared" si="8"/>
        <v>0</v>
      </c>
      <c r="AD54">
        <f t="shared" si="9"/>
        <v>0</v>
      </c>
      <c r="AE54">
        <f t="shared" si="10"/>
        <v>0</v>
      </c>
      <c r="AF54">
        <f t="shared" si="11"/>
        <v>0</v>
      </c>
      <c r="AG54">
        <f t="shared" si="12"/>
        <v>0</v>
      </c>
      <c r="AH54">
        <f t="shared" si="13"/>
        <v>0</v>
      </c>
      <c r="AI54" s="1">
        <f t="shared" si="14"/>
        <v>0</v>
      </c>
      <c r="AJ54" s="1">
        <f t="shared" si="15"/>
        <v>0</v>
      </c>
      <c r="AK54">
        <f t="shared" si="16"/>
        <v>0</v>
      </c>
      <c r="AL54">
        <f t="shared" si="17"/>
        <v>0</v>
      </c>
      <c r="AM54">
        <f t="shared" si="18"/>
        <v>0</v>
      </c>
      <c r="AN54">
        <f t="shared" si="19"/>
        <v>0</v>
      </c>
      <c r="AO54">
        <f t="shared" si="20"/>
        <v>0</v>
      </c>
      <c r="AP54">
        <f t="shared" si="21"/>
        <v>0</v>
      </c>
      <c r="AQ54">
        <f t="shared" si="22"/>
        <v>0</v>
      </c>
      <c r="AR54">
        <f t="shared" si="23"/>
        <v>0</v>
      </c>
      <c r="AS54">
        <f t="shared" si="24"/>
        <v>0</v>
      </c>
      <c r="AT54" s="1">
        <f t="shared" si="25"/>
        <v>0</v>
      </c>
      <c r="AU54" s="1">
        <f t="shared" si="26"/>
        <v>0</v>
      </c>
      <c r="AV54">
        <f t="shared" si="27"/>
        <v>0</v>
      </c>
      <c r="AW54">
        <f t="shared" si="28"/>
        <v>0</v>
      </c>
      <c r="AX54">
        <f t="shared" si="29"/>
        <v>0</v>
      </c>
      <c r="AY54">
        <f t="shared" si="30"/>
        <v>0</v>
      </c>
      <c r="AZ54">
        <f t="shared" si="31"/>
        <v>0</v>
      </c>
      <c r="BA54">
        <f t="shared" si="32"/>
        <v>0</v>
      </c>
      <c r="BB54">
        <f t="shared" si="33"/>
        <v>0</v>
      </c>
      <c r="BC54">
        <f t="shared" si="34"/>
        <v>0</v>
      </c>
      <c r="BD54">
        <f t="shared" si="35"/>
        <v>0</v>
      </c>
    </row>
    <row r="55" spans="1:56" x14ac:dyDescent="0.25">
      <c r="A55" s="1">
        <v>38</v>
      </c>
      <c r="B55" s="2">
        <v>0</v>
      </c>
      <c r="C55" s="2">
        <v>0</v>
      </c>
      <c r="D55" s="2">
        <v>0</v>
      </c>
      <c r="E55" s="2">
        <v>0</v>
      </c>
      <c r="F55" s="1">
        <f t="shared" si="36"/>
        <v>0</v>
      </c>
      <c r="G55" s="1">
        <f t="shared" si="37"/>
        <v>0</v>
      </c>
      <c r="H55" s="1">
        <f t="shared" si="38"/>
        <v>0</v>
      </c>
      <c r="I55" s="1">
        <f t="shared" si="39"/>
        <v>0</v>
      </c>
      <c r="J55" s="1">
        <f t="shared" si="40"/>
        <v>0</v>
      </c>
      <c r="K55" s="1">
        <f t="shared" si="41"/>
        <v>0</v>
      </c>
      <c r="L55" s="1">
        <f t="shared" si="42"/>
        <v>0</v>
      </c>
      <c r="M55" s="1">
        <f t="shared" si="43"/>
        <v>0</v>
      </c>
      <c r="N55" s="1">
        <f t="shared" si="44"/>
        <v>0</v>
      </c>
      <c r="O55" s="1">
        <f t="shared" si="45"/>
        <v>-0.64772727272727271</v>
      </c>
      <c r="P55" s="1">
        <f t="shared" si="46"/>
        <v>-3.1477272727272729</v>
      </c>
      <c r="Q55" s="1">
        <f t="shared" si="47"/>
        <v>0</v>
      </c>
      <c r="R55" s="1">
        <f t="shared" si="2"/>
        <v>0</v>
      </c>
      <c r="S55" s="1">
        <f t="shared" si="48"/>
        <v>0</v>
      </c>
      <c r="T55" s="7">
        <f t="shared" si="49"/>
        <v>-0.64772727272727271</v>
      </c>
      <c r="U55" s="7">
        <f t="shared" si="50"/>
        <v>-3.1477272727272729</v>
      </c>
      <c r="V55" s="7">
        <f t="shared" si="51"/>
        <v>-0.64772727272727271</v>
      </c>
      <c r="W55" s="7">
        <f t="shared" si="52"/>
        <v>-3.1477272727272729</v>
      </c>
      <c r="X55" s="1">
        <f t="shared" si="3"/>
        <v>0</v>
      </c>
      <c r="Y55" s="1">
        <f t="shared" si="4"/>
        <v>0</v>
      </c>
      <c r="Z55">
        <f t="shared" si="5"/>
        <v>0</v>
      </c>
      <c r="AA55">
        <f t="shared" si="6"/>
        <v>0</v>
      </c>
      <c r="AB55">
        <f t="shared" si="7"/>
        <v>0</v>
      </c>
      <c r="AC55">
        <f t="shared" si="8"/>
        <v>0</v>
      </c>
      <c r="AD55">
        <f t="shared" si="9"/>
        <v>0</v>
      </c>
      <c r="AE55">
        <f t="shared" si="10"/>
        <v>0</v>
      </c>
      <c r="AF55">
        <f t="shared" si="11"/>
        <v>0</v>
      </c>
      <c r="AG55">
        <f t="shared" si="12"/>
        <v>0</v>
      </c>
      <c r="AH55">
        <f t="shared" si="13"/>
        <v>0</v>
      </c>
      <c r="AI55" s="1">
        <f t="shared" si="14"/>
        <v>0</v>
      </c>
      <c r="AJ55" s="1">
        <f t="shared" si="15"/>
        <v>0</v>
      </c>
      <c r="AK55">
        <f t="shared" si="16"/>
        <v>0</v>
      </c>
      <c r="AL55">
        <f t="shared" si="17"/>
        <v>0</v>
      </c>
      <c r="AM55">
        <f t="shared" si="18"/>
        <v>0</v>
      </c>
      <c r="AN55">
        <f t="shared" si="19"/>
        <v>0</v>
      </c>
      <c r="AO55">
        <f t="shared" si="20"/>
        <v>0</v>
      </c>
      <c r="AP55">
        <f t="shared" si="21"/>
        <v>0</v>
      </c>
      <c r="AQ55">
        <f t="shared" si="22"/>
        <v>0</v>
      </c>
      <c r="AR55">
        <f t="shared" si="23"/>
        <v>0</v>
      </c>
      <c r="AS55">
        <f t="shared" si="24"/>
        <v>0</v>
      </c>
      <c r="AT55" s="1">
        <f t="shared" si="25"/>
        <v>0</v>
      </c>
      <c r="AU55" s="1">
        <f t="shared" si="26"/>
        <v>0</v>
      </c>
      <c r="AV55">
        <f t="shared" si="27"/>
        <v>0</v>
      </c>
      <c r="AW55">
        <f t="shared" si="28"/>
        <v>0</v>
      </c>
      <c r="AX55">
        <f t="shared" si="29"/>
        <v>0</v>
      </c>
      <c r="AY55">
        <f t="shared" si="30"/>
        <v>0</v>
      </c>
      <c r="AZ55">
        <f t="shared" si="31"/>
        <v>0</v>
      </c>
      <c r="BA55">
        <f t="shared" si="32"/>
        <v>0</v>
      </c>
      <c r="BB55">
        <f t="shared" si="33"/>
        <v>0</v>
      </c>
      <c r="BC55">
        <f t="shared" si="34"/>
        <v>0</v>
      </c>
      <c r="BD55">
        <f t="shared" si="35"/>
        <v>0</v>
      </c>
    </row>
    <row r="56" spans="1:56" x14ac:dyDescent="0.25">
      <c r="A56" s="1">
        <v>39</v>
      </c>
      <c r="B56" s="2">
        <v>0</v>
      </c>
      <c r="C56" s="2">
        <v>0</v>
      </c>
      <c r="D56" s="2">
        <v>0</v>
      </c>
      <c r="E56" s="2">
        <v>0</v>
      </c>
      <c r="F56" s="1">
        <f t="shared" si="36"/>
        <v>0</v>
      </c>
      <c r="G56" s="1">
        <f t="shared" si="37"/>
        <v>0</v>
      </c>
      <c r="H56" s="1">
        <f t="shared" si="38"/>
        <v>0</v>
      </c>
      <c r="I56" s="1">
        <f t="shared" si="39"/>
        <v>0</v>
      </c>
      <c r="J56" s="1">
        <f t="shared" si="40"/>
        <v>0</v>
      </c>
      <c r="K56" s="1">
        <f t="shared" si="41"/>
        <v>0</v>
      </c>
      <c r="L56" s="1">
        <f t="shared" si="42"/>
        <v>0</v>
      </c>
      <c r="M56" s="1">
        <f t="shared" si="43"/>
        <v>0</v>
      </c>
      <c r="N56" s="1">
        <f t="shared" si="44"/>
        <v>0</v>
      </c>
      <c r="O56" s="1">
        <f t="shared" si="45"/>
        <v>-0.64772727272727271</v>
      </c>
      <c r="P56" s="1">
        <f t="shared" si="46"/>
        <v>-3.1477272727272729</v>
      </c>
      <c r="Q56" s="1">
        <f t="shared" si="47"/>
        <v>0</v>
      </c>
      <c r="R56" s="1">
        <f t="shared" si="2"/>
        <v>0</v>
      </c>
      <c r="S56" s="1">
        <f t="shared" si="48"/>
        <v>0</v>
      </c>
      <c r="T56" s="7">
        <f t="shared" si="49"/>
        <v>-0.64772727272727271</v>
      </c>
      <c r="U56" s="7">
        <f t="shared" si="50"/>
        <v>-3.1477272727272729</v>
      </c>
      <c r="V56" s="7">
        <f t="shared" si="51"/>
        <v>-0.64772727272727271</v>
      </c>
      <c r="W56" s="7">
        <f t="shared" si="52"/>
        <v>-3.1477272727272729</v>
      </c>
      <c r="X56" s="1">
        <f t="shared" si="3"/>
        <v>0</v>
      </c>
      <c r="Y56" s="1">
        <f t="shared" si="4"/>
        <v>0</v>
      </c>
      <c r="Z56">
        <f t="shared" si="5"/>
        <v>0</v>
      </c>
      <c r="AA56">
        <f t="shared" si="6"/>
        <v>0</v>
      </c>
      <c r="AB56">
        <f t="shared" si="7"/>
        <v>0</v>
      </c>
      <c r="AC56">
        <f t="shared" si="8"/>
        <v>0</v>
      </c>
      <c r="AD56">
        <f t="shared" si="9"/>
        <v>0</v>
      </c>
      <c r="AE56">
        <f t="shared" si="10"/>
        <v>0</v>
      </c>
      <c r="AF56">
        <f t="shared" si="11"/>
        <v>0</v>
      </c>
      <c r="AG56">
        <f t="shared" si="12"/>
        <v>0</v>
      </c>
      <c r="AH56">
        <f t="shared" si="13"/>
        <v>0</v>
      </c>
      <c r="AI56" s="1">
        <f t="shared" si="14"/>
        <v>0</v>
      </c>
      <c r="AJ56" s="1">
        <f t="shared" si="15"/>
        <v>0</v>
      </c>
      <c r="AK56">
        <f t="shared" si="16"/>
        <v>0</v>
      </c>
      <c r="AL56">
        <f t="shared" si="17"/>
        <v>0</v>
      </c>
      <c r="AM56">
        <f t="shared" si="18"/>
        <v>0</v>
      </c>
      <c r="AN56">
        <f t="shared" si="19"/>
        <v>0</v>
      </c>
      <c r="AO56">
        <f t="shared" si="20"/>
        <v>0</v>
      </c>
      <c r="AP56">
        <f t="shared" si="21"/>
        <v>0</v>
      </c>
      <c r="AQ56">
        <f t="shared" si="22"/>
        <v>0</v>
      </c>
      <c r="AR56">
        <f t="shared" si="23"/>
        <v>0</v>
      </c>
      <c r="AS56">
        <f t="shared" si="24"/>
        <v>0</v>
      </c>
      <c r="AT56" s="1">
        <f t="shared" si="25"/>
        <v>0</v>
      </c>
      <c r="AU56" s="1">
        <f t="shared" si="26"/>
        <v>0</v>
      </c>
      <c r="AV56">
        <f t="shared" si="27"/>
        <v>0</v>
      </c>
      <c r="AW56">
        <f t="shared" si="28"/>
        <v>0</v>
      </c>
      <c r="AX56">
        <f t="shared" si="29"/>
        <v>0</v>
      </c>
      <c r="AY56">
        <f t="shared" si="30"/>
        <v>0</v>
      </c>
      <c r="AZ56">
        <f t="shared" si="31"/>
        <v>0</v>
      </c>
      <c r="BA56">
        <f t="shared" si="32"/>
        <v>0</v>
      </c>
      <c r="BB56">
        <f t="shared" si="33"/>
        <v>0</v>
      </c>
      <c r="BC56">
        <f t="shared" si="34"/>
        <v>0</v>
      </c>
      <c r="BD56">
        <f t="shared" si="35"/>
        <v>0</v>
      </c>
    </row>
    <row r="57" spans="1:56" x14ac:dyDescent="0.25">
      <c r="A57" s="1">
        <v>40</v>
      </c>
      <c r="B57" s="2">
        <v>0</v>
      </c>
      <c r="C57" s="2">
        <v>0</v>
      </c>
      <c r="D57" s="2">
        <v>0</v>
      </c>
      <c r="E57" s="2">
        <v>0</v>
      </c>
      <c r="F57" s="1">
        <f t="shared" si="36"/>
        <v>0</v>
      </c>
      <c r="G57" s="1">
        <f t="shared" si="37"/>
        <v>0</v>
      </c>
      <c r="H57" s="1">
        <f t="shared" si="38"/>
        <v>0</v>
      </c>
      <c r="I57" s="1">
        <f t="shared" si="39"/>
        <v>0</v>
      </c>
      <c r="J57" s="1">
        <f t="shared" si="40"/>
        <v>0</v>
      </c>
      <c r="K57" s="1">
        <f t="shared" si="41"/>
        <v>0</v>
      </c>
      <c r="L57" s="1">
        <f t="shared" si="42"/>
        <v>0</v>
      </c>
      <c r="M57" s="1">
        <f t="shared" si="43"/>
        <v>0</v>
      </c>
      <c r="N57" s="1">
        <f t="shared" si="44"/>
        <v>0</v>
      </c>
      <c r="O57" s="1">
        <f t="shared" si="45"/>
        <v>-0.64772727272727271</v>
      </c>
      <c r="P57" s="1">
        <f t="shared" si="46"/>
        <v>-3.1477272727272729</v>
      </c>
      <c r="Q57" s="1">
        <f t="shared" si="47"/>
        <v>0</v>
      </c>
      <c r="R57" s="1">
        <f t="shared" si="2"/>
        <v>0</v>
      </c>
      <c r="S57" s="1">
        <f t="shared" si="48"/>
        <v>0</v>
      </c>
      <c r="T57" s="7">
        <f t="shared" si="49"/>
        <v>-0.64772727272727271</v>
      </c>
      <c r="U57" s="7">
        <f t="shared" si="50"/>
        <v>-3.1477272727272729</v>
      </c>
      <c r="V57" s="7">
        <f t="shared" si="51"/>
        <v>-0.64772727272727271</v>
      </c>
      <c r="W57" s="7">
        <f t="shared" si="52"/>
        <v>-3.1477272727272729</v>
      </c>
      <c r="X57" s="1">
        <f t="shared" si="3"/>
        <v>0</v>
      </c>
      <c r="Y57" s="1">
        <f t="shared" si="4"/>
        <v>0</v>
      </c>
      <c r="Z57">
        <f t="shared" si="5"/>
        <v>0</v>
      </c>
      <c r="AA57">
        <f t="shared" si="6"/>
        <v>0</v>
      </c>
      <c r="AB57">
        <f t="shared" si="7"/>
        <v>0</v>
      </c>
      <c r="AC57">
        <f t="shared" si="8"/>
        <v>0</v>
      </c>
      <c r="AD57">
        <f t="shared" si="9"/>
        <v>0</v>
      </c>
      <c r="AE57">
        <f t="shared" si="10"/>
        <v>0</v>
      </c>
      <c r="AF57">
        <f t="shared" si="11"/>
        <v>0</v>
      </c>
      <c r="AG57">
        <f t="shared" si="12"/>
        <v>0</v>
      </c>
      <c r="AH57">
        <f t="shared" si="13"/>
        <v>0</v>
      </c>
      <c r="AI57" s="1">
        <f t="shared" si="14"/>
        <v>0</v>
      </c>
      <c r="AJ57" s="1">
        <f t="shared" si="15"/>
        <v>0</v>
      </c>
      <c r="AK57">
        <f t="shared" si="16"/>
        <v>0</v>
      </c>
      <c r="AL57">
        <f t="shared" si="17"/>
        <v>0</v>
      </c>
      <c r="AM57">
        <f t="shared" si="18"/>
        <v>0</v>
      </c>
      <c r="AN57">
        <f t="shared" si="19"/>
        <v>0</v>
      </c>
      <c r="AO57">
        <f t="shared" si="20"/>
        <v>0</v>
      </c>
      <c r="AP57">
        <f t="shared" si="21"/>
        <v>0</v>
      </c>
      <c r="AQ57">
        <f t="shared" si="22"/>
        <v>0</v>
      </c>
      <c r="AR57">
        <f t="shared" si="23"/>
        <v>0</v>
      </c>
      <c r="AS57">
        <f t="shared" si="24"/>
        <v>0</v>
      </c>
      <c r="AT57" s="1">
        <f t="shared" si="25"/>
        <v>0</v>
      </c>
      <c r="AU57" s="1">
        <f t="shared" si="26"/>
        <v>0</v>
      </c>
      <c r="AV57">
        <f t="shared" si="27"/>
        <v>0</v>
      </c>
      <c r="AW57">
        <f t="shared" si="28"/>
        <v>0</v>
      </c>
      <c r="AX57">
        <f t="shared" si="29"/>
        <v>0</v>
      </c>
      <c r="AY57">
        <f t="shared" si="30"/>
        <v>0</v>
      </c>
      <c r="AZ57">
        <f t="shared" si="31"/>
        <v>0</v>
      </c>
      <c r="BA57">
        <f t="shared" si="32"/>
        <v>0</v>
      </c>
      <c r="BB57">
        <f t="shared" si="33"/>
        <v>0</v>
      </c>
      <c r="BC57">
        <f t="shared" si="34"/>
        <v>0</v>
      </c>
      <c r="BD57">
        <f t="shared" si="35"/>
        <v>0</v>
      </c>
    </row>
    <row r="58" spans="1:56" x14ac:dyDescent="0.25">
      <c r="A58" s="1">
        <v>41</v>
      </c>
      <c r="B58" s="2">
        <v>0</v>
      </c>
      <c r="C58" s="2">
        <v>0</v>
      </c>
      <c r="D58" s="2">
        <v>0</v>
      </c>
      <c r="E58" s="2">
        <v>0</v>
      </c>
      <c r="F58" s="1">
        <f t="shared" si="36"/>
        <v>0</v>
      </c>
      <c r="G58" s="1">
        <f t="shared" si="37"/>
        <v>0</v>
      </c>
      <c r="H58" s="1">
        <f t="shared" si="38"/>
        <v>0</v>
      </c>
      <c r="I58" s="1">
        <f t="shared" si="39"/>
        <v>0</v>
      </c>
      <c r="J58" s="1">
        <f t="shared" si="40"/>
        <v>0</v>
      </c>
      <c r="K58" s="1">
        <f t="shared" si="41"/>
        <v>0</v>
      </c>
      <c r="L58" s="1">
        <f t="shared" si="42"/>
        <v>0</v>
      </c>
      <c r="M58" s="1">
        <f t="shared" si="43"/>
        <v>0</v>
      </c>
      <c r="N58" s="1">
        <f t="shared" si="44"/>
        <v>0</v>
      </c>
      <c r="O58" s="1">
        <f t="shared" si="45"/>
        <v>-0.64772727272727271</v>
      </c>
      <c r="P58" s="1">
        <f t="shared" si="46"/>
        <v>-3.1477272727272729</v>
      </c>
      <c r="Q58" s="1">
        <f t="shared" si="47"/>
        <v>0</v>
      </c>
      <c r="R58" s="1">
        <f t="shared" si="2"/>
        <v>0</v>
      </c>
      <c r="S58" s="1">
        <f t="shared" si="48"/>
        <v>0</v>
      </c>
      <c r="T58" s="7">
        <f t="shared" si="49"/>
        <v>-0.64772727272727271</v>
      </c>
      <c r="U58" s="7">
        <f t="shared" si="50"/>
        <v>-3.1477272727272729</v>
      </c>
      <c r="V58" s="7">
        <f t="shared" si="51"/>
        <v>-0.64772727272727271</v>
      </c>
      <c r="W58" s="7">
        <f t="shared" si="52"/>
        <v>-3.1477272727272729</v>
      </c>
      <c r="X58" s="1">
        <f t="shared" si="3"/>
        <v>0</v>
      </c>
      <c r="Y58" s="1">
        <f t="shared" si="4"/>
        <v>0</v>
      </c>
      <c r="Z58">
        <f t="shared" si="5"/>
        <v>0</v>
      </c>
      <c r="AA58">
        <f t="shared" si="6"/>
        <v>0</v>
      </c>
      <c r="AB58">
        <f t="shared" si="7"/>
        <v>0</v>
      </c>
      <c r="AC58">
        <f t="shared" si="8"/>
        <v>0</v>
      </c>
      <c r="AD58">
        <f t="shared" si="9"/>
        <v>0</v>
      </c>
      <c r="AE58">
        <f t="shared" si="10"/>
        <v>0</v>
      </c>
      <c r="AF58">
        <f t="shared" si="11"/>
        <v>0</v>
      </c>
      <c r="AG58">
        <f t="shared" si="12"/>
        <v>0</v>
      </c>
      <c r="AH58">
        <f t="shared" si="13"/>
        <v>0</v>
      </c>
      <c r="AI58" s="1">
        <f t="shared" si="14"/>
        <v>0</v>
      </c>
      <c r="AJ58" s="1">
        <f t="shared" si="15"/>
        <v>0</v>
      </c>
      <c r="AK58">
        <f t="shared" si="16"/>
        <v>0</v>
      </c>
      <c r="AL58">
        <f t="shared" si="17"/>
        <v>0</v>
      </c>
      <c r="AM58">
        <f t="shared" si="18"/>
        <v>0</v>
      </c>
      <c r="AN58">
        <f t="shared" si="19"/>
        <v>0</v>
      </c>
      <c r="AO58">
        <f t="shared" si="20"/>
        <v>0</v>
      </c>
      <c r="AP58">
        <f t="shared" si="21"/>
        <v>0</v>
      </c>
      <c r="AQ58">
        <f t="shared" si="22"/>
        <v>0</v>
      </c>
      <c r="AR58">
        <f t="shared" si="23"/>
        <v>0</v>
      </c>
      <c r="AS58">
        <f t="shared" si="24"/>
        <v>0</v>
      </c>
      <c r="AT58" s="1">
        <f t="shared" si="25"/>
        <v>0</v>
      </c>
      <c r="AU58" s="1">
        <f t="shared" si="26"/>
        <v>0</v>
      </c>
      <c r="AV58">
        <f t="shared" si="27"/>
        <v>0</v>
      </c>
      <c r="AW58">
        <f t="shared" si="28"/>
        <v>0</v>
      </c>
      <c r="AX58">
        <f t="shared" si="29"/>
        <v>0</v>
      </c>
      <c r="AY58">
        <f t="shared" si="30"/>
        <v>0</v>
      </c>
      <c r="AZ58">
        <f t="shared" si="31"/>
        <v>0</v>
      </c>
      <c r="BA58">
        <f t="shared" si="32"/>
        <v>0</v>
      </c>
      <c r="BB58">
        <f t="shared" si="33"/>
        <v>0</v>
      </c>
      <c r="BC58">
        <f t="shared" si="34"/>
        <v>0</v>
      </c>
      <c r="BD58">
        <f t="shared" si="35"/>
        <v>0</v>
      </c>
    </row>
    <row r="59" spans="1:56" x14ac:dyDescent="0.25">
      <c r="A59" s="1">
        <v>42</v>
      </c>
      <c r="B59" s="2">
        <v>0</v>
      </c>
      <c r="C59" s="2">
        <v>0</v>
      </c>
      <c r="D59" s="2">
        <v>0</v>
      </c>
      <c r="E59" s="2">
        <v>0</v>
      </c>
      <c r="F59" s="1">
        <f t="shared" si="36"/>
        <v>0</v>
      </c>
      <c r="G59" s="1">
        <f t="shared" si="37"/>
        <v>0</v>
      </c>
      <c r="H59" s="1">
        <f t="shared" si="38"/>
        <v>0</v>
      </c>
      <c r="I59" s="1">
        <f t="shared" si="39"/>
        <v>0</v>
      </c>
      <c r="J59" s="1">
        <f t="shared" si="40"/>
        <v>0</v>
      </c>
      <c r="K59" s="1">
        <f t="shared" si="41"/>
        <v>0</v>
      </c>
      <c r="L59" s="1">
        <f t="shared" si="42"/>
        <v>0</v>
      </c>
      <c r="M59" s="1">
        <f t="shared" si="43"/>
        <v>0</v>
      </c>
      <c r="N59" s="1">
        <f t="shared" si="44"/>
        <v>0</v>
      </c>
      <c r="O59" s="1">
        <f t="shared" si="45"/>
        <v>-0.64772727272727271</v>
      </c>
      <c r="P59" s="1">
        <f t="shared" si="46"/>
        <v>-3.1477272727272729</v>
      </c>
      <c r="Q59" s="1">
        <f t="shared" si="47"/>
        <v>0</v>
      </c>
      <c r="R59" s="1">
        <f t="shared" si="2"/>
        <v>0</v>
      </c>
      <c r="S59" s="1">
        <f t="shared" si="48"/>
        <v>0</v>
      </c>
      <c r="T59" s="7">
        <f t="shared" si="49"/>
        <v>-0.64772727272727271</v>
      </c>
      <c r="U59" s="7">
        <f t="shared" si="50"/>
        <v>-3.1477272727272729</v>
      </c>
      <c r="V59" s="7">
        <f t="shared" si="51"/>
        <v>-0.64772727272727271</v>
      </c>
      <c r="W59" s="7">
        <f t="shared" si="52"/>
        <v>-3.1477272727272729</v>
      </c>
      <c r="X59" s="1">
        <f t="shared" si="3"/>
        <v>0</v>
      </c>
      <c r="Y59" s="1">
        <f t="shared" si="4"/>
        <v>0</v>
      </c>
      <c r="Z59">
        <f t="shared" si="5"/>
        <v>0</v>
      </c>
      <c r="AA59">
        <f t="shared" si="6"/>
        <v>0</v>
      </c>
      <c r="AB59">
        <f t="shared" si="7"/>
        <v>0</v>
      </c>
      <c r="AC59">
        <f t="shared" si="8"/>
        <v>0</v>
      </c>
      <c r="AD59">
        <f t="shared" si="9"/>
        <v>0</v>
      </c>
      <c r="AE59">
        <f t="shared" si="10"/>
        <v>0</v>
      </c>
      <c r="AF59">
        <f t="shared" si="11"/>
        <v>0</v>
      </c>
      <c r="AG59">
        <f t="shared" si="12"/>
        <v>0</v>
      </c>
      <c r="AH59">
        <f t="shared" si="13"/>
        <v>0</v>
      </c>
      <c r="AI59" s="1">
        <f t="shared" si="14"/>
        <v>0</v>
      </c>
      <c r="AJ59" s="1">
        <f t="shared" si="15"/>
        <v>0</v>
      </c>
      <c r="AK59">
        <f t="shared" si="16"/>
        <v>0</v>
      </c>
      <c r="AL59">
        <f t="shared" si="17"/>
        <v>0</v>
      </c>
      <c r="AM59">
        <f t="shared" si="18"/>
        <v>0</v>
      </c>
      <c r="AN59">
        <f t="shared" si="19"/>
        <v>0</v>
      </c>
      <c r="AO59">
        <f t="shared" si="20"/>
        <v>0</v>
      </c>
      <c r="AP59">
        <f t="shared" si="21"/>
        <v>0</v>
      </c>
      <c r="AQ59">
        <f t="shared" si="22"/>
        <v>0</v>
      </c>
      <c r="AR59">
        <f t="shared" si="23"/>
        <v>0</v>
      </c>
      <c r="AS59">
        <f t="shared" si="24"/>
        <v>0</v>
      </c>
      <c r="AT59" s="1">
        <f t="shared" si="25"/>
        <v>0</v>
      </c>
      <c r="AU59" s="1">
        <f t="shared" si="26"/>
        <v>0</v>
      </c>
      <c r="AV59">
        <f t="shared" si="27"/>
        <v>0</v>
      </c>
      <c r="AW59">
        <f t="shared" si="28"/>
        <v>0</v>
      </c>
      <c r="AX59">
        <f t="shared" si="29"/>
        <v>0</v>
      </c>
      <c r="AY59">
        <f t="shared" si="30"/>
        <v>0</v>
      </c>
      <c r="AZ59">
        <f t="shared" si="31"/>
        <v>0</v>
      </c>
      <c r="BA59">
        <f t="shared" si="32"/>
        <v>0</v>
      </c>
      <c r="BB59">
        <f t="shared" si="33"/>
        <v>0</v>
      </c>
      <c r="BC59">
        <f t="shared" si="34"/>
        <v>0</v>
      </c>
      <c r="BD59">
        <f t="shared" si="35"/>
        <v>0</v>
      </c>
    </row>
    <row r="60" spans="1:56" x14ac:dyDescent="0.25">
      <c r="A60" s="1">
        <v>43</v>
      </c>
      <c r="B60" s="2">
        <v>0</v>
      </c>
      <c r="C60" s="2">
        <v>0</v>
      </c>
      <c r="D60" s="2">
        <v>0</v>
      </c>
      <c r="E60" s="2">
        <v>0</v>
      </c>
      <c r="F60" s="1">
        <f t="shared" si="36"/>
        <v>0</v>
      </c>
      <c r="G60" s="1">
        <f t="shared" si="37"/>
        <v>0</v>
      </c>
      <c r="H60" s="1">
        <f t="shared" si="38"/>
        <v>0</v>
      </c>
      <c r="I60" s="1">
        <f t="shared" si="39"/>
        <v>0</v>
      </c>
      <c r="J60" s="1">
        <f t="shared" si="40"/>
        <v>0</v>
      </c>
      <c r="K60" s="1">
        <f t="shared" si="41"/>
        <v>0</v>
      </c>
      <c r="L60" s="1">
        <f t="shared" si="42"/>
        <v>0</v>
      </c>
      <c r="M60" s="1">
        <f t="shared" si="43"/>
        <v>0</v>
      </c>
      <c r="N60" s="1">
        <f t="shared" si="44"/>
        <v>0</v>
      </c>
      <c r="O60" s="1">
        <f t="shared" si="45"/>
        <v>-0.64772727272727271</v>
      </c>
      <c r="P60" s="1">
        <f t="shared" si="46"/>
        <v>-3.1477272727272729</v>
      </c>
      <c r="Q60" s="1">
        <f t="shared" si="47"/>
        <v>0</v>
      </c>
      <c r="R60" s="1">
        <f t="shared" si="2"/>
        <v>0</v>
      </c>
      <c r="S60" s="1">
        <f t="shared" si="48"/>
        <v>0</v>
      </c>
      <c r="T60" s="7">
        <f t="shared" si="49"/>
        <v>-0.64772727272727271</v>
      </c>
      <c r="U60" s="7">
        <f t="shared" si="50"/>
        <v>-3.1477272727272729</v>
      </c>
      <c r="V60" s="7">
        <f t="shared" si="51"/>
        <v>-0.64772727272727271</v>
      </c>
      <c r="W60" s="7">
        <f t="shared" si="52"/>
        <v>-3.1477272727272729</v>
      </c>
      <c r="X60" s="1">
        <f t="shared" si="3"/>
        <v>0</v>
      </c>
      <c r="Y60" s="1">
        <f t="shared" si="4"/>
        <v>0</v>
      </c>
      <c r="Z60">
        <f t="shared" si="5"/>
        <v>0</v>
      </c>
      <c r="AA60">
        <f t="shared" si="6"/>
        <v>0</v>
      </c>
      <c r="AB60">
        <f t="shared" si="7"/>
        <v>0</v>
      </c>
      <c r="AC60">
        <f t="shared" si="8"/>
        <v>0</v>
      </c>
      <c r="AD60">
        <f t="shared" si="9"/>
        <v>0</v>
      </c>
      <c r="AE60">
        <f t="shared" si="10"/>
        <v>0</v>
      </c>
      <c r="AF60">
        <f t="shared" si="11"/>
        <v>0</v>
      </c>
      <c r="AG60">
        <f t="shared" si="12"/>
        <v>0</v>
      </c>
      <c r="AH60">
        <f t="shared" si="13"/>
        <v>0</v>
      </c>
      <c r="AI60" s="1">
        <f t="shared" si="14"/>
        <v>0</v>
      </c>
      <c r="AJ60" s="1">
        <f t="shared" si="15"/>
        <v>0</v>
      </c>
      <c r="AK60">
        <f t="shared" si="16"/>
        <v>0</v>
      </c>
      <c r="AL60">
        <f t="shared" si="17"/>
        <v>0</v>
      </c>
      <c r="AM60">
        <f t="shared" si="18"/>
        <v>0</v>
      </c>
      <c r="AN60">
        <f t="shared" si="19"/>
        <v>0</v>
      </c>
      <c r="AO60">
        <f t="shared" si="20"/>
        <v>0</v>
      </c>
      <c r="AP60">
        <f t="shared" si="21"/>
        <v>0</v>
      </c>
      <c r="AQ60">
        <f t="shared" si="22"/>
        <v>0</v>
      </c>
      <c r="AR60">
        <f t="shared" si="23"/>
        <v>0</v>
      </c>
      <c r="AS60">
        <f t="shared" si="24"/>
        <v>0</v>
      </c>
      <c r="AT60" s="1">
        <f t="shared" si="25"/>
        <v>0</v>
      </c>
      <c r="AU60" s="1">
        <f t="shared" si="26"/>
        <v>0</v>
      </c>
      <c r="AV60">
        <f t="shared" si="27"/>
        <v>0</v>
      </c>
      <c r="AW60">
        <f t="shared" si="28"/>
        <v>0</v>
      </c>
      <c r="AX60">
        <f t="shared" si="29"/>
        <v>0</v>
      </c>
      <c r="AY60">
        <f t="shared" si="30"/>
        <v>0</v>
      </c>
      <c r="AZ60">
        <f t="shared" si="31"/>
        <v>0</v>
      </c>
      <c r="BA60">
        <f t="shared" si="32"/>
        <v>0</v>
      </c>
      <c r="BB60">
        <f t="shared" si="33"/>
        <v>0</v>
      </c>
      <c r="BC60">
        <f t="shared" si="34"/>
        <v>0</v>
      </c>
      <c r="BD60">
        <f t="shared" si="35"/>
        <v>0</v>
      </c>
    </row>
    <row r="61" spans="1:56" x14ac:dyDescent="0.25">
      <c r="A61" s="1">
        <v>44</v>
      </c>
      <c r="B61" s="2">
        <v>0</v>
      </c>
      <c r="C61" s="2">
        <v>0</v>
      </c>
      <c r="D61" s="2">
        <v>0</v>
      </c>
      <c r="E61" s="2">
        <v>0</v>
      </c>
      <c r="F61" s="1">
        <f t="shared" si="36"/>
        <v>0</v>
      </c>
      <c r="G61" s="1">
        <f t="shared" si="37"/>
        <v>0</v>
      </c>
      <c r="H61" s="1">
        <f t="shared" si="38"/>
        <v>0</v>
      </c>
      <c r="I61" s="1">
        <f t="shared" si="39"/>
        <v>0</v>
      </c>
      <c r="J61" s="1">
        <f t="shared" si="40"/>
        <v>0</v>
      </c>
      <c r="K61" s="1">
        <f t="shared" si="41"/>
        <v>0</v>
      </c>
      <c r="L61" s="1">
        <f t="shared" si="42"/>
        <v>0</v>
      </c>
      <c r="M61" s="1">
        <f t="shared" si="43"/>
        <v>0</v>
      </c>
      <c r="N61" s="1">
        <f t="shared" si="44"/>
        <v>0</v>
      </c>
      <c r="O61" s="1">
        <f t="shared" si="45"/>
        <v>-0.64772727272727271</v>
      </c>
      <c r="P61" s="1">
        <f t="shared" si="46"/>
        <v>-3.1477272727272729</v>
      </c>
      <c r="Q61" s="1">
        <f t="shared" si="47"/>
        <v>0</v>
      </c>
      <c r="R61" s="1">
        <f t="shared" si="2"/>
        <v>0</v>
      </c>
      <c r="S61" s="1">
        <f t="shared" si="48"/>
        <v>0</v>
      </c>
      <c r="T61" s="7">
        <f t="shared" si="49"/>
        <v>-0.64772727272727271</v>
      </c>
      <c r="U61" s="7">
        <f t="shared" si="50"/>
        <v>-3.1477272727272729</v>
      </c>
      <c r="V61" s="7">
        <f t="shared" si="51"/>
        <v>-0.64772727272727271</v>
      </c>
      <c r="W61" s="7">
        <f t="shared" si="52"/>
        <v>-3.1477272727272729</v>
      </c>
      <c r="X61" s="1">
        <f t="shared" si="3"/>
        <v>0</v>
      </c>
      <c r="Y61" s="1">
        <f t="shared" si="4"/>
        <v>0</v>
      </c>
      <c r="Z61">
        <f t="shared" si="5"/>
        <v>0</v>
      </c>
      <c r="AA61">
        <f t="shared" si="6"/>
        <v>0</v>
      </c>
      <c r="AB61">
        <f t="shared" si="7"/>
        <v>0</v>
      </c>
      <c r="AC61">
        <f t="shared" si="8"/>
        <v>0</v>
      </c>
      <c r="AD61">
        <f t="shared" si="9"/>
        <v>0</v>
      </c>
      <c r="AE61">
        <f t="shared" si="10"/>
        <v>0</v>
      </c>
      <c r="AF61">
        <f t="shared" si="11"/>
        <v>0</v>
      </c>
      <c r="AG61">
        <f t="shared" si="12"/>
        <v>0</v>
      </c>
      <c r="AH61">
        <f t="shared" si="13"/>
        <v>0</v>
      </c>
      <c r="AI61" s="1">
        <f t="shared" si="14"/>
        <v>0</v>
      </c>
      <c r="AJ61" s="1">
        <f t="shared" si="15"/>
        <v>0</v>
      </c>
      <c r="AK61">
        <f t="shared" si="16"/>
        <v>0</v>
      </c>
      <c r="AL61">
        <f t="shared" si="17"/>
        <v>0</v>
      </c>
      <c r="AM61">
        <f t="shared" si="18"/>
        <v>0</v>
      </c>
      <c r="AN61">
        <f t="shared" si="19"/>
        <v>0</v>
      </c>
      <c r="AO61">
        <f t="shared" si="20"/>
        <v>0</v>
      </c>
      <c r="AP61">
        <f t="shared" si="21"/>
        <v>0</v>
      </c>
      <c r="AQ61">
        <f t="shared" si="22"/>
        <v>0</v>
      </c>
      <c r="AR61">
        <f t="shared" si="23"/>
        <v>0</v>
      </c>
      <c r="AS61">
        <f t="shared" si="24"/>
        <v>0</v>
      </c>
      <c r="AT61" s="1">
        <f t="shared" si="25"/>
        <v>0</v>
      </c>
      <c r="AU61" s="1">
        <f t="shared" si="26"/>
        <v>0</v>
      </c>
      <c r="AV61">
        <f t="shared" si="27"/>
        <v>0</v>
      </c>
      <c r="AW61">
        <f t="shared" si="28"/>
        <v>0</v>
      </c>
      <c r="AX61">
        <f t="shared" si="29"/>
        <v>0</v>
      </c>
      <c r="AY61">
        <f t="shared" si="30"/>
        <v>0</v>
      </c>
      <c r="AZ61">
        <f t="shared" si="31"/>
        <v>0</v>
      </c>
      <c r="BA61">
        <f t="shared" si="32"/>
        <v>0</v>
      </c>
      <c r="BB61">
        <f t="shared" si="33"/>
        <v>0</v>
      </c>
      <c r="BC61">
        <f t="shared" si="34"/>
        <v>0</v>
      </c>
      <c r="BD61">
        <f t="shared" si="35"/>
        <v>0</v>
      </c>
    </row>
    <row r="62" spans="1:56" x14ac:dyDescent="0.25">
      <c r="A62" s="1">
        <v>45</v>
      </c>
      <c r="B62" s="2">
        <v>0</v>
      </c>
      <c r="C62" s="2">
        <v>0</v>
      </c>
      <c r="D62" s="2">
        <v>0</v>
      </c>
      <c r="E62" s="2">
        <v>0</v>
      </c>
      <c r="F62" s="1">
        <f t="shared" si="36"/>
        <v>0</v>
      </c>
      <c r="G62" s="1">
        <f t="shared" si="37"/>
        <v>0</v>
      </c>
      <c r="H62" s="1">
        <f t="shared" si="38"/>
        <v>0</v>
      </c>
      <c r="I62" s="1">
        <f t="shared" si="39"/>
        <v>0</v>
      </c>
      <c r="J62" s="1">
        <f t="shared" si="40"/>
        <v>0</v>
      </c>
      <c r="K62" s="1">
        <f t="shared" si="41"/>
        <v>0</v>
      </c>
      <c r="L62" s="1">
        <f t="shared" si="42"/>
        <v>0</v>
      </c>
      <c r="M62" s="1">
        <f t="shared" si="43"/>
        <v>0</v>
      </c>
      <c r="N62" s="1">
        <f t="shared" si="44"/>
        <v>0</v>
      </c>
      <c r="O62" s="1">
        <f t="shared" si="45"/>
        <v>-0.64772727272727271</v>
      </c>
      <c r="P62" s="1">
        <f t="shared" si="46"/>
        <v>-3.1477272727272729</v>
      </c>
      <c r="Q62" s="1">
        <f t="shared" si="47"/>
        <v>0</v>
      </c>
      <c r="R62" s="1">
        <f t="shared" si="2"/>
        <v>0</v>
      </c>
      <c r="S62" s="1">
        <f t="shared" si="48"/>
        <v>0</v>
      </c>
      <c r="T62" s="7">
        <f t="shared" si="49"/>
        <v>-0.64772727272727271</v>
      </c>
      <c r="U62" s="7">
        <f t="shared" si="50"/>
        <v>-3.1477272727272729</v>
      </c>
      <c r="V62" s="7">
        <f t="shared" si="51"/>
        <v>-0.64772727272727271</v>
      </c>
      <c r="W62" s="7">
        <f t="shared" si="52"/>
        <v>-3.1477272727272729</v>
      </c>
      <c r="X62" s="1">
        <f t="shared" si="3"/>
        <v>0</v>
      </c>
      <c r="Y62" s="1">
        <f t="shared" si="4"/>
        <v>0</v>
      </c>
      <c r="Z62">
        <f t="shared" si="5"/>
        <v>0</v>
      </c>
      <c r="AA62">
        <f t="shared" si="6"/>
        <v>0</v>
      </c>
      <c r="AB62">
        <f t="shared" si="7"/>
        <v>0</v>
      </c>
      <c r="AC62">
        <f t="shared" si="8"/>
        <v>0</v>
      </c>
      <c r="AD62">
        <f t="shared" si="9"/>
        <v>0</v>
      </c>
      <c r="AE62">
        <f t="shared" si="10"/>
        <v>0</v>
      </c>
      <c r="AF62">
        <f t="shared" si="11"/>
        <v>0</v>
      </c>
      <c r="AG62">
        <f t="shared" si="12"/>
        <v>0</v>
      </c>
      <c r="AH62">
        <f t="shared" si="13"/>
        <v>0</v>
      </c>
      <c r="AI62" s="1">
        <f t="shared" si="14"/>
        <v>0</v>
      </c>
      <c r="AJ62" s="1">
        <f t="shared" si="15"/>
        <v>0</v>
      </c>
      <c r="AK62">
        <f t="shared" si="16"/>
        <v>0</v>
      </c>
      <c r="AL62">
        <f t="shared" si="17"/>
        <v>0</v>
      </c>
      <c r="AM62">
        <f t="shared" si="18"/>
        <v>0</v>
      </c>
      <c r="AN62">
        <f t="shared" si="19"/>
        <v>0</v>
      </c>
      <c r="AO62">
        <f t="shared" si="20"/>
        <v>0</v>
      </c>
      <c r="AP62">
        <f t="shared" si="21"/>
        <v>0</v>
      </c>
      <c r="AQ62">
        <f t="shared" si="22"/>
        <v>0</v>
      </c>
      <c r="AR62">
        <f t="shared" si="23"/>
        <v>0</v>
      </c>
      <c r="AS62">
        <f t="shared" si="24"/>
        <v>0</v>
      </c>
      <c r="AT62" s="1">
        <f t="shared" si="25"/>
        <v>0</v>
      </c>
      <c r="AU62" s="1">
        <f t="shared" si="26"/>
        <v>0</v>
      </c>
      <c r="AV62">
        <f t="shared" si="27"/>
        <v>0</v>
      </c>
      <c r="AW62">
        <f t="shared" si="28"/>
        <v>0</v>
      </c>
      <c r="AX62">
        <f t="shared" si="29"/>
        <v>0</v>
      </c>
      <c r="AY62">
        <f t="shared" si="30"/>
        <v>0</v>
      </c>
      <c r="AZ62">
        <f t="shared" si="31"/>
        <v>0</v>
      </c>
      <c r="BA62">
        <f t="shared" si="32"/>
        <v>0</v>
      </c>
      <c r="BB62">
        <f t="shared" si="33"/>
        <v>0</v>
      </c>
      <c r="BC62">
        <f t="shared" si="34"/>
        <v>0</v>
      </c>
      <c r="BD62">
        <f t="shared" si="35"/>
        <v>0</v>
      </c>
    </row>
    <row r="63" spans="1:56" x14ac:dyDescent="0.25">
      <c r="A63" s="1">
        <v>46</v>
      </c>
      <c r="B63" s="2">
        <v>0</v>
      </c>
      <c r="C63" s="2">
        <v>0</v>
      </c>
      <c r="D63" s="2">
        <v>0</v>
      </c>
      <c r="E63" s="2">
        <v>0</v>
      </c>
      <c r="F63" s="1">
        <f t="shared" si="36"/>
        <v>0</v>
      </c>
      <c r="G63" s="1">
        <f t="shared" si="37"/>
        <v>0</v>
      </c>
      <c r="H63" s="1">
        <f t="shared" si="38"/>
        <v>0</v>
      </c>
      <c r="I63" s="1">
        <f t="shared" si="39"/>
        <v>0</v>
      </c>
      <c r="J63" s="1">
        <f t="shared" si="40"/>
        <v>0</v>
      </c>
      <c r="K63" s="1">
        <f t="shared" si="41"/>
        <v>0</v>
      </c>
      <c r="L63" s="1">
        <f t="shared" si="42"/>
        <v>0</v>
      </c>
      <c r="M63" s="1">
        <f t="shared" si="43"/>
        <v>0</v>
      </c>
      <c r="N63" s="1">
        <f t="shared" si="44"/>
        <v>0</v>
      </c>
      <c r="O63" s="1">
        <f t="shared" si="45"/>
        <v>-0.64772727272727271</v>
      </c>
      <c r="P63" s="1">
        <f t="shared" si="46"/>
        <v>-3.1477272727272729</v>
      </c>
      <c r="Q63" s="1">
        <f t="shared" si="47"/>
        <v>0</v>
      </c>
      <c r="R63" s="1">
        <f t="shared" si="2"/>
        <v>0</v>
      </c>
      <c r="S63" s="1">
        <f t="shared" si="48"/>
        <v>0</v>
      </c>
      <c r="T63" s="7">
        <f t="shared" si="49"/>
        <v>-0.64772727272727271</v>
      </c>
      <c r="U63" s="7">
        <f t="shared" si="50"/>
        <v>-3.1477272727272729</v>
      </c>
      <c r="V63" s="7">
        <f t="shared" si="51"/>
        <v>-0.64772727272727271</v>
      </c>
      <c r="W63" s="7">
        <f t="shared" si="52"/>
        <v>-3.1477272727272729</v>
      </c>
      <c r="X63" s="1">
        <f t="shared" si="3"/>
        <v>0</v>
      </c>
      <c r="Y63" s="1">
        <f t="shared" si="4"/>
        <v>0</v>
      </c>
      <c r="Z63">
        <f t="shared" si="5"/>
        <v>0</v>
      </c>
      <c r="AA63">
        <f t="shared" si="6"/>
        <v>0</v>
      </c>
      <c r="AB63">
        <f t="shared" si="7"/>
        <v>0</v>
      </c>
      <c r="AC63">
        <f t="shared" si="8"/>
        <v>0</v>
      </c>
      <c r="AD63">
        <f t="shared" si="9"/>
        <v>0</v>
      </c>
      <c r="AE63">
        <f t="shared" si="10"/>
        <v>0</v>
      </c>
      <c r="AF63">
        <f t="shared" si="11"/>
        <v>0</v>
      </c>
      <c r="AG63">
        <f t="shared" si="12"/>
        <v>0</v>
      </c>
      <c r="AH63">
        <f t="shared" si="13"/>
        <v>0</v>
      </c>
      <c r="AI63" s="1">
        <f t="shared" si="14"/>
        <v>0</v>
      </c>
      <c r="AJ63" s="1">
        <f t="shared" si="15"/>
        <v>0</v>
      </c>
      <c r="AK63">
        <f t="shared" si="16"/>
        <v>0</v>
      </c>
      <c r="AL63">
        <f t="shared" si="17"/>
        <v>0</v>
      </c>
      <c r="AM63">
        <f t="shared" si="18"/>
        <v>0</v>
      </c>
      <c r="AN63">
        <f t="shared" si="19"/>
        <v>0</v>
      </c>
      <c r="AO63">
        <f t="shared" si="20"/>
        <v>0</v>
      </c>
      <c r="AP63">
        <f t="shared" si="21"/>
        <v>0</v>
      </c>
      <c r="AQ63">
        <f t="shared" si="22"/>
        <v>0</v>
      </c>
      <c r="AR63">
        <f t="shared" si="23"/>
        <v>0</v>
      </c>
      <c r="AS63">
        <f t="shared" si="24"/>
        <v>0</v>
      </c>
      <c r="AT63" s="1">
        <f t="shared" si="25"/>
        <v>0</v>
      </c>
      <c r="AU63" s="1">
        <f t="shared" si="26"/>
        <v>0</v>
      </c>
      <c r="AV63">
        <f t="shared" si="27"/>
        <v>0</v>
      </c>
      <c r="AW63">
        <f t="shared" si="28"/>
        <v>0</v>
      </c>
      <c r="AX63">
        <f t="shared" si="29"/>
        <v>0</v>
      </c>
      <c r="AY63">
        <f t="shared" si="30"/>
        <v>0</v>
      </c>
      <c r="AZ63">
        <f t="shared" si="31"/>
        <v>0</v>
      </c>
      <c r="BA63">
        <f t="shared" si="32"/>
        <v>0</v>
      </c>
      <c r="BB63">
        <f t="shared" si="33"/>
        <v>0</v>
      </c>
      <c r="BC63">
        <f t="shared" si="34"/>
        <v>0</v>
      </c>
      <c r="BD63">
        <f t="shared" si="35"/>
        <v>0</v>
      </c>
    </row>
    <row r="64" spans="1:56" x14ac:dyDescent="0.25">
      <c r="A64" s="1">
        <v>47</v>
      </c>
      <c r="B64" s="2">
        <v>0</v>
      </c>
      <c r="C64" s="2">
        <v>0</v>
      </c>
      <c r="D64" s="2">
        <v>0</v>
      </c>
      <c r="E64" s="2">
        <v>0</v>
      </c>
      <c r="F64" s="1">
        <f t="shared" si="36"/>
        <v>0</v>
      </c>
      <c r="G64" s="1">
        <f t="shared" si="37"/>
        <v>0</v>
      </c>
      <c r="H64" s="1">
        <f t="shared" si="38"/>
        <v>0</v>
      </c>
      <c r="I64" s="1">
        <f t="shared" si="39"/>
        <v>0</v>
      </c>
      <c r="J64" s="1">
        <f t="shared" si="40"/>
        <v>0</v>
      </c>
      <c r="K64" s="1">
        <f t="shared" si="41"/>
        <v>0</v>
      </c>
      <c r="L64" s="1">
        <f t="shared" si="42"/>
        <v>0</v>
      </c>
      <c r="M64" s="1">
        <f t="shared" si="43"/>
        <v>0</v>
      </c>
      <c r="N64" s="1">
        <f t="shared" si="44"/>
        <v>0</v>
      </c>
      <c r="O64" s="1">
        <f t="shared" si="45"/>
        <v>-0.64772727272727271</v>
      </c>
      <c r="P64" s="1">
        <f t="shared" si="46"/>
        <v>-3.1477272727272729</v>
      </c>
      <c r="Q64" s="1">
        <f t="shared" si="47"/>
        <v>0</v>
      </c>
      <c r="R64" s="1">
        <f t="shared" si="2"/>
        <v>0</v>
      </c>
      <c r="S64" s="1">
        <f t="shared" si="48"/>
        <v>0</v>
      </c>
      <c r="T64" s="7">
        <f t="shared" si="49"/>
        <v>-0.64772727272727271</v>
      </c>
      <c r="U64" s="7">
        <f t="shared" si="50"/>
        <v>-3.1477272727272729</v>
      </c>
      <c r="V64" s="7">
        <f t="shared" si="51"/>
        <v>-0.64772727272727271</v>
      </c>
      <c r="W64" s="7">
        <f t="shared" si="52"/>
        <v>-3.1477272727272729</v>
      </c>
      <c r="X64" s="1">
        <f t="shared" si="3"/>
        <v>0</v>
      </c>
      <c r="Y64" s="1">
        <f t="shared" si="4"/>
        <v>0</v>
      </c>
      <c r="Z64">
        <f t="shared" si="5"/>
        <v>0</v>
      </c>
      <c r="AA64">
        <f t="shared" si="6"/>
        <v>0</v>
      </c>
      <c r="AB64">
        <f t="shared" si="7"/>
        <v>0</v>
      </c>
      <c r="AC64">
        <f t="shared" si="8"/>
        <v>0</v>
      </c>
      <c r="AD64">
        <f t="shared" si="9"/>
        <v>0</v>
      </c>
      <c r="AE64">
        <f t="shared" si="10"/>
        <v>0</v>
      </c>
      <c r="AF64">
        <f t="shared" si="11"/>
        <v>0</v>
      </c>
      <c r="AG64">
        <f t="shared" si="12"/>
        <v>0</v>
      </c>
      <c r="AH64">
        <f t="shared" si="13"/>
        <v>0</v>
      </c>
      <c r="AI64" s="1">
        <f t="shared" si="14"/>
        <v>0</v>
      </c>
      <c r="AJ64" s="1">
        <f t="shared" si="15"/>
        <v>0</v>
      </c>
      <c r="AK64">
        <f t="shared" si="16"/>
        <v>0</v>
      </c>
      <c r="AL64">
        <f t="shared" si="17"/>
        <v>0</v>
      </c>
      <c r="AM64">
        <f t="shared" si="18"/>
        <v>0</v>
      </c>
      <c r="AN64">
        <f t="shared" si="19"/>
        <v>0</v>
      </c>
      <c r="AO64">
        <f t="shared" si="20"/>
        <v>0</v>
      </c>
      <c r="AP64">
        <f t="shared" si="21"/>
        <v>0</v>
      </c>
      <c r="AQ64">
        <f t="shared" si="22"/>
        <v>0</v>
      </c>
      <c r="AR64">
        <f t="shared" si="23"/>
        <v>0</v>
      </c>
      <c r="AS64">
        <f t="shared" si="24"/>
        <v>0</v>
      </c>
      <c r="AT64" s="1">
        <f t="shared" si="25"/>
        <v>0</v>
      </c>
      <c r="AU64" s="1">
        <f t="shared" si="26"/>
        <v>0</v>
      </c>
      <c r="AV64">
        <f t="shared" si="27"/>
        <v>0</v>
      </c>
      <c r="AW64">
        <f t="shared" si="28"/>
        <v>0</v>
      </c>
      <c r="AX64">
        <f t="shared" si="29"/>
        <v>0</v>
      </c>
      <c r="AY64">
        <f t="shared" si="30"/>
        <v>0</v>
      </c>
      <c r="AZ64">
        <f t="shared" si="31"/>
        <v>0</v>
      </c>
      <c r="BA64">
        <f t="shared" si="32"/>
        <v>0</v>
      </c>
      <c r="BB64">
        <f t="shared" si="33"/>
        <v>0</v>
      </c>
      <c r="BC64">
        <f t="shared" si="34"/>
        <v>0</v>
      </c>
      <c r="BD64">
        <f t="shared" si="35"/>
        <v>0</v>
      </c>
    </row>
    <row r="65" spans="1:56" x14ac:dyDescent="0.25">
      <c r="A65" s="1">
        <v>48</v>
      </c>
      <c r="B65" s="2">
        <v>0</v>
      </c>
      <c r="C65" s="2">
        <v>0</v>
      </c>
      <c r="D65" s="2">
        <v>0</v>
      </c>
      <c r="E65" s="2">
        <v>0</v>
      </c>
      <c r="F65" s="1">
        <f t="shared" si="36"/>
        <v>0</v>
      </c>
      <c r="G65" s="1">
        <f t="shared" si="37"/>
        <v>0</v>
      </c>
      <c r="H65" s="1">
        <f t="shared" si="38"/>
        <v>0</v>
      </c>
      <c r="I65" s="1">
        <f t="shared" si="39"/>
        <v>0</v>
      </c>
      <c r="J65" s="1">
        <f t="shared" si="40"/>
        <v>0</v>
      </c>
      <c r="K65" s="1">
        <f t="shared" si="41"/>
        <v>0</v>
      </c>
      <c r="L65" s="1">
        <f t="shared" si="42"/>
        <v>0</v>
      </c>
      <c r="M65" s="1">
        <f t="shared" si="43"/>
        <v>0</v>
      </c>
      <c r="N65" s="1">
        <f t="shared" si="44"/>
        <v>0</v>
      </c>
      <c r="O65" s="1">
        <f t="shared" si="45"/>
        <v>-0.64772727272727271</v>
      </c>
      <c r="P65" s="1">
        <f t="shared" si="46"/>
        <v>-3.1477272727272729</v>
      </c>
      <c r="Q65" s="1">
        <f t="shared" si="47"/>
        <v>0</v>
      </c>
      <c r="R65" s="1">
        <f t="shared" si="2"/>
        <v>0</v>
      </c>
      <c r="S65" s="1">
        <f t="shared" si="48"/>
        <v>0</v>
      </c>
      <c r="T65" s="7">
        <f t="shared" si="49"/>
        <v>-0.64772727272727271</v>
      </c>
      <c r="U65" s="7">
        <f t="shared" si="50"/>
        <v>-3.1477272727272729</v>
      </c>
      <c r="V65" s="7">
        <f t="shared" si="51"/>
        <v>-0.64772727272727271</v>
      </c>
      <c r="W65" s="7">
        <f t="shared" si="52"/>
        <v>-3.1477272727272729</v>
      </c>
      <c r="X65" s="1">
        <f t="shared" si="3"/>
        <v>0</v>
      </c>
      <c r="Y65" s="1">
        <f t="shared" si="4"/>
        <v>0</v>
      </c>
      <c r="Z65">
        <f t="shared" si="5"/>
        <v>0</v>
      </c>
      <c r="AA65">
        <f t="shared" si="6"/>
        <v>0</v>
      </c>
      <c r="AB65">
        <f t="shared" si="7"/>
        <v>0</v>
      </c>
      <c r="AC65">
        <f t="shared" si="8"/>
        <v>0</v>
      </c>
      <c r="AD65">
        <f t="shared" si="9"/>
        <v>0</v>
      </c>
      <c r="AE65">
        <f t="shared" si="10"/>
        <v>0</v>
      </c>
      <c r="AF65">
        <f t="shared" si="11"/>
        <v>0</v>
      </c>
      <c r="AG65">
        <f t="shared" si="12"/>
        <v>0</v>
      </c>
      <c r="AH65">
        <f t="shared" si="13"/>
        <v>0</v>
      </c>
      <c r="AI65" s="1">
        <f t="shared" si="14"/>
        <v>0</v>
      </c>
      <c r="AJ65" s="1">
        <f t="shared" si="15"/>
        <v>0</v>
      </c>
      <c r="AK65">
        <f t="shared" si="16"/>
        <v>0</v>
      </c>
      <c r="AL65">
        <f t="shared" si="17"/>
        <v>0</v>
      </c>
      <c r="AM65">
        <f t="shared" si="18"/>
        <v>0</v>
      </c>
      <c r="AN65">
        <f t="shared" si="19"/>
        <v>0</v>
      </c>
      <c r="AO65">
        <f t="shared" si="20"/>
        <v>0</v>
      </c>
      <c r="AP65">
        <f t="shared" si="21"/>
        <v>0</v>
      </c>
      <c r="AQ65">
        <f t="shared" si="22"/>
        <v>0</v>
      </c>
      <c r="AR65">
        <f t="shared" si="23"/>
        <v>0</v>
      </c>
      <c r="AS65">
        <f t="shared" si="24"/>
        <v>0</v>
      </c>
      <c r="AT65" s="1">
        <f t="shared" si="25"/>
        <v>0</v>
      </c>
      <c r="AU65" s="1">
        <f t="shared" si="26"/>
        <v>0</v>
      </c>
      <c r="AV65">
        <f t="shared" si="27"/>
        <v>0</v>
      </c>
      <c r="AW65">
        <f t="shared" si="28"/>
        <v>0</v>
      </c>
      <c r="AX65">
        <f t="shared" si="29"/>
        <v>0</v>
      </c>
      <c r="AY65">
        <f t="shared" si="30"/>
        <v>0</v>
      </c>
      <c r="AZ65">
        <f t="shared" si="31"/>
        <v>0</v>
      </c>
      <c r="BA65">
        <f t="shared" si="32"/>
        <v>0</v>
      </c>
      <c r="BB65">
        <f t="shared" si="33"/>
        <v>0</v>
      </c>
      <c r="BC65">
        <f t="shared" si="34"/>
        <v>0</v>
      </c>
      <c r="BD65">
        <f t="shared" si="35"/>
        <v>0</v>
      </c>
    </row>
    <row r="66" spans="1:56" x14ac:dyDescent="0.25">
      <c r="A66" s="1">
        <v>49</v>
      </c>
      <c r="B66" s="2">
        <v>0</v>
      </c>
      <c r="C66" s="2">
        <v>0</v>
      </c>
      <c r="D66" s="2">
        <v>0</v>
      </c>
      <c r="E66" s="2">
        <v>0</v>
      </c>
      <c r="F66" s="1">
        <f t="shared" si="36"/>
        <v>0</v>
      </c>
      <c r="G66" s="1">
        <f t="shared" si="37"/>
        <v>0</v>
      </c>
      <c r="H66" s="1">
        <f t="shared" si="38"/>
        <v>0</v>
      </c>
      <c r="I66" s="1">
        <f t="shared" si="39"/>
        <v>0</v>
      </c>
      <c r="J66" s="1">
        <f t="shared" si="40"/>
        <v>0</v>
      </c>
      <c r="K66" s="1">
        <f t="shared" si="41"/>
        <v>0</v>
      </c>
      <c r="L66" s="1">
        <f t="shared" si="42"/>
        <v>0</v>
      </c>
      <c r="M66" s="1">
        <f t="shared" si="43"/>
        <v>0</v>
      </c>
      <c r="N66" s="1">
        <f t="shared" si="44"/>
        <v>0</v>
      </c>
      <c r="O66" s="1">
        <f t="shared" si="45"/>
        <v>-0.64772727272727271</v>
      </c>
      <c r="P66" s="1">
        <f t="shared" si="46"/>
        <v>-3.1477272727272729</v>
      </c>
      <c r="Q66" s="1">
        <f t="shared" si="47"/>
        <v>0</v>
      </c>
      <c r="R66" s="1">
        <f t="shared" si="2"/>
        <v>0</v>
      </c>
      <c r="S66" s="1">
        <f t="shared" si="48"/>
        <v>0</v>
      </c>
      <c r="T66" s="7">
        <f t="shared" si="49"/>
        <v>-0.64772727272727271</v>
      </c>
      <c r="U66" s="7">
        <f t="shared" si="50"/>
        <v>-3.1477272727272729</v>
      </c>
      <c r="V66" s="7">
        <f t="shared" si="51"/>
        <v>-0.64772727272727271</v>
      </c>
      <c r="W66" s="7">
        <f t="shared" si="52"/>
        <v>-3.1477272727272729</v>
      </c>
      <c r="X66" s="1">
        <f t="shared" si="3"/>
        <v>0</v>
      </c>
      <c r="Y66" s="1">
        <f t="shared" si="4"/>
        <v>0</v>
      </c>
      <c r="Z66">
        <f t="shared" si="5"/>
        <v>0</v>
      </c>
      <c r="AA66">
        <f t="shared" si="6"/>
        <v>0</v>
      </c>
      <c r="AB66">
        <f t="shared" si="7"/>
        <v>0</v>
      </c>
      <c r="AC66">
        <f t="shared" si="8"/>
        <v>0</v>
      </c>
      <c r="AD66">
        <f t="shared" si="9"/>
        <v>0</v>
      </c>
      <c r="AE66">
        <f t="shared" si="10"/>
        <v>0</v>
      </c>
      <c r="AF66">
        <f t="shared" si="11"/>
        <v>0</v>
      </c>
      <c r="AG66">
        <f t="shared" si="12"/>
        <v>0</v>
      </c>
      <c r="AH66">
        <f t="shared" si="13"/>
        <v>0</v>
      </c>
      <c r="AI66" s="1">
        <f t="shared" si="14"/>
        <v>0</v>
      </c>
      <c r="AJ66" s="1">
        <f t="shared" si="15"/>
        <v>0</v>
      </c>
      <c r="AK66">
        <f t="shared" si="16"/>
        <v>0</v>
      </c>
      <c r="AL66">
        <f t="shared" si="17"/>
        <v>0</v>
      </c>
      <c r="AM66">
        <f t="shared" si="18"/>
        <v>0</v>
      </c>
      <c r="AN66">
        <f t="shared" si="19"/>
        <v>0</v>
      </c>
      <c r="AO66">
        <f t="shared" si="20"/>
        <v>0</v>
      </c>
      <c r="AP66">
        <f t="shared" si="21"/>
        <v>0</v>
      </c>
      <c r="AQ66">
        <f t="shared" si="22"/>
        <v>0</v>
      </c>
      <c r="AR66">
        <f t="shared" si="23"/>
        <v>0</v>
      </c>
      <c r="AS66">
        <f t="shared" si="24"/>
        <v>0</v>
      </c>
      <c r="AT66" s="1">
        <f t="shared" si="25"/>
        <v>0</v>
      </c>
      <c r="AU66" s="1">
        <f t="shared" si="26"/>
        <v>0</v>
      </c>
      <c r="AV66">
        <f t="shared" si="27"/>
        <v>0</v>
      </c>
      <c r="AW66">
        <f t="shared" si="28"/>
        <v>0</v>
      </c>
      <c r="AX66">
        <f t="shared" si="29"/>
        <v>0</v>
      </c>
      <c r="AY66">
        <f t="shared" si="30"/>
        <v>0</v>
      </c>
      <c r="AZ66">
        <f t="shared" si="31"/>
        <v>0</v>
      </c>
      <c r="BA66">
        <f t="shared" si="32"/>
        <v>0</v>
      </c>
      <c r="BB66">
        <f t="shared" si="33"/>
        <v>0</v>
      </c>
      <c r="BC66">
        <f t="shared" si="34"/>
        <v>0</v>
      </c>
      <c r="BD66">
        <f t="shared" si="35"/>
        <v>0</v>
      </c>
    </row>
    <row r="67" spans="1:56" x14ac:dyDescent="0.25">
      <c r="A67" s="1">
        <v>50</v>
      </c>
      <c r="B67" s="2">
        <v>0</v>
      </c>
      <c r="C67" s="2">
        <v>0</v>
      </c>
      <c r="D67" s="2">
        <v>0</v>
      </c>
      <c r="E67" s="2">
        <v>0</v>
      </c>
      <c r="F67" s="1">
        <f t="shared" si="36"/>
        <v>0</v>
      </c>
      <c r="G67" s="1">
        <f t="shared" si="37"/>
        <v>0</v>
      </c>
      <c r="H67" s="1">
        <f t="shared" si="38"/>
        <v>0</v>
      </c>
      <c r="I67" s="1">
        <f t="shared" si="39"/>
        <v>0</v>
      </c>
      <c r="J67" s="1">
        <f t="shared" si="40"/>
        <v>0</v>
      </c>
      <c r="K67" s="1">
        <f t="shared" si="41"/>
        <v>0</v>
      </c>
      <c r="L67" s="1">
        <f t="shared" si="42"/>
        <v>0</v>
      </c>
      <c r="M67" s="1">
        <f t="shared" si="43"/>
        <v>0</v>
      </c>
      <c r="N67" s="1">
        <f t="shared" si="44"/>
        <v>0</v>
      </c>
      <c r="O67" s="1">
        <f t="shared" si="45"/>
        <v>-0.64772727272727271</v>
      </c>
      <c r="P67" s="1">
        <f t="shared" si="46"/>
        <v>-3.1477272727272729</v>
      </c>
      <c r="Q67" s="1">
        <f t="shared" si="47"/>
        <v>0</v>
      </c>
      <c r="R67" s="1">
        <f t="shared" si="2"/>
        <v>0</v>
      </c>
      <c r="S67" s="1">
        <f t="shared" si="48"/>
        <v>0</v>
      </c>
      <c r="T67" s="7">
        <f t="shared" si="49"/>
        <v>-0.64772727272727271</v>
      </c>
      <c r="U67" s="7">
        <f t="shared" si="50"/>
        <v>-3.1477272727272729</v>
      </c>
      <c r="V67" s="7">
        <f t="shared" si="51"/>
        <v>-0.64772727272727271</v>
      </c>
      <c r="W67" s="7">
        <f t="shared" si="52"/>
        <v>-3.1477272727272729</v>
      </c>
      <c r="X67" s="1">
        <f t="shared" si="3"/>
        <v>0</v>
      </c>
      <c r="Y67" s="1">
        <f t="shared" si="4"/>
        <v>0</v>
      </c>
      <c r="Z67">
        <f t="shared" si="5"/>
        <v>0</v>
      </c>
      <c r="AA67">
        <f t="shared" si="6"/>
        <v>0</v>
      </c>
      <c r="AB67">
        <f t="shared" si="7"/>
        <v>0</v>
      </c>
      <c r="AC67">
        <f t="shared" si="8"/>
        <v>0</v>
      </c>
      <c r="AD67">
        <f t="shared" si="9"/>
        <v>0</v>
      </c>
      <c r="AE67">
        <f t="shared" si="10"/>
        <v>0</v>
      </c>
      <c r="AF67">
        <f t="shared" si="11"/>
        <v>0</v>
      </c>
      <c r="AG67">
        <f t="shared" si="12"/>
        <v>0</v>
      </c>
      <c r="AH67">
        <f t="shared" si="13"/>
        <v>0</v>
      </c>
      <c r="AI67" s="1">
        <f t="shared" si="14"/>
        <v>0</v>
      </c>
      <c r="AJ67" s="1">
        <f t="shared" si="15"/>
        <v>0</v>
      </c>
      <c r="AK67">
        <f t="shared" si="16"/>
        <v>0</v>
      </c>
      <c r="AL67">
        <f t="shared" si="17"/>
        <v>0</v>
      </c>
      <c r="AM67">
        <f t="shared" si="18"/>
        <v>0</v>
      </c>
      <c r="AN67">
        <f t="shared" si="19"/>
        <v>0</v>
      </c>
      <c r="AO67">
        <f t="shared" si="20"/>
        <v>0</v>
      </c>
      <c r="AP67">
        <f t="shared" si="21"/>
        <v>0</v>
      </c>
      <c r="AQ67">
        <f t="shared" si="22"/>
        <v>0</v>
      </c>
      <c r="AR67">
        <f t="shared" si="23"/>
        <v>0</v>
      </c>
      <c r="AS67">
        <f t="shared" si="24"/>
        <v>0</v>
      </c>
      <c r="AT67" s="1">
        <f t="shared" si="25"/>
        <v>0</v>
      </c>
      <c r="AU67" s="1">
        <f t="shared" si="26"/>
        <v>0</v>
      </c>
      <c r="AV67">
        <f t="shared" si="27"/>
        <v>0</v>
      </c>
      <c r="AW67">
        <f t="shared" si="28"/>
        <v>0</v>
      </c>
      <c r="AX67">
        <f t="shared" si="29"/>
        <v>0</v>
      </c>
      <c r="AY67">
        <f t="shared" si="30"/>
        <v>0</v>
      </c>
      <c r="AZ67">
        <f t="shared" si="31"/>
        <v>0</v>
      </c>
      <c r="BA67">
        <f t="shared" si="32"/>
        <v>0</v>
      </c>
      <c r="BB67">
        <f t="shared" si="33"/>
        <v>0</v>
      </c>
      <c r="BC67">
        <f t="shared" si="34"/>
        <v>0</v>
      </c>
      <c r="BD67">
        <f t="shared" si="35"/>
        <v>0</v>
      </c>
    </row>
    <row r="68" spans="1:56" x14ac:dyDescent="0.25">
      <c r="A68" s="1">
        <v>51</v>
      </c>
      <c r="B68" s="2">
        <v>0</v>
      </c>
      <c r="C68" s="2">
        <v>0</v>
      </c>
      <c r="D68" s="2">
        <v>0</v>
      </c>
      <c r="E68" s="2">
        <v>0</v>
      </c>
      <c r="F68" s="1">
        <f t="shared" si="36"/>
        <v>0</v>
      </c>
      <c r="G68" s="1">
        <f t="shared" si="37"/>
        <v>0</v>
      </c>
      <c r="H68" s="1">
        <f t="shared" si="38"/>
        <v>0</v>
      </c>
      <c r="I68" s="1">
        <f t="shared" si="39"/>
        <v>0</v>
      </c>
      <c r="J68" s="1">
        <f t="shared" si="40"/>
        <v>0</v>
      </c>
      <c r="K68" s="1">
        <f t="shared" si="41"/>
        <v>0</v>
      </c>
      <c r="L68" s="1">
        <f t="shared" si="42"/>
        <v>0</v>
      </c>
      <c r="M68" s="1">
        <f t="shared" si="43"/>
        <v>0</v>
      </c>
      <c r="N68" s="1">
        <f t="shared" si="44"/>
        <v>0</v>
      </c>
      <c r="O68" s="1">
        <f t="shared" si="45"/>
        <v>-0.64772727272727271</v>
      </c>
      <c r="P68" s="1">
        <f t="shared" si="46"/>
        <v>-3.1477272727272729</v>
      </c>
      <c r="Q68" s="1">
        <f t="shared" si="47"/>
        <v>0</v>
      </c>
      <c r="R68" s="1">
        <f t="shared" si="2"/>
        <v>0</v>
      </c>
      <c r="S68" s="1">
        <f t="shared" si="48"/>
        <v>0</v>
      </c>
      <c r="T68" s="7">
        <f t="shared" si="49"/>
        <v>-0.64772727272727271</v>
      </c>
      <c r="U68" s="7">
        <f t="shared" si="50"/>
        <v>-3.1477272727272729</v>
      </c>
      <c r="V68" s="7">
        <f t="shared" si="51"/>
        <v>-0.64772727272727271</v>
      </c>
      <c r="W68" s="7">
        <f t="shared" si="52"/>
        <v>-3.1477272727272729</v>
      </c>
      <c r="X68" s="1">
        <f t="shared" si="3"/>
        <v>0</v>
      </c>
      <c r="Y68" s="1">
        <f t="shared" si="4"/>
        <v>0</v>
      </c>
      <c r="Z68">
        <f t="shared" si="5"/>
        <v>0</v>
      </c>
      <c r="AA68">
        <f t="shared" si="6"/>
        <v>0</v>
      </c>
      <c r="AB68">
        <f t="shared" si="7"/>
        <v>0</v>
      </c>
      <c r="AC68">
        <f t="shared" si="8"/>
        <v>0</v>
      </c>
      <c r="AD68">
        <f t="shared" si="9"/>
        <v>0</v>
      </c>
      <c r="AE68">
        <f t="shared" si="10"/>
        <v>0</v>
      </c>
      <c r="AF68">
        <f t="shared" si="11"/>
        <v>0</v>
      </c>
      <c r="AG68">
        <f t="shared" si="12"/>
        <v>0</v>
      </c>
      <c r="AH68">
        <f t="shared" si="13"/>
        <v>0</v>
      </c>
      <c r="AI68" s="1">
        <f t="shared" si="14"/>
        <v>0</v>
      </c>
      <c r="AJ68" s="1">
        <f t="shared" si="15"/>
        <v>0</v>
      </c>
      <c r="AK68">
        <f t="shared" si="16"/>
        <v>0</v>
      </c>
      <c r="AL68">
        <f t="shared" si="17"/>
        <v>0</v>
      </c>
      <c r="AM68">
        <f t="shared" si="18"/>
        <v>0</v>
      </c>
      <c r="AN68">
        <f t="shared" si="19"/>
        <v>0</v>
      </c>
      <c r="AO68">
        <f t="shared" si="20"/>
        <v>0</v>
      </c>
      <c r="AP68">
        <f t="shared" si="21"/>
        <v>0</v>
      </c>
      <c r="AQ68">
        <f t="shared" si="22"/>
        <v>0</v>
      </c>
      <c r="AR68">
        <f t="shared" si="23"/>
        <v>0</v>
      </c>
      <c r="AS68">
        <f t="shared" si="24"/>
        <v>0</v>
      </c>
      <c r="AT68" s="1">
        <f t="shared" si="25"/>
        <v>0</v>
      </c>
      <c r="AU68" s="1">
        <f t="shared" si="26"/>
        <v>0</v>
      </c>
      <c r="AV68">
        <f t="shared" si="27"/>
        <v>0</v>
      </c>
      <c r="AW68">
        <f t="shared" si="28"/>
        <v>0</v>
      </c>
      <c r="AX68">
        <f t="shared" si="29"/>
        <v>0</v>
      </c>
      <c r="AY68">
        <f t="shared" si="30"/>
        <v>0</v>
      </c>
      <c r="AZ68">
        <f t="shared" si="31"/>
        <v>0</v>
      </c>
      <c r="BA68">
        <f t="shared" si="32"/>
        <v>0</v>
      </c>
      <c r="BB68">
        <f t="shared" si="33"/>
        <v>0</v>
      </c>
      <c r="BC68">
        <f t="shared" si="34"/>
        <v>0</v>
      </c>
      <c r="BD68">
        <f t="shared" si="35"/>
        <v>0</v>
      </c>
    </row>
    <row r="69" spans="1:56" x14ac:dyDescent="0.25">
      <c r="A69" s="1">
        <v>52</v>
      </c>
      <c r="B69" s="2">
        <v>0</v>
      </c>
      <c r="C69" s="2">
        <v>0</v>
      </c>
      <c r="D69" s="2">
        <v>0</v>
      </c>
      <c r="E69" s="2">
        <v>0</v>
      </c>
      <c r="F69" s="1">
        <f t="shared" si="36"/>
        <v>0</v>
      </c>
      <c r="G69" s="1">
        <f t="shared" si="37"/>
        <v>0</v>
      </c>
      <c r="H69" s="1">
        <f t="shared" si="38"/>
        <v>0</v>
      </c>
      <c r="I69" s="1">
        <f t="shared" si="39"/>
        <v>0</v>
      </c>
      <c r="J69" s="1">
        <f t="shared" si="40"/>
        <v>0</v>
      </c>
      <c r="K69" s="1">
        <f t="shared" si="41"/>
        <v>0</v>
      </c>
      <c r="L69" s="1">
        <f t="shared" si="42"/>
        <v>0</v>
      </c>
      <c r="M69" s="1">
        <f t="shared" si="43"/>
        <v>0</v>
      </c>
      <c r="N69" s="1">
        <f t="shared" si="44"/>
        <v>0</v>
      </c>
      <c r="O69" s="1">
        <f t="shared" si="45"/>
        <v>-0.64772727272727271</v>
      </c>
      <c r="P69" s="1">
        <f t="shared" si="46"/>
        <v>-3.1477272727272729</v>
      </c>
      <c r="Q69" s="1">
        <f t="shared" si="47"/>
        <v>0</v>
      </c>
      <c r="R69" s="1">
        <f t="shared" si="2"/>
        <v>0</v>
      </c>
      <c r="S69" s="1">
        <f t="shared" si="48"/>
        <v>0</v>
      </c>
      <c r="T69" s="7">
        <f t="shared" si="49"/>
        <v>-0.64772727272727271</v>
      </c>
      <c r="U69" s="7">
        <f t="shared" si="50"/>
        <v>-3.1477272727272729</v>
      </c>
      <c r="V69" s="7">
        <f t="shared" si="51"/>
        <v>-0.64772727272727271</v>
      </c>
      <c r="W69" s="7">
        <f t="shared" si="52"/>
        <v>-3.1477272727272729</v>
      </c>
      <c r="X69" s="1">
        <f t="shared" si="3"/>
        <v>0</v>
      </c>
      <c r="Y69" s="1">
        <f t="shared" si="4"/>
        <v>0</v>
      </c>
      <c r="Z69">
        <f t="shared" si="5"/>
        <v>0</v>
      </c>
      <c r="AA69">
        <f t="shared" si="6"/>
        <v>0</v>
      </c>
      <c r="AB69">
        <f t="shared" si="7"/>
        <v>0</v>
      </c>
      <c r="AC69">
        <f t="shared" si="8"/>
        <v>0</v>
      </c>
      <c r="AD69">
        <f t="shared" si="9"/>
        <v>0</v>
      </c>
      <c r="AE69">
        <f t="shared" si="10"/>
        <v>0</v>
      </c>
      <c r="AF69">
        <f t="shared" si="11"/>
        <v>0</v>
      </c>
      <c r="AG69">
        <f t="shared" si="12"/>
        <v>0</v>
      </c>
      <c r="AH69">
        <f t="shared" si="13"/>
        <v>0</v>
      </c>
      <c r="AI69" s="1">
        <f t="shared" si="14"/>
        <v>0</v>
      </c>
      <c r="AJ69" s="1">
        <f t="shared" si="15"/>
        <v>0</v>
      </c>
      <c r="AK69">
        <f t="shared" si="16"/>
        <v>0</v>
      </c>
      <c r="AL69">
        <f t="shared" si="17"/>
        <v>0</v>
      </c>
      <c r="AM69">
        <f t="shared" si="18"/>
        <v>0</v>
      </c>
      <c r="AN69">
        <f t="shared" si="19"/>
        <v>0</v>
      </c>
      <c r="AO69">
        <f t="shared" si="20"/>
        <v>0</v>
      </c>
      <c r="AP69">
        <f t="shared" si="21"/>
        <v>0</v>
      </c>
      <c r="AQ69">
        <f t="shared" si="22"/>
        <v>0</v>
      </c>
      <c r="AR69">
        <f t="shared" si="23"/>
        <v>0</v>
      </c>
      <c r="AS69">
        <f t="shared" si="24"/>
        <v>0</v>
      </c>
      <c r="AT69" s="1">
        <f t="shared" si="25"/>
        <v>0</v>
      </c>
      <c r="AU69" s="1">
        <f t="shared" si="26"/>
        <v>0</v>
      </c>
      <c r="AV69">
        <f t="shared" si="27"/>
        <v>0</v>
      </c>
      <c r="AW69">
        <f t="shared" si="28"/>
        <v>0</v>
      </c>
      <c r="AX69">
        <f t="shared" si="29"/>
        <v>0</v>
      </c>
      <c r="AY69">
        <f t="shared" si="30"/>
        <v>0</v>
      </c>
      <c r="AZ69">
        <f t="shared" si="31"/>
        <v>0</v>
      </c>
      <c r="BA69">
        <f t="shared" si="32"/>
        <v>0</v>
      </c>
      <c r="BB69">
        <f t="shared" si="33"/>
        <v>0</v>
      </c>
      <c r="BC69">
        <f t="shared" si="34"/>
        <v>0</v>
      </c>
      <c r="BD69">
        <f t="shared" si="35"/>
        <v>0</v>
      </c>
    </row>
    <row r="70" spans="1:56" x14ac:dyDescent="0.25">
      <c r="A70" s="1">
        <v>53</v>
      </c>
      <c r="B70" s="2">
        <v>0</v>
      </c>
      <c r="C70" s="2">
        <v>0</v>
      </c>
      <c r="D70" s="2">
        <v>0</v>
      </c>
      <c r="E70" s="2">
        <v>0</v>
      </c>
      <c r="F70" s="1">
        <f t="shared" si="36"/>
        <v>0</v>
      </c>
      <c r="G70" s="1">
        <f t="shared" si="37"/>
        <v>0</v>
      </c>
      <c r="H70" s="1">
        <f t="shared" si="38"/>
        <v>0</v>
      </c>
      <c r="I70" s="1">
        <f t="shared" si="39"/>
        <v>0</v>
      </c>
      <c r="J70" s="1">
        <f t="shared" si="40"/>
        <v>0</v>
      </c>
      <c r="K70" s="1">
        <f t="shared" si="41"/>
        <v>0</v>
      </c>
      <c r="L70" s="1">
        <f t="shared" si="42"/>
        <v>0</v>
      </c>
      <c r="M70" s="1">
        <f t="shared" si="43"/>
        <v>0</v>
      </c>
      <c r="N70" s="1">
        <f t="shared" si="44"/>
        <v>0</v>
      </c>
      <c r="O70" s="1">
        <f t="shared" si="45"/>
        <v>-0.64772727272727271</v>
      </c>
      <c r="P70" s="1">
        <f t="shared" si="46"/>
        <v>-3.1477272727272729</v>
      </c>
      <c r="Q70" s="1">
        <f t="shared" si="47"/>
        <v>0</v>
      </c>
      <c r="R70" s="1">
        <f t="shared" si="2"/>
        <v>0</v>
      </c>
      <c r="S70" s="1">
        <f t="shared" si="48"/>
        <v>0</v>
      </c>
      <c r="T70" s="7">
        <f t="shared" si="49"/>
        <v>-0.64772727272727271</v>
      </c>
      <c r="U70" s="7">
        <f t="shared" si="50"/>
        <v>-3.1477272727272729</v>
      </c>
      <c r="V70" s="7">
        <f t="shared" si="51"/>
        <v>-0.64772727272727271</v>
      </c>
      <c r="W70" s="7">
        <f t="shared" si="52"/>
        <v>-3.1477272727272729</v>
      </c>
      <c r="X70" s="1">
        <f t="shared" si="3"/>
        <v>0</v>
      </c>
      <c r="Y70" s="1">
        <f t="shared" si="4"/>
        <v>0</v>
      </c>
      <c r="Z70">
        <f t="shared" si="5"/>
        <v>0</v>
      </c>
      <c r="AA70">
        <f t="shared" si="6"/>
        <v>0</v>
      </c>
      <c r="AB70">
        <f t="shared" si="7"/>
        <v>0</v>
      </c>
      <c r="AC70">
        <f t="shared" si="8"/>
        <v>0</v>
      </c>
      <c r="AD70">
        <f t="shared" si="9"/>
        <v>0</v>
      </c>
      <c r="AE70">
        <f t="shared" si="10"/>
        <v>0</v>
      </c>
      <c r="AF70">
        <f t="shared" si="11"/>
        <v>0</v>
      </c>
      <c r="AG70">
        <f t="shared" si="12"/>
        <v>0</v>
      </c>
      <c r="AH70">
        <f t="shared" si="13"/>
        <v>0</v>
      </c>
      <c r="AI70" s="1">
        <f t="shared" si="14"/>
        <v>0</v>
      </c>
      <c r="AJ70" s="1">
        <f t="shared" si="15"/>
        <v>0</v>
      </c>
      <c r="AK70">
        <f t="shared" si="16"/>
        <v>0</v>
      </c>
      <c r="AL70">
        <f t="shared" si="17"/>
        <v>0</v>
      </c>
      <c r="AM70">
        <f t="shared" si="18"/>
        <v>0</v>
      </c>
      <c r="AN70">
        <f t="shared" si="19"/>
        <v>0</v>
      </c>
      <c r="AO70">
        <f t="shared" si="20"/>
        <v>0</v>
      </c>
      <c r="AP70">
        <f t="shared" si="21"/>
        <v>0</v>
      </c>
      <c r="AQ70">
        <f t="shared" si="22"/>
        <v>0</v>
      </c>
      <c r="AR70">
        <f t="shared" si="23"/>
        <v>0</v>
      </c>
      <c r="AS70">
        <f t="shared" si="24"/>
        <v>0</v>
      </c>
      <c r="AT70" s="1">
        <f t="shared" si="25"/>
        <v>0</v>
      </c>
      <c r="AU70" s="1">
        <f t="shared" si="26"/>
        <v>0</v>
      </c>
      <c r="AV70">
        <f t="shared" si="27"/>
        <v>0</v>
      </c>
      <c r="AW70">
        <f t="shared" si="28"/>
        <v>0</v>
      </c>
      <c r="AX70">
        <f t="shared" si="29"/>
        <v>0</v>
      </c>
      <c r="AY70">
        <f t="shared" si="30"/>
        <v>0</v>
      </c>
      <c r="AZ70">
        <f t="shared" si="31"/>
        <v>0</v>
      </c>
      <c r="BA70">
        <f t="shared" si="32"/>
        <v>0</v>
      </c>
      <c r="BB70">
        <f t="shared" si="33"/>
        <v>0</v>
      </c>
      <c r="BC70">
        <f t="shared" si="34"/>
        <v>0</v>
      </c>
      <c r="BD70">
        <f t="shared" si="35"/>
        <v>0</v>
      </c>
    </row>
    <row r="71" spans="1:56" x14ac:dyDescent="0.25">
      <c r="A71" s="1">
        <v>54</v>
      </c>
      <c r="B71" s="2">
        <v>0</v>
      </c>
      <c r="C71" s="2">
        <v>0</v>
      </c>
      <c r="D71" s="2">
        <v>0</v>
      </c>
      <c r="E71" s="2">
        <v>0</v>
      </c>
      <c r="F71" s="1">
        <f t="shared" si="36"/>
        <v>0</v>
      </c>
      <c r="G71" s="1">
        <f t="shared" si="37"/>
        <v>0</v>
      </c>
      <c r="H71" s="1">
        <f t="shared" si="38"/>
        <v>0</v>
      </c>
      <c r="I71" s="1">
        <f t="shared" si="39"/>
        <v>0</v>
      </c>
      <c r="J71" s="1">
        <f t="shared" si="40"/>
        <v>0</v>
      </c>
      <c r="K71" s="1">
        <f t="shared" si="41"/>
        <v>0</v>
      </c>
      <c r="L71" s="1">
        <f t="shared" si="42"/>
        <v>0</v>
      </c>
      <c r="M71" s="1">
        <f t="shared" si="43"/>
        <v>0</v>
      </c>
      <c r="N71" s="1">
        <f t="shared" si="44"/>
        <v>0</v>
      </c>
      <c r="O71" s="1">
        <f t="shared" si="45"/>
        <v>-0.64772727272727271</v>
      </c>
      <c r="P71" s="1">
        <f t="shared" si="46"/>
        <v>-3.1477272727272729</v>
      </c>
      <c r="Q71" s="1">
        <f t="shared" si="47"/>
        <v>0</v>
      </c>
      <c r="R71" s="1">
        <f t="shared" si="2"/>
        <v>0</v>
      </c>
      <c r="S71" s="1">
        <f t="shared" si="48"/>
        <v>0</v>
      </c>
      <c r="T71" s="7">
        <f t="shared" si="49"/>
        <v>-0.64772727272727271</v>
      </c>
      <c r="U71" s="7">
        <f t="shared" si="50"/>
        <v>-3.1477272727272729</v>
      </c>
      <c r="V71" s="7">
        <f t="shared" si="51"/>
        <v>-0.64772727272727271</v>
      </c>
      <c r="W71" s="7">
        <f t="shared" si="52"/>
        <v>-3.1477272727272729</v>
      </c>
      <c r="X71" s="1">
        <f t="shared" si="3"/>
        <v>0</v>
      </c>
      <c r="Y71" s="1">
        <f t="shared" si="4"/>
        <v>0</v>
      </c>
      <c r="Z71">
        <f t="shared" si="5"/>
        <v>0</v>
      </c>
      <c r="AA71">
        <f t="shared" si="6"/>
        <v>0</v>
      </c>
      <c r="AB71">
        <f t="shared" si="7"/>
        <v>0</v>
      </c>
      <c r="AC71">
        <f t="shared" si="8"/>
        <v>0</v>
      </c>
      <c r="AD71">
        <f t="shared" si="9"/>
        <v>0</v>
      </c>
      <c r="AE71">
        <f t="shared" si="10"/>
        <v>0</v>
      </c>
      <c r="AF71">
        <f t="shared" si="11"/>
        <v>0</v>
      </c>
      <c r="AG71">
        <f t="shared" si="12"/>
        <v>0</v>
      </c>
      <c r="AH71">
        <f t="shared" si="13"/>
        <v>0</v>
      </c>
      <c r="AI71" s="1">
        <f t="shared" si="14"/>
        <v>0</v>
      </c>
      <c r="AJ71" s="1">
        <f t="shared" si="15"/>
        <v>0</v>
      </c>
      <c r="AK71">
        <f t="shared" si="16"/>
        <v>0</v>
      </c>
      <c r="AL71">
        <f t="shared" si="17"/>
        <v>0</v>
      </c>
      <c r="AM71">
        <f t="shared" si="18"/>
        <v>0</v>
      </c>
      <c r="AN71">
        <f t="shared" si="19"/>
        <v>0</v>
      </c>
      <c r="AO71">
        <f t="shared" si="20"/>
        <v>0</v>
      </c>
      <c r="AP71">
        <f t="shared" si="21"/>
        <v>0</v>
      </c>
      <c r="AQ71">
        <f t="shared" si="22"/>
        <v>0</v>
      </c>
      <c r="AR71">
        <f t="shared" si="23"/>
        <v>0</v>
      </c>
      <c r="AS71">
        <f t="shared" si="24"/>
        <v>0</v>
      </c>
      <c r="AT71" s="1">
        <f t="shared" si="25"/>
        <v>0</v>
      </c>
      <c r="AU71" s="1">
        <f t="shared" si="26"/>
        <v>0</v>
      </c>
      <c r="AV71">
        <f t="shared" si="27"/>
        <v>0</v>
      </c>
      <c r="AW71">
        <f t="shared" si="28"/>
        <v>0</v>
      </c>
      <c r="AX71">
        <f t="shared" si="29"/>
        <v>0</v>
      </c>
      <c r="AY71">
        <f t="shared" si="30"/>
        <v>0</v>
      </c>
      <c r="AZ71">
        <f t="shared" si="31"/>
        <v>0</v>
      </c>
      <c r="BA71">
        <f t="shared" si="32"/>
        <v>0</v>
      </c>
      <c r="BB71">
        <f t="shared" si="33"/>
        <v>0</v>
      </c>
      <c r="BC71">
        <f t="shared" si="34"/>
        <v>0</v>
      </c>
      <c r="BD71">
        <f t="shared" si="35"/>
        <v>0</v>
      </c>
    </row>
    <row r="72" spans="1:56" x14ac:dyDescent="0.25">
      <c r="A72" s="1">
        <v>55</v>
      </c>
      <c r="B72" s="2">
        <v>0</v>
      </c>
      <c r="C72" s="2">
        <v>0</v>
      </c>
      <c r="D72" s="2">
        <v>0</v>
      </c>
      <c r="E72" s="2">
        <v>0</v>
      </c>
      <c r="F72" s="1">
        <f t="shared" si="36"/>
        <v>0</v>
      </c>
      <c r="G72" s="1">
        <f t="shared" si="37"/>
        <v>0</v>
      </c>
      <c r="H72" s="1">
        <f t="shared" si="38"/>
        <v>0</v>
      </c>
      <c r="I72" s="1">
        <f t="shared" si="39"/>
        <v>0</v>
      </c>
      <c r="J72" s="1">
        <f t="shared" si="40"/>
        <v>0</v>
      </c>
      <c r="K72" s="1">
        <f t="shared" si="41"/>
        <v>0</v>
      </c>
      <c r="L72" s="1">
        <f t="shared" si="42"/>
        <v>0</v>
      </c>
      <c r="M72" s="1">
        <f t="shared" si="43"/>
        <v>0</v>
      </c>
      <c r="N72" s="1">
        <f t="shared" si="44"/>
        <v>0</v>
      </c>
      <c r="O72" s="1">
        <f t="shared" si="45"/>
        <v>-0.64772727272727271</v>
      </c>
      <c r="P72" s="1">
        <f t="shared" si="46"/>
        <v>-3.1477272727272729</v>
      </c>
      <c r="Q72" s="1">
        <f t="shared" si="47"/>
        <v>0</v>
      </c>
      <c r="R72" s="1">
        <f t="shared" si="2"/>
        <v>0</v>
      </c>
      <c r="S72" s="1">
        <f t="shared" si="48"/>
        <v>0</v>
      </c>
      <c r="T72" s="7">
        <f t="shared" si="49"/>
        <v>-0.64772727272727271</v>
      </c>
      <c r="U72" s="7">
        <f t="shared" si="50"/>
        <v>-3.1477272727272729</v>
      </c>
      <c r="V72" s="7">
        <f t="shared" si="51"/>
        <v>-0.64772727272727271</v>
      </c>
      <c r="W72" s="7">
        <f t="shared" si="52"/>
        <v>-3.1477272727272729</v>
      </c>
      <c r="X72" s="1">
        <f t="shared" si="3"/>
        <v>0</v>
      </c>
      <c r="Y72" s="1">
        <f t="shared" si="4"/>
        <v>0</v>
      </c>
      <c r="Z72">
        <f t="shared" si="5"/>
        <v>0</v>
      </c>
      <c r="AA72">
        <f t="shared" si="6"/>
        <v>0</v>
      </c>
      <c r="AB72">
        <f t="shared" si="7"/>
        <v>0</v>
      </c>
      <c r="AC72">
        <f t="shared" si="8"/>
        <v>0</v>
      </c>
      <c r="AD72">
        <f t="shared" si="9"/>
        <v>0</v>
      </c>
      <c r="AE72">
        <f t="shared" si="10"/>
        <v>0</v>
      </c>
      <c r="AF72">
        <f t="shared" si="11"/>
        <v>0</v>
      </c>
      <c r="AG72">
        <f t="shared" si="12"/>
        <v>0</v>
      </c>
      <c r="AH72">
        <f t="shared" si="13"/>
        <v>0</v>
      </c>
      <c r="AI72" s="1">
        <f t="shared" si="14"/>
        <v>0</v>
      </c>
      <c r="AJ72" s="1">
        <f t="shared" si="15"/>
        <v>0</v>
      </c>
      <c r="AK72">
        <f t="shared" si="16"/>
        <v>0</v>
      </c>
      <c r="AL72">
        <f t="shared" si="17"/>
        <v>0</v>
      </c>
      <c r="AM72">
        <f t="shared" si="18"/>
        <v>0</v>
      </c>
      <c r="AN72">
        <f t="shared" si="19"/>
        <v>0</v>
      </c>
      <c r="AO72">
        <f t="shared" si="20"/>
        <v>0</v>
      </c>
      <c r="AP72">
        <f t="shared" si="21"/>
        <v>0</v>
      </c>
      <c r="AQ72">
        <f t="shared" si="22"/>
        <v>0</v>
      </c>
      <c r="AR72">
        <f t="shared" si="23"/>
        <v>0</v>
      </c>
      <c r="AS72">
        <f t="shared" si="24"/>
        <v>0</v>
      </c>
      <c r="AT72" s="1">
        <f t="shared" si="25"/>
        <v>0</v>
      </c>
      <c r="AU72" s="1">
        <f t="shared" si="26"/>
        <v>0</v>
      </c>
      <c r="AV72">
        <f t="shared" si="27"/>
        <v>0</v>
      </c>
      <c r="AW72">
        <f t="shared" si="28"/>
        <v>0</v>
      </c>
      <c r="AX72">
        <f t="shared" si="29"/>
        <v>0</v>
      </c>
      <c r="AY72">
        <f t="shared" si="30"/>
        <v>0</v>
      </c>
      <c r="AZ72">
        <f t="shared" si="31"/>
        <v>0</v>
      </c>
      <c r="BA72">
        <f t="shared" si="32"/>
        <v>0</v>
      </c>
      <c r="BB72">
        <f t="shared" si="33"/>
        <v>0</v>
      </c>
      <c r="BC72">
        <f t="shared" si="34"/>
        <v>0</v>
      </c>
      <c r="BD72">
        <f t="shared" si="35"/>
        <v>0</v>
      </c>
    </row>
    <row r="73" spans="1:56" x14ac:dyDescent="0.25">
      <c r="A73" s="1">
        <v>56</v>
      </c>
      <c r="B73" s="2">
        <v>0</v>
      </c>
      <c r="C73" s="2">
        <v>0</v>
      </c>
      <c r="D73" s="2">
        <v>0</v>
      </c>
      <c r="E73" s="2">
        <v>0</v>
      </c>
      <c r="F73" s="1">
        <f t="shared" si="36"/>
        <v>0</v>
      </c>
      <c r="G73" s="1">
        <f t="shared" si="37"/>
        <v>0</v>
      </c>
      <c r="H73" s="1">
        <f t="shared" si="38"/>
        <v>0</v>
      </c>
      <c r="I73" s="1">
        <f t="shared" si="39"/>
        <v>0</v>
      </c>
      <c r="J73" s="1">
        <f t="shared" si="40"/>
        <v>0</v>
      </c>
      <c r="K73" s="1">
        <f t="shared" si="41"/>
        <v>0</v>
      </c>
      <c r="L73" s="1">
        <f t="shared" si="42"/>
        <v>0</v>
      </c>
      <c r="M73" s="1">
        <f t="shared" si="43"/>
        <v>0</v>
      </c>
      <c r="N73" s="1">
        <f t="shared" si="44"/>
        <v>0</v>
      </c>
      <c r="O73" s="1">
        <f t="shared" si="45"/>
        <v>-0.64772727272727271</v>
      </c>
      <c r="P73" s="1">
        <f t="shared" si="46"/>
        <v>-3.1477272727272729</v>
      </c>
      <c r="Q73" s="1">
        <f t="shared" si="47"/>
        <v>0</v>
      </c>
      <c r="R73" s="1">
        <f t="shared" si="2"/>
        <v>0</v>
      </c>
      <c r="S73" s="1">
        <f t="shared" si="48"/>
        <v>0</v>
      </c>
      <c r="T73" s="7">
        <f t="shared" si="49"/>
        <v>-0.64772727272727271</v>
      </c>
      <c r="U73" s="7">
        <f t="shared" si="50"/>
        <v>-3.1477272727272729</v>
      </c>
      <c r="V73" s="7">
        <f t="shared" si="51"/>
        <v>-0.64772727272727271</v>
      </c>
      <c r="W73" s="7">
        <f t="shared" si="52"/>
        <v>-3.1477272727272729</v>
      </c>
      <c r="X73" s="1">
        <f t="shared" si="3"/>
        <v>0</v>
      </c>
      <c r="Y73" s="1">
        <f t="shared" si="4"/>
        <v>0</v>
      </c>
      <c r="Z73">
        <f t="shared" si="5"/>
        <v>0</v>
      </c>
      <c r="AA73">
        <f t="shared" si="6"/>
        <v>0</v>
      </c>
      <c r="AB73">
        <f t="shared" si="7"/>
        <v>0</v>
      </c>
      <c r="AC73">
        <f t="shared" si="8"/>
        <v>0</v>
      </c>
      <c r="AD73">
        <f t="shared" si="9"/>
        <v>0</v>
      </c>
      <c r="AE73">
        <f t="shared" si="10"/>
        <v>0</v>
      </c>
      <c r="AF73">
        <f t="shared" si="11"/>
        <v>0</v>
      </c>
      <c r="AG73">
        <f t="shared" si="12"/>
        <v>0</v>
      </c>
      <c r="AH73">
        <f t="shared" si="13"/>
        <v>0</v>
      </c>
      <c r="AI73" s="1">
        <f t="shared" si="14"/>
        <v>0</v>
      </c>
      <c r="AJ73" s="1">
        <f t="shared" si="15"/>
        <v>0</v>
      </c>
      <c r="AK73">
        <f t="shared" si="16"/>
        <v>0</v>
      </c>
      <c r="AL73">
        <f t="shared" si="17"/>
        <v>0</v>
      </c>
      <c r="AM73">
        <f t="shared" si="18"/>
        <v>0</v>
      </c>
      <c r="AN73">
        <f t="shared" si="19"/>
        <v>0</v>
      </c>
      <c r="AO73">
        <f t="shared" si="20"/>
        <v>0</v>
      </c>
      <c r="AP73">
        <f t="shared" si="21"/>
        <v>0</v>
      </c>
      <c r="AQ73">
        <f t="shared" si="22"/>
        <v>0</v>
      </c>
      <c r="AR73">
        <f t="shared" si="23"/>
        <v>0</v>
      </c>
      <c r="AS73">
        <f t="shared" si="24"/>
        <v>0</v>
      </c>
      <c r="AT73" s="1">
        <f t="shared" si="25"/>
        <v>0</v>
      </c>
      <c r="AU73" s="1">
        <f t="shared" si="26"/>
        <v>0</v>
      </c>
      <c r="AV73">
        <f t="shared" si="27"/>
        <v>0</v>
      </c>
      <c r="AW73">
        <f t="shared" si="28"/>
        <v>0</v>
      </c>
      <c r="AX73">
        <f t="shared" si="29"/>
        <v>0</v>
      </c>
      <c r="AY73">
        <f t="shared" si="30"/>
        <v>0</v>
      </c>
      <c r="AZ73">
        <f t="shared" si="31"/>
        <v>0</v>
      </c>
      <c r="BA73">
        <f t="shared" si="32"/>
        <v>0</v>
      </c>
      <c r="BB73">
        <f t="shared" si="33"/>
        <v>0</v>
      </c>
      <c r="BC73">
        <f t="shared" si="34"/>
        <v>0</v>
      </c>
      <c r="BD73">
        <f t="shared" si="35"/>
        <v>0</v>
      </c>
    </row>
    <row r="74" spans="1:56" x14ac:dyDescent="0.25">
      <c r="A74" s="1">
        <v>57</v>
      </c>
      <c r="B74" s="2">
        <v>0</v>
      </c>
      <c r="C74" s="2">
        <v>0</v>
      </c>
      <c r="D74" s="2">
        <v>0</v>
      </c>
      <c r="E74" s="2">
        <v>0</v>
      </c>
      <c r="F74" s="1">
        <f t="shared" si="36"/>
        <v>0</v>
      </c>
      <c r="G74" s="1">
        <f t="shared" si="37"/>
        <v>0</v>
      </c>
      <c r="H74" s="1">
        <f t="shared" si="38"/>
        <v>0</v>
      </c>
      <c r="I74" s="1">
        <f t="shared" si="39"/>
        <v>0</v>
      </c>
      <c r="J74" s="1">
        <f t="shared" si="40"/>
        <v>0</v>
      </c>
      <c r="K74" s="1">
        <f t="shared" si="41"/>
        <v>0</v>
      </c>
      <c r="L74" s="1">
        <f t="shared" si="42"/>
        <v>0</v>
      </c>
      <c r="M74" s="1">
        <f t="shared" si="43"/>
        <v>0</v>
      </c>
      <c r="N74" s="1">
        <f t="shared" si="44"/>
        <v>0</v>
      </c>
      <c r="O74" s="1">
        <f t="shared" si="45"/>
        <v>-0.64772727272727271</v>
      </c>
      <c r="P74" s="1">
        <f t="shared" si="46"/>
        <v>-3.1477272727272729</v>
      </c>
      <c r="Q74" s="1">
        <f t="shared" si="47"/>
        <v>0</v>
      </c>
      <c r="R74" s="1">
        <f t="shared" si="2"/>
        <v>0</v>
      </c>
      <c r="S74" s="1">
        <f t="shared" si="48"/>
        <v>0</v>
      </c>
      <c r="T74" s="7">
        <f t="shared" si="49"/>
        <v>-0.64772727272727271</v>
      </c>
      <c r="U74" s="7">
        <f t="shared" si="50"/>
        <v>-3.1477272727272729</v>
      </c>
      <c r="V74" s="7">
        <f t="shared" si="51"/>
        <v>-0.64772727272727271</v>
      </c>
      <c r="W74" s="7">
        <f t="shared" si="52"/>
        <v>-3.1477272727272729</v>
      </c>
      <c r="X74" s="1">
        <f t="shared" si="3"/>
        <v>0</v>
      </c>
      <c r="Y74" s="1">
        <f t="shared" si="4"/>
        <v>0</v>
      </c>
      <c r="Z74">
        <f t="shared" si="5"/>
        <v>0</v>
      </c>
      <c r="AA74">
        <f t="shared" si="6"/>
        <v>0</v>
      </c>
      <c r="AB74">
        <f t="shared" si="7"/>
        <v>0</v>
      </c>
      <c r="AC74">
        <f t="shared" si="8"/>
        <v>0</v>
      </c>
      <c r="AD74">
        <f t="shared" si="9"/>
        <v>0</v>
      </c>
      <c r="AE74">
        <f t="shared" si="10"/>
        <v>0</v>
      </c>
      <c r="AF74">
        <f t="shared" si="11"/>
        <v>0</v>
      </c>
      <c r="AG74">
        <f t="shared" si="12"/>
        <v>0</v>
      </c>
      <c r="AH74">
        <f t="shared" si="13"/>
        <v>0</v>
      </c>
      <c r="AI74" s="1">
        <f t="shared" si="14"/>
        <v>0</v>
      </c>
      <c r="AJ74" s="1">
        <f t="shared" si="15"/>
        <v>0</v>
      </c>
      <c r="AK74">
        <f t="shared" si="16"/>
        <v>0</v>
      </c>
      <c r="AL74">
        <f t="shared" si="17"/>
        <v>0</v>
      </c>
      <c r="AM74">
        <f t="shared" si="18"/>
        <v>0</v>
      </c>
      <c r="AN74">
        <f t="shared" si="19"/>
        <v>0</v>
      </c>
      <c r="AO74">
        <f t="shared" si="20"/>
        <v>0</v>
      </c>
      <c r="AP74">
        <f t="shared" si="21"/>
        <v>0</v>
      </c>
      <c r="AQ74">
        <f t="shared" si="22"/>
        <v>0</v>
      </c>
      <c r="AR74">
        <f t="shared" si="23"/>
        <v>0</v>
      </c>
      <c r="AS74">
        <f t="shared" si="24"/>
        <v>0</v>
      </c>
      <c r="AT74" s="1">
        <f t="shared" si="25"/>
        <v>0</v>
      </c>
      <c r="AU74" s="1">
        <f t="shared" si="26"/>
        <v>0</v>
      </c>
      <c r="AV74">
        <f t="shared" si="27"/>
        <v>0</v>
      </c>
      <c r="AW74">
        <f t="shared" si="28"/>
        <v>0</v>
      </c>
      <c r="AX74">
        <f t="shared" si="29"/>
        <v>0</v>
      </c>
      <c r="AY74">
        <f t="shared" si="30"/>
        <v>0</v>
      </c>
      <c r="AZ74">
        <f t="shared" si="31"/>
        <v>0</v>
      </c>
      <c r="BA74">
        <f t="shared" si="32"/>
        <v>0</v>
      </c>
      <c r="BB74">
        <f t="shared" si="33"/>
        <v>0</v>
      </c>
      <c r="BC74">
        <f t="shared" si="34"/>
        <v>0</v>
      </c>
      <c r="BD74">
        <f t="shared" si="35"/>
        <v>0</v>
      </c>
    </row>
    <row r="75" spans="1:56" x14ac:dyDescent="0.25">
      <c r="A75" s="1">
        <v>58</v>
      </c>
      <c r="B75" s="2">
        <v>0</v>
      </c>
      <c r="C75" s="2">
        <v>0</v>
      </c>
      <c r="D75" s="2">
        <v>0</v>
      </c>
      <c r="E75" s="2">
        <v>0</v>
      </c>
      <c r="F75" s="1">
        <f t="shared" si="36"/>
        <v>0</v>
      </c>
      <c r="G75" s="1">
        <f t="shared" si="37"/>
        <v>0</v>
      </c>
      <c r="H75" s="1">
        <f t="shared" si="38"/>
        <v>0</v>
      </c>
      <c r="I75" s="1">
        <f t="shared" si="39"/>
        <v>0</v>
      </c>
      <c r="J75" s="1">
        <f t="shared" si="40"/>
        <v>0</v>
      </c>
      <c r="K75" s="1">
        <f t="shared" si="41"/>
        <v>0</v>
      </c>
      <c r="L75" s="1">
        <f t="shared" si="42"/>
        <v>0</v>
      </c>
      <c r="M75" s="1">
        <f t="shared" si="43"/>
        <v>0</v>
      </c>
      <c r="N75" s="1">
        <f t="shared" si="44"/>
        <v>0</v>
      </c>
      <c r="O75" s="1">
        <f t="shared" si="45"/>
        <v>-0.64772727272727271</v>
      </c>
      <c r="P75" s="1">
        <f t="shared" si="46"/>
        <v>-3.1477272727272729</v>
      </c>
      <c r="Q75" s="1">
        <f t="shared" si="47"/>
        <v>0</v>
      </c>
      <c r="R75" s="1">
        <f t="shared" si="2"/>
        <v>0</v>
      </c>
      <c r="S75" s="1">
        <f t="shared" si="48"/>
        <v>0</v>
      </c>
      <c r="T75" s="7">
        <f t="shared" si="49"/>
        <v>-0.64772727272727271</v>
      </c>
      <c r="U75" s="7">
        <f t="shared" si="50"/>
        <v>-3.1477272727272729</v>
      </c>
      <c r="V75" s="7">
        <f t="shared" si="51"/>
        <v>-0.64772727272727271</v>
      </c>
      <c r="W75" s="7">
        <f t="shared" si="52"/>
        <v>-3.1477272727272729</v>
      </c>
      <c r="X75" s="1">
        <f t="shared" si="3"/>
        <v>0</v>
      </c>
      <c r="Y75" s="1">
        <f t="shared" si="4"/>
        <v>0</v>
      </c>
      <c r="Z75">
        <f t="shared" si="5"/>
        <v>0</v>
      </c>
      <c r="AA75">
        <f t="shared" si="6"/>
        <v>0</v>
      </c>
      <c r="AB75">
        <f t="shared" si="7"/>
        <v>0</v>
      </c>
      <c r="AC75">
        <f t="shared" si="8"/>
        <v>0</v>
      </c>
      <c r="AD75">
        <f t="shared" si="9"/>
        <v>0</v>
      </c>
      <c r="AE75">
        <f t="shared" si="10"/>
        <v>0</v>
      </c>
      <c r="AF75">
        <f t="shared" si="11"/>
        <v>0</v>
      </c>
      <c r="AG75">
        <f t="shared" si="12"/>
        <v>0</v>
      </c>
      <c r="AH75">
        <f t="shared" si="13"/>
        <v>0</v>
      </c>
      <c r="AI75" s="1">
        <f t="shared" si="14"/>
        <v>0</v>
      </c>
      <c r="AJ75" s="1">
        <f t="shared" si="15"/>
        <v>0</v>
      </c>
      <c r="AK75">
        <f t="shared" si="16"/>
        <v>0</v>
      </c>
      <c r="AL75">
        <f t="shared" si="17"/>
        <v>0</v>
      </c>
      <c r="AM75">
        <f t="shared" si="18"/>
        <v>0</v>
      </c>
      <c r="AN75">
        <f t="shared" si="19"/>
        <v>0</v>
      </c>
      <c r="AO75">
        <f t="shared" si="20"/>
        <v>0</v>
      </c>
      <c r="AP75">
        <f t="shared" si="21"/>
        <v>0</v>
      </c>
      <c r="AQ75">
        <f t="shared" si="22"/>
        <v>0</v>
      </c>
      <c r="AR75">
        <f t="shared" si="23"/>
        <v>0</v>
      </c>
      <c r="AS75">
        <f t="shared" si="24"/>
        <v>0</v>
      </c>
      <c r="AT75" s="1">
        <f t="shared" si="25"/>
        <v>0</v>
      </c>
      <c r="AU75" s="1">
        <f t="shared" si="26"/>
        <v>0</v>
      </c>
      <c r="AV75">
        <f t="shared" si="27"/>
        <v>0</v>
      </c>
      <c r="AW75">
        <f t="shared" si="28"/>
        <v>0</v>
      </c>
      <c r="AX75">
        <f t="shared" si="29"/>
        <v>0</v>
      </c>
      <c r="AY75">
        <f t="shared" si="30"/>
        <v>0</v>
      </c>
      <c r="AZ75">
        <f t="shared" si="31"/>
        <v>0</v>
      </c>
      <c r="BA75">
        <f t="shared" si="32"/>
        <v>0</v>
      </c>
      <c r="BB75">
        <f t="shared" si="33"/>
        <v>0</v>
      </c>
      <c r="BC75">
        <f t="shared" si="34"/>
        <v>0</v>
      </c>
      <c r="BD75">
        <f t="shared" si="35"/>
        <v>0</v>
      </c>
    </row>
    <row r="76" spans="1:56" x14ac:dyDescent="0.25">
      <c r="A76" s="1">
        <v>59</v>
      </c>
      <c r="B76" s="2">
        <v>0</v>
      </c>
      <c r="C76" s="2">
        <v>0</v>
      </c>
      <c r="D76" s="2">
        <v>0</v>
      </c>
      <c r="E76" s="2">
        <v>0</v>
      </c>
      <c r="F76" s="1">
        <f t="shared" si="36"/>
        <v>0</v>
      </c>
      <c r="G76" s="1">
        <f t="shared" si="37"/>
        <v>0</v>
      </c>
      <c r="H76" s="1">
        <f t="shared" si="38"/>
        <v>0</v>
      </c>
      <c r="I76" s="1">
        <f t="shared" si="39"/>
        <v>0</v>
      </c>
      <c r="J76" s="1">
        <f t="shared" si="40"/>
        <v>0</v>
      </c>
      <c r="K76" s="1">
        <f t="shared" si="41"/>
        <v>0</v>
      </c>
      <c r="L76" s="1">
        <f t="shared" si="42"/>
        <v>0</v>
      </c>
      <c r="M76" s="1">
        <f t="shared" si="43"/>
        <v>0</v>
      </c>
      <c r="N76" s="1">
        <f t="shared" si="44"/>
        <v>0</v>
      </c>
      <c r="O76" s="1">
        <f t="shared" si="45"/>
        <v>-0.64772727272727271</v>
      </c>
      <c r="P76" s="1">
        <f t="shared" si="46"/>
        <v>-3.1477272727272729</v>
      </c>
      <c r="Q76" s="1">
        <f t="shared" si="47"/>
        <v>0</v>
      </c>
      <c r="R76" s="1">
        <f t="shared" si="2"/>
        <v>0</v>
      </c>
      <c r="S76" s="1">
        <f t="shared" si="48"/>
        <v>0</v>
      </c>
      <c r="T76" s="7">
        <f t="shared" si="49"/>
        <v>-0.64772727272727271</v>
      </c>
      <c r="U76" s="7">
        <f t="shared" si="50"/>
        <v>-3.1477272727272729</v>
      </c>
      <c r="V76" s="7">
        <f t="shared" si="51"/>
        <v>-0.64772727272727271</v>
      </c>
      <c r="W76" s="7">
        <f t="shared" si="52"/>
        <v>-3.1477272727272729</v>
      </c>
      <c r="X76" s="1">
        <f t="shared" si="3"/>
        <v>0</v>
      </c>
      <c r="Y76" s="1">
        <f t="shared" si="4"/>
        <v>0</v>
      </c>
      <c r="Z76">
        <f t="shared" si="5"/>
        <v>0</v>
      </c>
      <c r="AA76">
        <f t="shared" si="6"/>
        <v>0</v>
      </c>
      <c r="AB76">
        <f t="shared" si="7"/>
        <v>0</v>
      </c>
      <c r="AC76">
        <f t="shared" si="8"/>
        <v>0</v>
      </c>
      <c r="AD76">
        <f t="shared" si="9"/>
        <v>0</v>
      </c>
      <c r="AE76">
        <f t="shared" si="10"/>
        <v>0</v>
      </c>
      <c r="AF76">
        <f t="shared" si="11"/>
        <v>0</v>
      </c>
      <c r="AG76">
        <f t="shared" si="12"/>
        <v>0</v>
      </c>
      <c r="AH76">
        <f t="shared" si="13"/>
        <v>0</v>
      </c>
      <c r="AI76" s="1">
        <f t="shared" si="14"/>
        <v>0</v>
      </c>
      <c r="AJ76" s="1">
        <f t="shared" si="15"/>
        <v>0</v>
      </c>
      <c r="AK76">
        <f t="shared" si="16"/>
        <v>0</v>
      </c>
      <c r="AL76">
        <f t="shared" si="17"/>
        <v>0</v>
      </c>
      <c r="AM76">
        <f t="shared" si="18"/>
        <v>0</v>
      </c>
      <c r="AN76">
        <f t="shared" si="19"/>
        <v>0</v>
      </c>
      <c r="AO76">
        <f t="shared" si="20"/>
        <v>0</v>
      </c>
      <c r="AP76">
        <f t="shared" si="21"/>
        <v>0</v>
      </c>
      <c r="AQ76">
        <f t="shared" si="22"/>
        <v>0</v>
      </c>
      <c r="AR76">
        <f t="shared" si="23"/>
        <v>0</v>
      </c>
      <c r="AS76">
        <f t="shared" si="24"/>
        <v>0</v>
      </c>
      <c r="AT76" s="1">
        <f t="shared" si="25"/>
        <v>0</v>
      </c>
      <c r="AU76" s="1">
        <f t="shared" si="26"/>
        <v>0</v>
      </c>
      <c r="AV76">
        <f t="shared" si="27"/>
        <v>0</v>
      </c>
      <c r="AW76">
        <f t="shared" si="28"/>
        <v>0</v>
      </c>
      <c r="AX76">
        <f t="shared" si="29"/>
        <v>0</v>
      </c>
      <c r="AY76">
        <f t="shared" si="30"/>
        <v>0</v>
      </c>
      <c r="AZ76">
        <f t="shared" si="31"/>
        <v>0</v>
      </c>
      <c r="BA76">
        <f t="shared" si="32"/>
        <v>0</v>
      </c>
      <c r="BB76">
        <f t="shared" si="33"/>
        <v>0</v>
      </c>
      <c r="BC76">
        <f t="shared" si="34"/>
        <v>0</v>
      </c>
      <c r="BD76">
        <f t="shared" si="35"/>
        <v>0</v>
      </c>
    </row>
    <row r="77" spans="1:56" x14ac:dyDescent="0.25">
      <c r="A77" s="1">
        <v>60</v>
      </c>
      <c r="B77" s="2">
        <v>0</v>
      </c>
      <c r="C77" s="2">
        <v>0</v>
      </c>
      <c r="D77" s="2">
        <v>0</v>
      </c>
      <c r="E77" s="2">
        <v>0</v>
      </c>
      <c r="F77" s="1">
        <f t="shared" si="36"/>
        <v>0</v>
      </c>
      <c r="G77" s="1">
        <f t="shared" si="37"/>
        <v>0</v>
      </c>
      <c r="H77" s="1">
        <f t="shared" si="38"/>
        <v>0</v>
      </c>
      <c r="I77" s="1">
        <f t="shared" si="39"/>
        <v>0</v>
      </c>
      <c r="J77" s="1">
        <f t="shared" si="40"/>
        <v>0</v>
      </c>
      <c r="K77" s="1">
        <f t="shared" si="41"/>
        <v>0</v>
      </c>
      <c r="L77" s="1">
        <f t="shared" si="42"/>
        <v>0</v>
      </c>
      <c r="M77" s="1">
        <f t="shared" si="43"/>
        <v>0</v>
      </c>
      <c r="N77" s="1">
        <f t="shared" si="44"/>
        <v>0</v>
      </c>
      <c r="O77" s="1">
        <f t="shared" si="45"/>
        <v>-0.64772727272727271</v>
      </c>
      <c r="P77" s="1">
        <f t="shared" si="46"/>
        <v>-3.1477272727272729</v>
      </c>
      <c r="Q77" s="1">
        <f t="shared" si="47"/>
        <v>0</v>
      </c>
      <c r="R77" s="1">
        <f t="shared" si="2"/>
        <v>0</v>
      </c>
      <c r="S77" s="1">
        <f t="shared" si="48"/>
        <v>0</v>
      </c>
      <c r="T77" s="7">
        <f t="shared" si="49"/>
        <v>-0.64772727272727271</v>
      </c>
      <c r="U77" s="7">
        <f t="shared" si="50"/>
        <v>-3.1477272727272729</v>
      </c>
      <c r="V77" s="7">
        <f t="shared" si="51"/>
        <v>-0.64772727272727271</v>
      </c>
      <c r="W77" s="7">
        <f t="shared" si="52"/>
        <v>-3.1477272727272729</v>
      </c>
      <c r="X77" s="1">
        <f t="shared" si="3"/>
        <v>0</v>
      </c>
      <c r="Y77" s="1">
        <f t="shared" si="4"/>
        <v>0</v>
      </c>
      <c r="Z77">
        <f t="shared" si="5"/>
        <v>0</v>
      </c>
      <c r="AA77">
        <f t="shared" si="6"/>
        <v>0</v>
      </c>
      <c r="AB77">
        <f t="shared" si="7"/>
        <v>0</v>
      </c>
      <c r="AC77">
        <f t="shared" si="8"/>
        <v>0</v>
      </c>
      <c r="AD77">
        <f t="shared" si="9"/>
        <v>0</v>
      </c>
      <c r="AE77">
        <f t="shared" si="10"/>
        <v>0</v>
      </c>
      <c r="AF77">
        <f t="shared" si="11"/>
        <v>0</v>
      </c>
      <c r="AG77">
        <f t="shared" si="12"/>
        <v>0</v>
      </c>
      <c r="AH77">
        <f t="shared" si="13"/>
        <v>0</v>
      </c>
      <c r="AI77" s="1">
        <f t="shared" si="14"/>
        <v>0</v>
      </c>
      <c r="AJ77" s="1">
        <f t="shared" si="15"/>
        <v>0</v>
      </c>
      <c r="AK77">
        <f t="shared" si="16"/>
        <v>0</v>
      </c>
      <c r="AL77">
        <f t="shared" si="17"/>
        <v>0</v>
      </c>
      <c r="AM77">
        <f t="shared" si="18"/>
        <v>0</v>
      </c>
      <c r="AN77">
        <f t="shared" si="19"/>
        <v>0</v>
      </c>
      <c r="AO77">
        <f t="shared" si="20"/>
        <v>0</v>
      </c>
      <c r="AP77">
        <f t="shared" si="21"/>
        <v>0</v>
      </c>
      <c r="AQ77">
        <f t="shared" si="22"/>
        <v>0</v>
      </c>
      <c r="AR77">
        <f t="shared" si="23"/>
        <v>0</v>
      </c>
      <c r="AS77">
        <f t="shared" si="24"/>
        <v>0</v>
      </c>
      <c r="AT77" s="1">
        <f t="shared" si="25"/>
        <v>0</v>
      </c>
      <c r="AU77" s="1">
        <f t="shared" si="26"/>
        <v>0</v>
      </c>
      <c r="AV77">
        <f t="shared" si="27"/>
        <v>0</v>
      </c>
      <c r="AW77">
        <f t="shared" si="28"/>
        <v>0</v>
      </c>
      <c r="AX77">
        <f t="shared" si="29"/>
        <v>0</v>
      </c>
      <c r="AY77">
        <f t="shared" si="30"/>
        <v>0</v>
      </c>
      <c r="AZ77">
        <f t="shared" si="31"/>
        <v>0</v>
      </c>
      <c r="BA77">
        <f t="shared" si="32"/>
        <v>0</v>
      </c>
      <c r="BB77">
        <f t="shared" si="33"/>
        <v>0</v>
      </c>
      <c r="BC77">
        <f t="shared" si="34"/>
        <v>0</v>
      </c>
      <c r="BD77">
        <f t="shared" si="35"/>
        <v>0</v>
      </c>
    </row>
    <row r="78" spans="1:56" x14ac:dyDescent="0.25">
      <c r="A78" s="1">
        <v>61</v>
      </c>
      <c r="B78" s="2">
        <v>0</v>
      </c>
      <c r="C78" s="2">
        <v>0</v>
      </c>
      <c r="D78" s="2">
        <v>0</v>
      </c>
      <c r="E78" s="2">
        <v>0</v>
      </c>
      <c r="F78" s="1">
        <f t="shared" si="36"/>
        <v>0</v>
      </c>
      <c r="G78" s="1">
        <f t="shared" si="37"/>
        <v>0</v>
      </c>
      <c r="H78" s="1">
        <f t="shared" si="38"/>
        <v>0</v>
      </c>
      <c r="I78" s="1">
        <f t="shared" si="39"/>
        <v>0</v>
      </c>
      <c r="J78" s="1">
        <f t="shared" si="40"/>
        <v>0</v>
      </c>
      <c r="K78" s="1">
        <f t="shared" si="41"/>
        <v>0</v>
      </c>
      <c r="L78" s="1">
        <f t="shared" si="42"/>
        <v>0</v>
      </c>
      <c r="M78" s="1">
        <f t="shared" si="43"/>
        <v>0</v>
      </c>
      <c r="N78" s="1">
        <f t="shared" si="44"/>
        <v>0</v>
      </c>
      <c r="O78" s="1">
        <f t="shared" si="45"/>
        <v>-0.64772727272727271</v>
      </c>
      <c r="P78" s="1">
        <f t="shared" si="46"/>
        <v>-3.1477272727272729</v>
      </c>
      <c r="Q78" s="1">
        <f t="shared" si="47"/>
        <v>0</v>
      </c>
      <c r="R78" s="1">
        <f t="shared" si="2"/>
        <v>0</v>
      </c>
      <c r="S78" s="1">
        <f t="shared" si="48"/>
        <v>0</v>
      </c>
      <c r="T78" s="7">
        <f t="shared" si="49"/>
        <v>-0.64772727272727271</v>
      </c>
      <c r="U78" s="7">
        <f t="shared" si="50"/>
        <v>-3.1477272727272729</v>
      </c>
      <c r="V78" s="7">
        <f t="shared" si="51"/>
        <v>-0.64772727272727271</v>
      </c>
      <c r="W78" s="7">
        <f t="shared" si="52"/>
        <v>-3.1477272727272729</v>
      </c>
      <c r="X78" s="1">
        <f t="shared" si="3"/>
        <v>0</v>
      </c>
      <c r="Y78" s="1">
        <f t="shared" si="4"/>
        <v>0</v>
      </c>
      <c r="Z78">
        <f t="shared" si="5"/>
        <v>0</v>
      </c>
      <c r="AA78">
        <f t="shared" si="6"/>
        <v>0</v>
      </c>
      <c r="AB78">
        <f t="shared" si="7"/>
        <v>0</v>
      </c>
      <c r="AC78">
        <f t="shared" si="8"/>
        <v>0</v>
      </c>
      <c r="AD78">
        <f t="shared" si="9"/>
        <v>0</v>
      </c>
      <c r="AE78">
        <f t="shared" si="10"/>
        <v>0</v>
      </c>
      <c r="AF78">
        <f t="shared" si="11"/>
        <v>0</v>
      </c>
      <c r="AG78">
        <f t="shared" si="12"/>
        <v>0</v>
      </c>
      <c r="AH78">
        <f t="shared" si="13"/>
        <v>0</v>
      </c>
      <c r="AI78" s="1">
        <f t="shared" si="14"/>
        <v>0</v>
      </c>
      <c r="AJ78" s="1">
        <f t="shared" si="15"/>
        <v>0</v>
      </c>
      <c r="AK78">
        <f t="shared" si="16"/>
        <v>0</v>
      </c>
      <c r="AL78">
        <f t="shared" si="17"/>
        <v>0</v>
      </c>
      <c r="AM78">
        <f t="shared" si="18"/>
        <v>0</v>
      </c>
      <c r="AN78">
        <f t="shared" si="19"/>
        <v>0</v>
      </c>
      <c r="AO78">
        <f t="shared" si="20"/>
        <v>0</v>
      </c>
      <c r="AP78">
        <f t="shared" si="21"/>
        <v>0</v>
      </c>
      <c r="AQ78">
        <f t="shared" si="22"/>
        <v>0</v>
      </c>
      <c r="AR78">
        <f t="shared" si="23"/>
        <v>0</v>
      </c>
      <c r="AS78">
        <f t="shared" si="24"/>
        <v>0</v>
      </c>
      <c r="AT78" s="1">
        <f t="shared" si="25"/>
        <v>0</v>
      </c>
      <c r="AU78" s="1">
        <f t="shared" si="26"/>
        <v>0</v>
      </c>
      <c r="AV78">
        <f t="shared" si="27"/>
        <v>0</v>
      </c>
      <c r="AW78">
        <f t="shared" si="28"/>
        <v>0</v>
      </c>
      <c r="AX78">
        <f t="shared" si="29"/>
        <v>0</v>
      </c>
      <c r="AY78">
        <f t="shared" si="30"/>
        <v>0</v>
      </c>
      <c r="AZ78">
        <f t="shared" si="31"/>
        <v>0</v>
      </c>
      <c r="BA78">
        <f t="shared" si="32"/>
        <v>0</v>
      </c>
      <c r="BB78">
        <f t="shared" si="33"/>
        <v>0</v>
      </c>
      <c r="BC78">
        <f t="shared" si="34"/>
        <v>0</v>
      </c>
      <c r="BD78">
        <f t="shared" si="35"/>
        <v>0</v>
      </c>
    </row>
    <row r="79" spans="1:56" x14ac:dyDescent="0.25">
      <c r="A79" s="1">
        <v>62</v>
      </c>
      <c r="B79" s="2">
        <v>0</v>
      </c>
      <c r="C79" s="2">
        <v>0</v>
      </c>
      <c r="D79" s="2">
        <v>0</v>
      </c>
      <c r="E79" s="2">
        <v>0</v>
      </c>
      <c r="F79" s="1">
        <f t="shared" si="36"/>
        <v>0</v>
      </c>
      <c r="G79" s="1">
        <f t="shared" si="37"/>
        <v>0</v>
      </c>
      <c r="H79" s="1">
        <f t="shared" si="38"/>
        <v>0</v>
      </c>
      <c r="I79" s="1">
        <f t="shared" si="39"/>
        <v>0</v>
      </c>
      <c r="J79" s="1">
        <f t="shared" si="40"/>
        <v>0</v>
      </c>
      <c r="K79" s="1">
        <f t="shared" si="41"/>
        <v>0</v>
      </c>
      <c r="L79" s="1">
        <f t="shared" si="42"/>
        <v>0</v>
      </c>
      <c r="M79" s="1">
        <f t="shared" si="43"/>
        <v>0</v>
      </c>
      <c r="N79" s="1">
        <f t="shared" si="44"/>
        <v>0</v>
      </c>
      <c r="O79" s="1">
        <f t="shared" si="45"/>
        <v>-0.64772727272727271</v>
      </c>
      <c r="P79" s="1">
        <f t="shared" si="46"/>
        <v>-3.1477272727272729</v>
      </c>
      <c r="Q79" s="1">
        <f t="shared" si="47"/>
        <v>0</v>
      </c>
      <c r="R79" s="1">
        <f t="shared" si="2"/>
        <v>0</v>
      </c>
      <c r="S79" s="1">
        <f t="shared" si="48"/>
        <v>0</v>
      </c>
      <c r="T79" s="7">
        <f t="shared" si="49"/>
        <v>-0.64772727272727271</v>
      </c>
      <c r="U79" s="7">
        <f t="shared" si="50"/>
        <v>-3.1477272727272729</v>
      </c>
      <c r="V79" s="7">
        <f t="shared" si="51"/>
        <v>-0.64772727272727271</v>
      </c>
      <c r="W79" s="7">
        <f t="shared" si="52"/>
        <v>-3.1477272727272729</v>
      </c>
      <c r="X79" s="1">
        <f t="shared" si="3"/>
        <v>0</v>
      </c>
      <c r="Y79" s="1">
        <f t="shared" si="4"/>
        <v>0</v>
      </c>
      <c r="Z79">
        <f t="shared" si="5"/>
        <v>0</v>
      </c>
      <c r="AA79">
        <f t="shared" si="6"/>
        <v>0</v>
      </c>
      <c r="AB79">
        <f t="shared" si="7"/>
        <v>0</v>
      </c>
      <c r="AC79">
        <f t="shared" si="8"/>
        <v>0</v>
      </c>
      <c r="AD79">
        <f t="shared" si="9"/>
        <v>0</v>
      </c>
      <c r="AE79">
        <f t="shared" si="10"/>
        <v>0</v>
      </c>
      <c r="AF79">
        <f t="shared" si="11"/>
        <v>0</v>
      </c>
      <c r="AG79">
        <f t="shared" si="12"/>
        <v>0</v>
      </c>
      <c r="AH79">
        <f t="shared" si="13"/>
        <v>0</v>
      </c>
      <c r="AI79" s="1">
        <f t="shared" si="14"/>
        <v>0</v>
      </c>
      <c r="AJ79" s="1">
        <f t="shared" si="15"/>
        <v>0</v>
      </c>
      <c r="AK79">
        <f t="shared" si="16"/>
        <v>0</v>
      </c>
      <c r="AL79">
        <f t="shared" si="17"/>
        <v>0</v>
      </c>
      <c r="AM79">
        <f t="shared" si="18"/>
        <v>0</v>
      </c>
      <c r="AN79">
        <f t="shared" si="19"/>
        <v>0</v>
      </c>
      <c r="AO79">
        <f t="shared" si="20"/>
        <v>0</v>
      </c>
      <c r="AP79">
        <f t="shared" si="21"/>
        <v>0</v>
      </c>
      <c r="AQ79">
        <f t="shared" si="22"/>
        <v>0</v>
      </c>
      <c r="AR79">
        <f t="shared" si="23"/>
        <v>0</v>
      </c>
      <c r="AS79">
        <f t="shared" si="24"/>
        <v>0</v>
      </c>
      <c r="AT79" s="1">
        <f t="shared" si="25"/>
        <v>0</v>
      </c>
      <c r="AU79" s="1">
        <f t="shared" si="26"/>
        <v>0</v>
      </c>
      <c r="AV79">
        <f t="shared" si="27"/>
        <v>0</v>
      </c>
      <c r="AW79">
        <f t="shared" si="28"/>
        <v>0</v>
      </c>
      <c r="AX79">
        <f t="shared" si="29"/>
        <v>0</v>
      </c>
      <c r="AY79">
        <f t="shared" si="30"/>
        <v>0</v>
      </c>
      <c r="AZ79">
        <f t="shared" si="31"/>
        <v>0</v>
      </c>
      <c r="BA79">
        <f t="shared" si="32"/>
        <v>0</v>
      </c>
      <c r="BB79">
        <f t="shared" si="33"/>
        <v>0</v>
      </c>
      <c r="BC79">
        <f t="shared" si="34"/>
        <v>0</v>
      </c>
      <c r="BD79">
        <f t="shared" si="35"/>
        <v>0</v>
      </c>
    </row>
    <row r="80" spans="1:56" x14ac:dyDescent="0.25">
      <c r="A80" s="1">
        <v>63</v>
      </c>
      <c r="B80" s="2">
        <v>0</v>
      </c>
      <c r="C80" s="2">
        <v>0</v>
      </c>
      <c r="D80" s="2">
        <v>0</v>
      </c>
      <c r="E80" s="2">
        <v>0</v>
      </c>
      <c r="F80" s="1">
        <f t="shared" si="36"/>
        <v>0</v>
      </c>
      <c r="G80" s="1">
        <f t="shared" si="37"/>
        <v>0</v>
      </c>
      <c r="H80" s="1">
        <f t="shared" si="38"/>
        <v>0</v>
      </c>
      <c r="I80" s="1">
        <f t="shared" si="39"/>
        <v>0</v>
      </c>
      <c r="J80" s="1">
        <f t="shared" si="40"/>
        <v>0</v>
      </c>
      <c r="K80" s="1">
        <f t="shared" si="41"/>
        <v>0</v>
      </c>
      <c r="L80" s="1">
        <f t="shared" si="42"/>
        <v>0</v>
      </c>
      <c r="M80" s="1">
        <f t="shared" si="43"/>
        <v>0</v>
      </c>
      <c r="N80" s="1">
        <f t="shared" si="44"/>
        <v>0</v>
      </c>
      <c r="O80" s="1">
        <f t="shared" si="45"/>
        <v>-0.64772727272727271</v>
      </c>
      <c r="P80" s="1">
        <f t="shared" si="46"/>
        <v>-3.1477272727272729</v>
      </c>
      <c r="Q80" s="1">
        <f t="shared" si="47"/>
        <v>0</v>
      </c>
      <c r="R80" s="1">
        <f t="shared" si="2"/>
        <v>0</v>
      </c>
      <c r="S80" s="1">
        <f t="shared" si="48"/>
        <v>0</v>
      </c>
      <c r="T80" s="7">
        <f t="shared" si="49"/>
        <v>-0.64772727272727271</v>
      </c>
      <c r="U80" s="7">
        <f t="shared" si="50"/>
        <v>-3.1477272727272729</v>
      </c>
      <c r="V80" s="7">
        <f t="shared" si="51"/>
        <v>-0.64772727272727271</v>
      </c>
      <c r="W80" s="7">
        <f t="shared" si="52"/>
        <v>-3.1477272727272729</v>
      </c>
      <c r="X80" s="1">
        <f t="shared" si="3"/>
        <v>0</v>
      </c>
      <c r="Y80" s="1">
        <f t="shared" si="4"/>
        <v>0</v>
      </c>
      <c r="Z80">
        <f t="shared" si="5"/>
        <v>0</v>
      </c>
      <c r="AA80">
        <f t="shared" si="6"/>
        <v>0</v>
      </c>
      <c r="AB80">
        <f t="shared" si="7"/>
        <v>0</v>
      </c>
      <c r="AC80">
        <f t="shared" si="8"/>
        <v>0</v>
      </c>
      <c r="AD80">
        <f t="shared" si="9"/>
        <v>0</v>
      </c>
      <c r="AE80">
        <f t="shared" si="10"/>
        <v>0</v>
      </c>
      <c r="AF80">
        <f t="shared" si="11"/>
        <v>0</v>
      </c>
      <c r="AG80">
        <f t="shared" si="12"/>
        <v>0</v>
      </c>
      <c r="AH80">
        <f t="shared" si="13"/>
        <v>0</v>
      </c>
      <c r="AI80" s="1">
        <f t="shared" si="14"/>
        <v>0</v>
      </c>
      <c r="AJ80" s="1">
        <f t="shared" si="15"/>
        <v>0</v>
      </c>
      <c r="AK80">
        <f t="shared" si="16"/>
        <v>0</v>
      </c>
      <c r="AL80">
        <f t="shared" si="17"/>
        <v>0</v>
      </c>
      <c r="AM80">
        <f t="shared" si="18"/>
        <v>0</v>
      </c>
      <c r="AN80">
        <f t="shared" si="19"/>
        <v>0</v>
      </c>
      <c r="AO80">
        <f t="shared" si="20"/>
        <v>0</v>
      </c>
      <c r="AP80">
        <f t="shared" si="21"/>
        <v>0</v>
      </c>
      <c r="AQ80">
        <f t="shared" si="22"/>
        <v>0</v>
      </c>
      <c r="AR80">
        <f t="shared" si="23"/>
        <v>0</v>
      </c>
      <c r="AS80">
        <f t="shared" si="24"/>
        <v>0</v>
      </c>
      <c r="AT80" s="1">
        <f t="shared" si="25"/>
        <v>0</v>
      </c>
      <c r="AU80" s="1">
        <f t="shared" si="26"/>
        <v>0</v>
      </c>
      <c r="AV80">
        <f t="shared" si="27"/>
        <v>0</v>
      </c>
      <c r="AW80">
        <f t="shared" si="28"/>
        <v>0</v>
      </c>
      <c r="AX80">
        <f t="shared" si="29"/>
        <v>0</v>
      </c>
      <c r="AY80">
        <f t="shared" si="30"/>
        <v>0</v>
      </c>
      <c r="AZ80">
        <f t="shared" si="31"/>
        <v>0</v>
      </c>
      <c r="BA80">
        <f t="shared" si="32"/>
        <v>0</v>
      </c>
      <c r="BB80">
        <f t="shared" si="33"/>
        <v>0</v>
      </c>
      <c r="BC80">
        <f t="shared" si="34"/>
        <v>0</v>
      </c>
      <c r="BD80">
        <f t="shared" si="35"/>
        <v>0</v>
      </c>
    </row>
    <row r="81" spans="1:56" x14ac:dyDescent="0.25">
      <c r="A81" s="1">
        <v>64</v>
      </c>
      <c r="B81" s="2">
        <v>0</v>
      </c>
      <c r="C81" s="2">
        <v>0</v>
      </c>
      <c r="D81" s="2">
        <v>0</v>
      </c>
      <c r="E81" s="2">
        <v>0</v>
      </c>
      <c r="F81" s="1">
        <f t="shared" si="36"/>
        <v>0</v>
      </c>
      <c r="G81" s="1">
        <f t="shared" si="37"/>
        <v>0</v>
      </c>
      <c r="H81" s="1">
        <f t="shared" si="38"/>
        <v>0</v>
      </c>
      <c r="I81" s="1">
        <f t="shared" si="39"/>
        <v>0</v>
      </c>
      <c r="J81" s="1">
        <f t="shared" si="40"/>
        <v>0</v>
      </c>
      <c r="K81" s="1">
        <f t="shared" si="41"/>
        <v>0</v>
      </c>
      <c r="L81" s="1">
        <f t="shared" si="42"/>
        <v>0</v>
      </c>
      <c r="M81" s="1">
        <f t="shared" si="43"/>
        <v>0</v>
      </c>
      <c r="N81" s="1">
        <f t="shared" si="44"/>
        <v>0</v>
      </c>
      <c r="O81" s="1">
        <f t="shared" si="45"/>
        <v>-0.64772727272727271</v>
      </c>
      <c r="P81" s="1">
        <f t="shared" si="46"/>
        <v>-3.1477272727272729</v>
      </c>
      <c r="Q81" s="1">
        <f t="shared" si="47"/>
        <v>0</v>
      </c>
      <c r="R81" s="1">
        <f t="shared" si="2"/>
        <v>0</v>
      </c>
      <c r="S81" s="1">
        <f t="shared" si="48"/>
        <v>0</v>
      </c>
      <c r="T81" s="7">
        <f t="shared" si="49"/>
        <v>-0.64772727272727271</v>
      </c>
      <c r="U81" s="7">
        <f t="shared" si="50"/>
        <v>-3.1477272727272729</v>
      </c>
      <c r="V81" s="7">
        <f t="shared" si="51"/>
        <v>-0.64772727272727271</v>
      </c>
      <c r="W81" s="7">
        <f t="shared" si="52"/>
        <v>-3.1477272727272729</v>
      </c>
      <c r="X81" s="1">
        <f t="shared" si="3"/>
        <v>0</v>
      </c>
      <c r="Y81" s="1">
        <f t="shared" si="4"/>
        <v>0</v>
      </c>
      <c r="Z81">
        <f t="shared" si="5"/>
        <v>0</v>
      </c>
      <c r="AA81">
        <f t="shared" si="6"/>
        <v>0</v>
      </c>
      <c r="AB81">
        <f t="shared" si="7"/>
        <v>0</v>
      </c>
      <c r="AC81">
        <f t="shared" si="8"/>
        <v>0</v>
      </c>
      <c r="AD81">
        <f t="shared" si="9"/>
        <v>0</v>
      </c>
      <c r="AE81">
        <f t="shared" si="10"/>
        <v>0</v>
      </c>
      <c r="AF81">
        <f t="shared" si="11"/>
        <v>0</v>
      </c>
      <c r="AG81">
        <f t="shared" si="12"/>
        <v>0</v>
      </c>
      <c r="AH81">
        <f t="shared" si="13"/>
        <v>0</v>
      </c>
      <c r="AI81" s="1">
        <f t="shared" si="14"/>
        <v>0</v>
      </c>
      <c r="AJ81" s="1">
        <f t="shared" si="15"/>
        <v>0</v>
      </c>
      <c r="AK81">
        <f t="shared" si="16"/>
        <v>0</v>
      </c>
      <c r="AL81">
        <f t="shared" si="17"/>
        <v>0</v>
      </c>
      <c r="AM81">
        <f t="shared" si="18"/>
        <v>0</v>
      </c>
      <c r="AN81">
        <f t="shared" si="19"/>
        <v>0</v>
      </c>
      <c r="AO81">
        <f t="shared" si="20"/>
        <v>0</v>
      </c>
      <c r="AP81">
        <f t="shared" si="21"/>
        <v>0</v>
      </c>
      <c r="AQ81">
        <f t="shared" si="22"/>
        <v>0</v>
      </c>
      <c r="AR81">
        <f t="shared" si="23"/>
        <v>0</v>
      </c>
      <c r="AS81">
        <f t="shared" si="24"/>
        <v>0</v>
      </c>
      <c r="AT81" s="1">
        <f t="shared" si="25"/>
        <v>0</v>
      </c>
      <c r="AU81" s="1">
        <f t="shared" si="26"/>
        <v>0</v>
      </c>
      <c r="AV81">
        <f t="shared" si="27"/>
        <v>0</v>
      </c>
      <c r="AW81">
        <f t="shared" si="28"/>
        <v>0</v>
      </c>
      <c r="AX81">
        <f t="shared" si="29"/>
        <v>0</v>
      </c>
      <c r="AY81">
        <f t="shared" si="30"/>
        <v>0</v>
      </c>
      <c r="AZ81">
        <f t="shared" si="31"/>
        <v>0</v>
      </c>
      <c r="BA81">
        <f t="shared" si="32"/>
        <v>0</v>
      </c>
      <c r="BB81">
        <f t="shared" si="33"/>
        <v>0</v>
      </c>
      <c r="BC81">
        <f t="shared" si="34"/>
        <v>0</v>
      </c>
      <c r="BD81">
        <f t="shared" si="35"/>
        <v>0</v>
      </c>
    </row>
    <row r="82" spans="1:56" x14ac:dyDescent="0.25">
      <c r="A82" s="1">
        <v>65</v>
      </c>
      <c r="B82" s="2">
        <v>0</v>
      </c>
      <c r="C82" s="2">
        <v>0</v>
      </c>
      <c r="D82" s="2">
        <v>0</v>
      </c>
      <c r="E82" s="2">
        <v>0</v>
      </c>
      <c r="F82" s="1">
        <f t="shared" si="36"/>
        <v>0</v>
      </c>
      <c r="G82" s="1">
        <f t="shared" si="37"/>
        <v>0</v>
      </c>
      <c r="H82" s="1">
        <f t="shared" si="38"/>
        <v>0</v>
      </c>
      <c r="I82" s="1">
        <f t="shared" si="39"/>
        <v>0</v>
      </c>
      <c r="J82" s="1">
        <f t="shared" si="40"/>
        <v>0</v>
      </c>
      <c r="K82" s="1">
        <f t="shared" si="41"/>
        <v>0</v>
      </c>
      <c r="L82" s="1">
        <f t="shared" si="42"/>
        <v>0</v>
      </c>
      <c r="M82" s="1">
        <f t="shared" si="43"/>
        <v>0</v>
      </c>
      <c r="N82" s="1">
        <f t="shared" si="44"/>
        <v>0</v>
      </c>
      <c r="O82" s="1">
        <f t="shared" si="45"/>
        <v>-0.64772727272727271</v>
      </c>
      <c r="P82" s="1">
        <f t="shared" si="46"/>
        <v>-3.1477272727272729</v>
      </c>
      <c r="Q82" s="1">
        <f t="shared" si="47"/>
        <v>0</v>
      </c>
      <c r="R82" s="1">
        <f t="shared" si="2"/>
        <v>0</v>
      </c>
      <c r="S82" s="1">
        <f t="shared" si="48"/>
        <v>0</v>
      </c>
      <c r="T82" s="7">
        <f t="shared" si="49"/>
        <v>-0.64772727272727271</v>
      </c>
      <c r="U82" s="7">
        <f t="shared" si="50"/>
        <v>-3.1477272727272729</v>
      </c>
      <c r="V82" s="7">
        <f t="shared" si="51"/>
        <v>-0.64772727272727271</v>
      </c>
      <c r="W82" s="7">
        <f t="shared" si="52"/>
        <v>-3.1477272727272729</v>
      </c>
      <c r="X82" s="1">
        <f t="shared" si="3"/>
        <v>0</v>
      </c>
      <c r="Y82" s="1">
        <f t="shared" si="4"/>
        <v>0</v>
      </c>
      <c r="Z82">
        <f t="shared" si="5"/>
        <v>0</v>
      </c>
      <c r="AA82">
        <f t="shared" si="6"/>
        <v>0</v>
      </c>
      <c r="AB82">
        <f t="shared" si="7"/>
        <v>0</v>
      </c>
      <c r="AC82">
        <f t="shared" si="8"/>
        <v>0</v>
      </c>
      <c r="AD82">
        <f t="shared" si="9"/>
        <v>0</v>
      </c>
      <c r="AE82">
        <f t="shared" si="10"/>
        <v>0</v>
      </c>
      <c r="AF82">
        <f t="shared" si="11"/>
        <v>0</v>
      </c>
      <c r="AG82">
        <f t="shared" si="12"/>
        <v>0</v>
      </c>
      <c r="AH82">
        <f t="shared" si="13"/>
        <v>0</v>
      </c>
      <c r="AI82" s="1">
        <f t="shared" si="14"/>
        <v>0</v>
      </c>
      <c r="AJ82" s="1">
        <f t="shared" si="15"/>
        <v>0</v>
      </c>
      <c r="AK82">
        <f t="shared" si="16"/>
        <v>0</v>
      </c>
      <c r="AL82">
        <f t="shared" si="17"/>
        <v>0</v>
      </c>
      <c r="AM82">
        <f t="shared" si="18"/>
        <v>0</v>
      </c>
      <c r="AN82">
        <f t="shared" si="19"/>
        <v>0</v>
      </c>
      <c r="AO82">
        <f t="shared" si="20"/>
        <v>0</v>
      </c>
      <c r="AP82">
        <f t="shared" si="21"/>
        <v>0</v>
      </c>
      <c r="AQ82">
        <f t="shared" si="22"/>
        <v>0</v>
      </c>
      <c r="AR82">
        <f t="shared" si="23"/>
        <v>0</v>
      </c>
      <c r="AS82">
        <f t="shared" si="24"/>
        <v>0</v>
      </c>
      <c r="AT82" s="1">
        <f t="shared" si="25"/>
        <v>0</v>
      </c>
      <c r="AU82" s="1">
        <f t="shared" si="26"/>
        <v>0</v>
      </c>
      <c r="AV82">
        <f t="shared" si="27"/>
        <v>0</v>
      </c>
      <c r="AW82">
        <f t="shared" si="28"/>
        <v>0</v>
      </c>
      <c r="AX82">
        <f t="shared" si="29"/>
        <v>0</v>
      </c>
      <c r="AY82">
        <f t="shared" si="30"/>
        <v>0</v>
      </c>
      <c r="AZ82">
        <f t="shared" si="31"/>
        <v>0</v>
      </c>
      <c r="BA82">
        <f t="shared" si="32"/>
        <v>0</v>
      </c>
      <c r="BB82">
        <f t="shared" si="33"/>
        <v>0</v>
      </c>
      <c r="BC82">
        <f t="shared" si="34"/>
        <v>0</v>
      </c>
      <c r="BD82">
        <f t="shared" si="35"/>
        <v>0</v>
      </c>
    </row>
    <row r="83" spans="1:56" x14ac:dyDescent="0.25">
      <c r="A83" s="1">
        <v>66</v>
      </c>
      <c r="B83" s="2">
        <v>0</v>
      </c>
      <c r="C83" s="2">
        <v>0</v>
      </c>
      <c r="D83" s="2">
        <v>0</v>
      </c>
      <c r="E83" s="2">
        <v>0</v>
      </c>
      <c r="F83" s="1">
        <f t="shared" si="36"/>
        <v>0</v>
      </c>
      <c r="G83" s="1">
        <f t="shared" si="37"/>
        <v>0</v>
      </c>
      <c r="H83" s="1">
        <f t="shared" si="38"/>
        <v>0</v>
      </c>
      <c r="I83" s="1">
        <f t="shared" si="39"/>
        <v>0</v>
      </c>
      <c r="J83" s="1">
        <f t="shared" si="40"/>
        <v>0</v>
      </c>
      <c r="K83" s="1">
        <f t="shared" si="41"/>
        <v>0</v>
      </c>
      <c r="L83" s="1">
        <f t="shared" si="42"/>
        <v>0</v>
      </c>
      <c r="M83" s="1">
        <f t="shared" si="43"/>
        <v>0</v>
      </c>
      <c r="N83" s="1">
        <f t="shared" si="44"/>
        <v>0</v>
      </c>
      <c r="O83" s="1">
        <f t="shared" si="45"/>
        <v>-0.64772727272727271</v>
      </c>
      <c r="P83" s="1">
        <f t="shared" si="46"/>
        <v>-3.1477272727272729</v>
      </c>
      <c r="Q83" s="1">
        <f t="shared" si="47"/>
        <v>0</v>
      </c>
      <c r="R83" s="1">
        <f t="shared" ref="R83:R146" si="53">L83+(J83*O83*O83)</f>
        <v>0</v>
      </c>
      <c r="S83" s="1">
        <f t="shared" si="48"/>
        <v>0</v>
      </c>
      <c r="T83" s="7">
        <f t="shared" si="49"/>
        <v>-0.64772727272727271</v>
      </c>
      <c r="U83" s="7">
        <f t="shared" si="50"/>
        <v>-3.1477272727272729</v>
      </c>
      <c r="V83" s="7">
        <f t="shared" si="51"/>
        <v>-0.64772727272727271</v>
      </c>
      <c r="W83" s="7">
        <f t="shared" si="52"/>
        <v>-3.1477272727272729</v>
      </c>
      <c r="X83" s="1">
        <f t="shared" ref="X83:X146" si="54">IF(J83=0,0,(U83*$H$8*$K$8)/$K$11)</f>
        <v>0</v>
      </c>
      <c r="Y83" s="1">
        <f t="shared" ref="Y83:Y146" si="55">IF(J83=0,0,(U83*$H$9*$K$9)/$K$11)</f>
        <v>0</v>
      </c>
      <c r="Z83">
        <f t="shared" ref="Z83:Z146" si="56">IF(J83=0,0,(-1*T83*$H$8*$K$9)/$K$11)</f>
        <v>0</v>
      </c>
      <c r="AA83">
        <f t="shared" ref="AA83:AA146" si="57">IF(J83=0,0,(-1*T83*$H$9*$K$7)/$K$11)</f>
        <v>0</v>
      </c>
      <c r="AB83">
        <f t="shared" ref="AB83:AB146" si="58">X83+Y83+Z83+AA83</f>
        <v>0</v>
      </c>
      <c r="AC83">
        <f t="shared" ref="AC83:AC146" si="59">AB83+$N$6</f>
        <v>0</v>
      </c>
      <c r="AD83">
        <f t="shared" ref="AD83:AD146" si="60">IF(J83=0,0,(-1*U83*$H$10)/$K$10)</f>
        <v>0</v>
      </c>
      <c r="AE83">
        <f t="shared" ref="AE83:AE146" si="61">AD83+$N$4</f>
        <v>0</v>
      </c>
      <c r="AF83">
        <f t="shared" ref="AF83:AF146" si="62">IF(J83=0,0,(T83*$H$10)/$K$10)</f>
        <v>0</v>
      </c>
      <c r="AG83">
        <f t="shared" ref="AG83:AG146" si="63">AF83+$N$5</f>
        <v>0</v>
      </c>
      <c r="AH83">
        <f t="shared" ref="AH83:AH146" si="64">SQRT((AC83*AC83)+(AE83*AE83)+(AG83*AG83))</f>
        <v>0</v>
      </c>
      <c r="AI83" s="1">
        <f t="shared" ref="AI83:AI146" si="65">IF(J83=0,0,(W83*$H$8*$K$8)/$K$11)</f>
        <v>0</v>
      </c>
      <c r="AJ83" s="1">
        <f t="shared" ref="AJ83:AJ146" si="66">IF(J83=0,0,(W83*$H$9*$K$9)/$K$11)</f>
        <v>0</v>
      </c>
      <c r="AK83">
        <f t="shared" ref="AK83:AK146" si="67">IF(J83=0,0,(-1*V83*$H$8*$K$9)/$K$11)</f>
        <v>0</v>
      </c>
      <c r="AL83">
        <f t="shared" ref="AL83:AL146" si="68">IF(J83=0,0,(-1*V83*$H$9*$K$7)/$K$11)</f>
        <v>0</v>
      </c>
      <c r="AM83">
        <f t="shared" ref="AM83:AM146" si="69">AI83+AJ83+AK83+AL83</f>
        <v>0</v>
      </c>
      <c r="AN83">
        <f t="shared" ref="AN83:AN146" si="70">AM83+$N$6</f>
        <v>0</v>
      </c>
      <c r="AO83">
        <f t="shared" ref="AO83:AO146" si="71">IF(J83=0,0,(-1*W83*$H$10)/$K$10)</f>
        <v>0</v>
      </c>
      <c r="AP83">
        <f t="shared" ref="AP83:AP146" si="72">AO83+$N$4</f>
        <v>0</v>
      </c>
      <c r="AQ83">
        <f t="shared" ref="AQ83:AQ146" si="73">IF(J83=0,0,(V83*$H$10)/$K$10)</f>
        <v>0</v>
      </c>
      <c r="AR83">
        <f t="shared" ref="AR83:AR146" si="74">AQ83+$N$5</f>
        <v>0</v>
      </c>
      <c r="AS83">
        <f t="shared" ref="AS83:AS146" si="75">SQRT((AN83*AN83)+(AP83*AP83)+(AR83*AR83))</f>
        <v>0</v>
      </c>
      <c r="AT83" s="1">
        <f t="shared" ref="AT83:AT146" si="76">IF(J83=0,0,(P83*$H$8*$K$8)/$K$11)</f>
        <v>0</v>
      </c>
      <c r="AU83" s="1">
        <f t="shared" ref="AU83:AU146" si="77">IF(J83=0,0,(P83*$H$9*$K$9)/$K$11)</f>
        <v>0</v>
      </c>
      <c r="AV83">
        <f t="shared" ref="AV83:AV146" si="78">IF(J83=0,0,(-1*O83*$H$8*$K$9)/$K$11)</f>
        <v>0</v>
      </c>
      <c r="AW83">
        <f t="shared" ref="AW83:AW146" si="79">IF(J83=0,0,(-1*O83*$H$9*$K$7)/$K$11)</f>
        <v>0</v>
      </c>
      <c r="AX83">
        <f t="shared" ref="AX83:AX146" si="80">AT83+AU83+AV83+AW83</f>
        <v>0</v>
      </c>
      <c r="AY83">
        <f t="shared" ref="AY83:AY146" si="81">AX83+$N$6</f>
        <v>0</v>
      </c>
      <c r="AZ83">
        <f t="shared" ref="AZ83:AZ146" si="82">IF(J83=0,0,(-1*P83*$H$10)/$K$10)</f>
        <v>0</v>
      </c>
      <c r="BA83">
        <f t="shared" ref="BA83:BA146" si="83">AZ83+$N$4</f>
        <v>0</v>
      </c>
      <c r="BB83">
        <f t="shared" ref="BB83:BB146" si="84">IF(J83=0,0,(O83*$H$10)/$K$10)</f>
        <v>0</v>
      </c>
      <c r="BC83">
        <f t="shared" ref="BC83:BC146" si="85">BB83+$N$5</f>
        <v>0</v>
      </c>
      <c r="BD83">
        <f t="shared" ref="BD83:BD146" si="86">SQRT((AY83*AY83)+(BA83*BA83)+(BC83*BC83))</f>
        <v>0</v>
      </c>
    </row>
    <row r="84" spans="1:56" x14ac:dyDescent="0.25">
      <c r="A84" s="1">
        <v>67</v>
      </c>
      <c r="B84" s="2">
        <v>0</v>
      </c>
      <c r="C84" s="2">
        <v>0</v>
      </c>
      <c r="D84" s="2">
        <v>0</v>
      </c>
      <c r="E84" s="2">
        <v>0</v>
      </c>
      <c r="F84" s="1">
        <f t="shared" ref="F84:F147" si="87">(B84+D84)/2</f>
        <v>0</v>
      </c>
      <c r="G84" s="1">
        <f t="shared" ref="G84:G147" si="88">(C84+E84)/2</f>
        <v>0</v>
      </c>
      <c r="H84" s="1">
        <f t="shared" ref="H84:H147" si="89">D84-B84</f>
        <v>0</v>
      </c>
      <c r="I84" s="1">
        <f t="shared" ref="I84:I147" si="90">E84-C84</f>
        <v>0</v>
      </c>
      <c r="J84" s="1">
        <f t="shared" ref="J84:J147" si="91">SQRT((H84*H84)+(I84*I84))</f>
        <v>0</v>
      </c>
      <c r="K84" s="1">
        <f t="shared" ref="K84:K147" si="92">(J84*I84*I84)/12</f>
        <v>0</v>
      </c>
      <c r="L84" s="1">
        <f t="shared" ref="L84:L147" si="93">(J84*H84*H84)/12</f>
        <v>0</v>
      </c>
      <c r="M84" s="1">
        <f t="shared" ref="M84:M147" si="94">J84*F84</f>
        <v>0</v>
      </c>
      <c r="N84" s="1">
        <f t="shared" ref="N84:N147" si="95">J84*G84</f>
        <v>0</v>
      </c>
      <c r="O84" s="1">
        <f t="shared" ref="O84:O147" si="96">F84-$K$5</f>
        <v>-0.64772727272727271</v>
      </c>
      <c r="P84" s="1">
        <f t="shared" ref="P84:P147" si="97">G84-$K$6</f>
        <v>-3.1477272727272729</v>
      </c>
      <c r="Q84" s="1">
        <f t="shared" ref="Q84:Q147" si="98">K84+(J84*P84*P84)</f>
        <v>0</v>
      </c>
      <c r="R84" s="1">
        <f t="shared" si="53"/>
        <v>0</v>
      </c>
      <c r="S84" s="1">
        <f t="shared" ref="S84:S147" si="99">J84*O84*P84</f>
        <v>0</v>
      </c>
      <c r="T84" s="7">
        <f t="shared" ref="T84:T147" si="100">B84-$K$5</f>
        <v>-0.64772727272727271</v>
      </c>
      <c r="U84" s="7">
        <f t="shared" ref="U84:U147" si="101">C84-$K$6</f>
        <v>-3.1477272727272729</v>
      </c>
      <c r="V84" s="7">
        <f t="shared" ref="V84:V147" si="102">D84-$K$5</f>
        <v>-0.64772727272727271</v>
      </c>
      <c r="W84" s="7">
        <f t="shared" ref="W84:W147" si="103">E84-$K$6</f>
        <v>-3.1477272727272729</v>
      </c>
      <c r="X84" s="1">
        <f t="shared" si="54"/>
        <v>0</v>
      </c>
      <c r="Y84" s="1">
        <f t="shared" si="55"/>
        <v>0</v>
      </c>
      <c r="Z84">
        <f t="shared" si="56"/>
        <v>0</v>
      </c>
      <c r="AA84">
        <f t="shared" si="57"/>
        <v>0</v>
      </c>
      <c r="AB84">
        <f t="shared" si="58"/>
        <v>0</v>
      </c>
      <c r="AC84">
        <f t="shared" si="59"/>
        <v>0</v>
      </c>
      <c r="AD84">
        <f t="shared" si="60"/>
        <v>0</v>
      </c>
      <c r="AE84">
        <f t="shared" si="61"/>
        <v>0</v>
      </c>
      <c r="AF84">
        <f t="shared" si="62"/>
        <v>0</v>
      </c>
      <c r="AG84">
        <f t="shared" si="63"/>
        <v>0</v>
      </c>
      <c r="AH84">
        <f t="shared" si="64"/>
        <v>0</v>
      </c>
      <c r="AI84" s="1">
        <f t="shared" si="65"/>
        <v>0</v>
      </c>
      <c r="AJ84" s="1">
        <f t="shared" si="66"/>
        <v>0</v>
      </c>
      <c r="AK84">
        <f t="shared" si="67"/>
        <v>0</v>
      </c>
      <c r="AL84">
        <f t="shared" si="68"/>
        <v>0</v>
      </c>
      <c r="AM84">
        <f t="shared" si="69"/>
        <v>0</v>
      </c>
      <c r="AN84">
        <f t="shared" si="70"/>
        <v>0</v>
      </c>
      <c r="AO84">
        <f t="shared" si="71"/>
        <v>0</v>
      </c>
      <c r="AP84">
        <f t="shared" si="72"/>
        <v>0</v>
      </c>
      <c r="AQ84">
        <f t="shared" si="73"/>
        <v>0</v>
      </c>
      <c r="AR84">
        <f t="shared" si="74"/>
        <v>0</v>
      </c>
      <c r="AS84">
        <f t="shared" si="75"/>
        <v>0</v>
      </c>
      <c r="AT84" s="1">
        <f t="shared" si="76"/>
        <v>0</v>
      </c>
      <c r="AU84" s="1">
        <f t="shared" si="77"/>
        <v>0</v>
      </c>
      <c r="AV84">
        <f t="shared" si="78"/>
        <v>0</v>
      </c>
      <c r="AW84">
        <f t="shared" si="79"/>
        <v>0</v>
      </c>
      <c r="AX84">
        <f t="shared" si="80"/>
        <v>0</v>
      </c>
      <c r="AY84">
        <f t="shared" si="81"/>
        <v>0</v>
      </c>
      <c r="AZ84">
        <f t="shared" si="82"/>
        <v>0</v>
      </c>
      <c r="BA84">
        <f t="shared" si="83"/>
        <v>0</v>
      </c>
      <c r="BB84">
        <f t="shared" si="84"/>
        <v>0</v>
      </c>
      <c r="BC84">
        <f t="shared" si="85"/>
        <v>0</v>
      </c>
      <c r="BD84">
        <f t="shared" si="86"/>
        <v>0</v>
      </c>
    </row>
    <row r="85" spans="1:56" x14ac:dyDescent="0.25">
      <c r="A85" s="1">
        <v>68</v>
      </c>
      <c r="B85" s="2">
        <v>0</v>
      </c>
      <c r="C85" s="2">
        <v>0</v>
      </c>
      <c r="D85" s="2">
        <v>0</v>
      </c>
      <c r="E85" s="2">
        <v>0</v>
      </c>
      <c r="F85" s="1">
        <f t="shared" si="87"/>
        <v>0</v>
      </c>
      <c r="G85" s="1">
        <f t="shared" si="88"/>
        <v>0</v>
      </c>
      <c r="H85" s="1">
        <f t="shared" si="89"/>
        <v>0</v>
      </c>
      <c r="I85" s="1">
        <f t="shared" si="90"/>
        <v>0</v>
      </c>
      <c r="J85" s="1">
        <f t="shared" si="91"/>
        <v>0</v>
      </c>
      <c r="K85" s="1">
        <f t="shared" si="92"/>
        <v>0</v>
      </c>
      <c r="L85" s="1">
        <f t="shared" si="93"/>
        <v>0</v>
      </c>
      <c r="M85" s="1">
        <f t="shared" si="94"/>
        <v>0</v>
      </c>
      <c r="N85" s="1">
        <f t="shared" si="95"/>
        <v>0</v>
      </c>
      <c r="O85" s="1">
        <f t="shared" si="96"/>
        <v>-0.64772727272727271</v>
      </c>
      <c r="P85" s="1">
        <f t="shared" si="97"/>
        <v>-3.1477272727272729</v>
      </c>
      <c r="Q85" s="1">
        <f t="shared" si="98"/>
        <v>0</v>
      </c>
      <c r="R85" s="1">
        <f t="shared" si="53"/>
        <v>0</v>
      </c>
      <c r="S85" s="1">
        <f t="shared" si="99"/>
        <v>0</v>
      </c>
      <c r="T85" s="7">
        <f t="shared" si="100"/>
        <v>-0.64772727272727271</v>
      </c>
      <c r="U85" s="7">
        <f t="shared" si="101"/>
        <v>-3.1477272727272729</v>
      </c>
      <c r="V85" s="7">
        <f t="shared" si="102"/>
        <v>-0.64772727272727271</v>
      </c>
      <c r="W85" s="7">
        <f t="shared" si="103"/>
        <v>-3.1477272727272729</v>
      </c>
      <c r="X85" s="1">
        <f t="shared" si="54"/>
        <v>0</v>
      </c>
      <c r="Y85" s="1">
        <f t="shared" si="55"/>
        <v>0</v>
      </c>
      <c r="Z85">
        <f t="shared" si="56"/>
        <v>0</v>
      </c>
      <c r="AA85">
        <f t="shared" si="57"/>
        <v>0</v>
      </c>
      <c r="AB85">
        <f t="shared" si="58"/>
        <v>0</v>
      </c>
      <c r="AC85">
        <f t="shared" si="59"/>
        <v>0</v>
      </c>
      <c r="AD85">
        <f t="shared" si="60"/>
        <v>0</v>
      </c>
      <c r="AE85">
        <f t="shared" si="61"/>
        <v>0</v>
      </c>
      <c r="AF85">
        <f t="shared" si="62"/>
        <v>0</v>
      </c>
      <c r="AG85">
        <f t="shared" si="63"/>
        <v>0</v>
      </c>
      <c r="AH85">
        <f t="shared" si="64"/>
        <v>0</v>
      </c>
      <c r="AI85" s="1">
        <f t="shared" si="65"/>
        <v>0</v>
      </c>
      <c r="AJ85" s="1">
        <f t="shared" si="66"/>
        <v>0</v>
      </c>
      <c r="AK85">
        <f t="shared" si="67"/>
        <v>0</v>
      </c>
      <c r="AL85">
        <f t="shared" si="68"/>
        <v>0</v>
      </c>
      <c r="AM85">
        <f t="shared" si="69"/>
        <v>0</v>
      </c>
      <c r="AN85">
        <f t="shared" si="70"/>
        <v>0</v>
      </c>
      <c r="AO85">
        <f t="shared" si="71"/>
        <v>0</v>
      </c>
      <c r="AP85">
        <f t="shared" si="72"/>
        <v>0</v>
      </c>
      <c r="AQ85">
        <f t="shared" si="73"/>
        <v>0</v>
      </c>
      <c r="AR85">
        <f t="shared" si="74"/>
        <v>0</v>
      </c>
      <c r="AS85">
        <f t="shared" si="75"/>
        <v>0</v>
      </c>
      <c r="AT85" s="1">
        <f t="shared" si="76"/>
        <v>0</v>
      </c>
      <c r="AU85" s="1">
        <f t="shared" si="77"/>
        <v>0</v>
      </c>
      <c r="AV85">
        <f t="shared" si="78"/>
        <v>0</v>
      </c>
      <c r="AW85">
        <f t="shared" si="79"/>
        <v>0</v>
      </c>
      <c r="AX85">
        <f t="shared" si="80"/>
        <v>0</v>
      </c>
      <c r="AY85">
        <f t="shared" si="81"/>
        <v>0</v>
      </c>
      <c r="AZ85">
        <f t="shared" si="82"/>
        <v>0</v>
      </c>
      <c r="BA85">
        <f t="shared" si="83"/>
        <v>0</v>
      </c>
      <c r="BB85">
        <f t="shared" si="84"/>
        <v>0</v>
      </c>
      <c r="BC85">
        <f t="shared" si="85"/>
        <v>0</v>
      </c>
      <c r="BD85">
        <f t="shared" si="86"/>
        <v>0</v>
      </c>
    </row>
    <row r="86" spans="1:56" x14ac:dyDescent="0.25">
      <c r="A86" s="1">
        <v>69</v>
      </c>
      <c r="B86" s="2">
        <v>0</v>
      </c>
      <c r="C86" s="2">
        <v>0</v>
      </c>
      <c r="D86" s="2">
        <v>0</v>
      </c>
      <c r="E86" s="2">
        <v>0</v>
      </c>
      <c r="F86" s="1">
        <f t="shared" si="87"/>
        <v>0</v>
      </c>
      <c r="G86" s="1">
        <f t="shared" si="88"/>
        <v>0</v>
      </c>
      <c r="H86" s="1">
        <f t="shared" si="89"/>
        <v>0</v>
      </c>
      <c r="I86" s="1">
        <f t="shared" si="90"/>
        <v>0</v>
      </c>
      <c r="J86" s="1">
        <f t="shared" si="91"/>
        <v>0</v>
      </c>
      <c r="K86" s="1">
        <f t="shared" si="92"/>
        <v>0</v>
      </c>
      <c r="L86" s="1">
        <f t="shared" si="93"/>
        <v>0</v>
      </c>
      <c r="M86" s="1">
        <f t="shared" si="94"/>
        <v>0</v>
      </c>
      <c r="N86" s="1">
        <f t="shared" si="95"/>
        <v>0</v>
      </c>
      <c r="O86" s="1">
        <f t="shared" si="96"/>
        <v>-0.64772727272727271</v>
      </c>
      <c r="P86" s="1">
        <f t="shared" si="97"/>
        <v>-3.1477272727272729</v>
      </c>
      <c r="Q86" s="1">
        <f t="shared" si="98"/>
        <v>0</v>
      </c>
      <c r="R86" s="1">
        <f t="shared" si="53"/>
        <v>0</v>
      </c>
      <c r="S86" s="1">
        <f t="shared" si="99"/>
        <v>0</v>
      </c>
      <c r="T86" s="7">
        <f t="shared" si="100"/>
        <v>-0.64772727272727271</v>
      </c>
      <c r="U86" s="7">
        <f t="shared" si="101"/>
        <v>-3.1477272727272729</v>
      </c>
      <c r="V86" s="7">
        <f t="shared" si="102"/>
        <v>-0.64772727272727271</v>
      </c>
      <c r="W86" s="7">
        <f t="shared" si="103"/>
        <v>-3.1477272727272729</v>
      </c>
      <c r="X86" s="1">
        <f t="shared" si="54"/>
        <v>0</v>
      </c>
      <c r="Y86" s="1">
        <f t="shared" si="55"/>
        <v>0</v>
      </c>
      <c r="Z86">
        <f t="shared" si="56"/>
        <v>0</v>
      </c>
      <c r="AA86">
        <f t="shared" si="57"/>
        <v>0</v>
      </c>
      <c r="AB86">
        <f t="shared" si="58"/>
        <v>0</v>
      </c>
      <c r="AC86">
        <f t="shared" si="59"/>
        <v>0</v>
      </c>
      <c r="AD86">
        <f t="shared" si="60"/>
        <v>0</v>
      </c>
      <c r="AE86">
        <f t="shared" si="61"/>
        <v>0</v>
      </c>
      <c r="AF86">
        <f t="shared" si="62"/>
        <v>0</v>
      </c>
      <c r="AG86">
        <f t="shared" si="63"/>
        <v>0</v>
      </c>
      <c r="AH86">
        <f t="shared" si="64"/>
        <v>0</v>
      </c>
      <c r="AI86" s="1">
        <f t="shared" si="65"/>
        <v>0</v>
      </c>
      <c r="AJ86" s="1">
        <f t="shared" si="66"/>
        <v>0</v>
      </c>
      <c r="AK86">
        <f t="shared" si="67"/>
        <v>0</v>
      </c>
      <c r="AL86">
        <f t="shared" si="68"/>
        <v>0</v>
      </c>
      <c r="AM86">
        <f t="shared" si="69"/>
        <v>0</v>
      </c>
      <c r="AN86">
        <f t="shared" si="70"/>
        <v>0</v>
      </c>
      <c r="AO86">
        <f t="shared" si="71"/>
        <v>0</v>
      </c>
      <c r="AP86">
        <f t="shared" si="72"/>
        <v>0</v>
      </c>
      <c r="AQ86">
        <f t="shared" si="73"/>
        <v>0</v>
      </c>
      <c r="AR86">
        <f t="shared" si="74"/>
        <v>0</v>
      </c>
      <c r="AS86">
        <f t="shared" si="75"/>
        <v>0</v>
      </c>
      <c r="AT86" s="1">
        <f t="shared" si="76"/>
        <v>0</v>
      </c>
      <c r="AU86" s="1">
        <f t="shared" si="77"/>
        <v>0</v>
      </c>
      <c r="AV86">
        <f t="shared" si="78"/>
        <v>0</v>
      </c>
      <c r="AW86">
        <f t="shared" si="79"/>
        <v>0</v>
      </c>
      <c r="AX86">
        <f t="shared" si="80"/>
        <v>0</v>
      </c>
      <c r="AY86">
        <f t="shared" si="81"/>
        <v>0</v>
      </c>
      <c r="AZ86">
        <f t="shared" si="82"/>
        <v>0</v>
      </c>
      <c r="BA86">
        <f t="shared" si="83"/>
        <v>0</v>
      </c>
      <c r="BB86">
        <f t="shared" si="84"/>
        <v>0</v>
      </c>
      <c r="BC86">
        <f t="shared" si="85"/>
        <v>0</v>
      </c>
      <c r="BD86">
        <f t="shared" si="86"/>
        <v>0</v>
      </c>
    </row>
    <row r="87" spans="1:56" x14ac:dyDescent="0.25">
      <c r="A87" s="1">
        <v>70</v>
      </c>
      <c r="B87" s="2">
        <v>0</v>
      </c>
      <c r="C87" s="2">
        <v>0</v>
      </c>
      <c r="D87" s="2">
        <v>0</v>
      </c>
      <c r="E87" s="2">
        <v>0</v>
      </c>
      <c r="F87" s="1">
        <f t="shared" si="87"/>
        <v>0</v>
      </c>
      <c r="G87" s="1">
        <f t="shared" si="88"/>
        <v>0</v>
      </c>
      <c r="H87" s="1">
        <f t="shared" si="89"/>
        <v>0</v>
      </c>
      <c r="I87" s="1">
        <f t="shared" si="90"/>
        <v>0</v>
      </c>
      <c r="J87" s="1">
        <f t="shared" si="91"/>
        <v>0</v>
      </c>
      <c r="K87" s="1">
        <f t="shared" si="92"/>
        <v>0</v>
      </c>
      <c r="L87" s="1">
        <f t="shared" si="93"/>
        <v>0</v>
      </c>
      <c r="M87" s="1">
        <f t="shared" si="94"/>
        <v>0</v>
      </c>
      <c r="N87" s="1">
        <f t="shared" si="95"/>
        <v>0</v>
      </c>
      <c r="O87" s="1">
        <f t="shared" si="96"/>
        <v>-0.64772727272727271</v>
      </c>
      <c r="P87" s="1">
        <f t="shared" si="97"/>
        <v>-3.1477272727272729</v>
      </c>
      <c r="Q87" s="1">
        <f t="shared" si="98"/>
        <v>0</v>
      </c>
      <c r="R87" s="1">
        <f t="shared" si="53"/>
        <v>0</v>
      </c>
      <c r="S87" s="1">
        <f t="shared" si="99"/>
        <v>0</v>
      </c>
      <c r="T87" s="7">
        <f t="shared" si="100"/>
        <v>-0.64772727272727271</v>
      </c>
      <c r="U87" s="7">
        <f t="shared" si="101"/>
        <v>-3.1477272727272729</v>
      </c>
      <c r="V87" s="7">
        <f t="shared" si="102"/>
        <v>-0.64772727272727271</v>
      </c>
      <c r="W87" s="7">
        <f t="shared" si="103"/>
        <v>-3.1477272727272729</v>
      </c>
      <c r="X87" s="1">
        <f t="shared" si="54"/>
        <v>0</v>
      </c>
      <c r="Y87" s="1">
        <f t="shared" si="55"/>
        <v>0</v>
      </c>
      <c r="Z87">
        <f t="shared" si="56"/>
        <v>0</v>
      </c>
      <c r="AA87">
        <f t="shared" si="57"/>
        <v>0</v>
      </c>
      <c r="AB87">
        <f t="shared" si="58"/>
        <v>0</v>
      </c>
      <c r="AC87">
        <f t="shared" si="59"/>
        <v>0</v>
      </c>
      <c r="AD87">
        <f t="shared" si="60"/>
        <v>0</v>
      </c>
      <c r="AE87">
        <f t="shared" si="61"/>
        <v>0</v>
      </c>
      <c r="AF87">
        <f t="shared" si="62"/>
        <v>0</v>
      </c>
      <c r="AG87">
        <f t="shared" si="63"/>
        <v>0</v>
      </c>
      <c r="AH87">
        <f t="shared" si="64"/>
        <v>0</v>
      </c>
      <c r="AI87" s="1">
        <f t="shared" si="65"/>
        <v>0</v>
      </c>
      <c r="AJ87" s="1">
        <f t="shared" si="66"/>
        <v>0</v>
      </c>
      <c r="AK87">
        <f t="shared" si="67"/>
        <v>0</v>
      </c>
      <c r="AL87">
        <f t="shared" si="68"/>
        <v>0</v>
      </c>
      <c r="AM87">
        <f t="shared" si="69"/>
        <v>0</v>
      </c>
      <c r="AN87">
        <f t="shared" si="70"/>
        <v>0</v>
      </c>
      <c r="AO87">
        <f t="shared" si="71"/>
        <v>0</v>
      </c>
      <c r="AP87">
        <f t="shared" si="72"/>
        <v>0</v>
      </c>
      <c r="AQ87">
        <f t="shared" si="73"/>
        <v>0</v>
      </c>
      <c r="AR87">
        <f t="shared" si="74"/>
        <v>0</v>
      </c>
      <c r="AS87">
        <f t="shared" si="75"/>
        <v>0</v>
      </c>
      <c r="AT87" s="1">
        <f t="shared" si="76"/>
        <v>0</v>
      </c>
      <c r="AU87" s="1">
        <f t="shared" si="77"/>
        <v>0</v>
      </c>
      <c r="AV87">
        <f t="shared" si="78"/>
        <v>0</v>
      </c>
      <c r="AW87">
        <f t="shared" si="79"/>
        <v>0</v>
      </c>
      <c r="AX87">
        <f t="shared" si="80"/>
        <v>0</v>
      </c>
      <c r="AY87">
        <f t="shared" si="81"/>
        <v>0</v>
      </c>
      <c r="AZ87">
        <f t="shared" si="82"/>
        <v>0</v>
      </c>
      <c r="BA87">
        <f t="shared" si="83"/>
        <v>0</v>
      </c>
      <c r="BB87">
        <f t="shared" si="84"/>
        <v>0</v>
      </c>
      <c r="BC87">
        <f t="shared" si="85"/>
        <v>0</v>
      </c>
      <c r="BD87">
        <f t="shared" si="86"/>
        <v>0</v>
      </c>
    </row>
    <row r="88" spans="1:56" x14ac:dyDescent="0.25">
      <c r="A88" s="1">
        <v>71</v>
      </c>
      <c r="B88" s="2">
        <v>0</v>
      </c>
      <c r="C88" s="2">
        <v>0</v>
      </c>
      <c r="D88" s="2">
        <v>0</v>
      </c>
      <c r="E88" s="2">
        <v>0</v>
      </c>
      <c r="F88" s="1">
        <f t="shared" si="87"/>
        <v>0</v>
      </c>
      <c r="G88" s="1">
        <f t="shared" si="88"/>
        <v>0</v>
      </c>
      <c r="H88" s="1">
        <f t="shared" si="89"/>
        <v>0</v>
      </c>
      <c r="I88" s="1">
        <f t="shared" si="90"/>
        <v>0</v>
      </c>
      <c r="J88" s="1">
        <f t="shared" si="91"/>
        <v>0</v>
      </c>
      <c r="K88" s="1">
        <f t="shared" si="92"/>
        <v>0</v>
      </c>
      <c r="L88" s="1">
        <f t="shared" si="93"/>
        <v>0</v>
      </c>
      <c r="M88" s="1">
        <f t="shared" si="94"/>
        <v>0</v>
      </c>
      <c r="N88" s="1">
        <f t="shared" si="95"/>
        <v>0</v>
      </c>
      <c r="O88" s="1">
        <f t="shared" si="96"/>
        <v>-0.64772727272727271</v>
      </c>
      <c r="P88" s="1">
        <f t="shared" si="97"/>
        <v>-3.1477272727272729</v>
      </c>
      <c r="Q88" s="1">
        <f t="shared" si="98"/>
        <v>0</v>
      </c>
      <c r="R88" s="1">
        <f t="shared" si="53"/>
        <v>0</v>
      </c>
      <c r="S88" s="1">
        <f t="shared" si="99"/>
        <v>0</v>
      </c>
      <c r="T88" s="7">
        <f t="shared" si="100"/>
        <v>-0.64772727272727271</v>
      </c>
      <c r="U88" s="7">
        <f t="shared" si="101"/>
        <v>-3.1477272727272729</v>
      </c>
      <c r="V88" s="7">
        <f t="shared" si="102"/>
        <v>-0.64772727272727271</v>
      </c>
      <c r="W88" s="7">
        <f t="shared" si="103"/>
        <v>-3.1477272727272729</v>
      </c>
      <c r="X88" s="1">
        <f t="shared" si="54"/>
        <v>0</v>
      </c>
      <c r="Y88" s="1">
        <f t="shared" si="55"/>
        <v>0</v>
      </c>
      <c r="Z88">
        <f t="shared" si="56"/>
        <v>0</v>
      </c>
      <c r="AA88">
        <f t="shared" si="57"/>
        <v>0</v>
      </c>
      <c r="AB88">
        <f t="shared" si="58"/>
        <v>0</v>
      </c>
      <c r="AC88">
        <f t="shared" si="59"/>
        <v>0</v>
      </c>
      <c r="AD88">
        <f t="shared" si="60"/>
        <v>0</v>
      </c>
      <c r="AE88">
        <f t="shared" si="61"/>
        <v>0</v>
      </c>
      <c r="AF88">
        <f t="shared" si="62"/>
        <v>0</v>
      </c>
      <c r="AG88">
        <f t="shared" si="63"/>
        <v>0</v>
      </c>
      <c r="AH88">
        <f t="shared" si="64"/>
        <v>0</v>
      </c>
      <c r="AI88" s="1">
        <f t="shared" si="65"/>
        <v>0</v>
      </c>
      <c r="AJ88" s="1">
        <f t="shared" si="66"/>
        <v>0</v>
      </c>
      <c r="AK88">
        <f t="shared" si="67"/>
        <v>0</v>
      </c>
      <c r="AL88">
        <f t="shared" si="68"/>
        <v>0</v>
      </c>
      <c r="AM88">
        <f t="shared" si="69"/>
        <v>0</v>
      </c>
      <c r="AN88">
        <f t="shared" si="70"/>
        <v>0</v>
      </c>
      <c r="AO88">
        <f t="shared" si="71"/>
        <v>0</v>
      </c>
      <c r="AP88">
        <f t="shared" si="72"/>
        <v>0</v>
      </c>
      <c r="AQ88">
        <f t="shared" si="73"/>
        <v>0</v>
      </c>
      <c r="AR88">
        <f t="shared" si="74"/>
        <v>0</v>
      </c>
      <c r="AS88">
        <f t="shared" si="75"/>
        <v>0</v>
      </c>
      <c r="AT88" s="1">
        <f t="shared" si="76"/>
        <v>0</v>
      </c>
      <c r="AU88" s="1">
        <f t="shared" si="77"/>
        <v>0</v>
      </c>
      <c r="AV88">
        <f t="shared" si="78"/>
        <v>0</v>
      </c>
      <c r="AW88">
        <f t="shared" si="79"/>
        <v>0</v>
      </c>
      <c r="AX88">
        <f t="shared" si="80"/>
        <v>0</v>
      </c>
      <c r="AY88">
        <f t="shared" si="81"/>
        <v>0</v>
      </c>
      <c r="AZ88">
        <f t="shared" si="82"/>
        <v>0</v>
      </c>
      <c r="BA88">
        <f t="shared" si="83"/>
        <v>0</v>
      </c>
      <c r="BB88">
        <f t="shared" si="84"/>
        <v>0</v>
      </c>
      <c r="BC88">
        <f t="shared" si="85"/>
        <v>0</v>
      </c>
      <c r="BD88">
        <f t="shared" si="86"/>
        <v>0</v>
      </c>
    </row>
    <row r="89" spans="1:56" x14ac:dyDescent="0.25">
      <c r="A89" s="1">
        <v>72</v>
      </c>
      <c r="B89" s="2">
        <v>0</v>
      </c>
      <c r="C89" s="2">
        <v>0</v>
      </c>
      <c r="D89" s="2">
        <v>0</v>
      </c>
      <c r="E89" s="2">
        <v>0</v>
      </c>
      <c r="F89" s="1">
        <f t="shared" si="87"/>
        <v>0</v>
      </c>
      <c r="G89" s="1">
        <f t="shared" si="88"/>
        <v>0</v>
      </c>
      <c r="H89" s="1">
        <f t="shared" si="89"/>
        <v>0</v>
      </c>
      <c r="I89" s="1">
        <f t="shared" si="90"/>
        <v>0</v>
      </c>
      <c r="J89" s="1">
        <f t="shared" si="91"/>
        <v>0</v>
      </c>
      <c r="K89" s="1">
        <f t="shared" si="92"/>
        <v>0</v>
      </c>
      <c r="L89" s="1">
        <f t="shared" si="93"/>
        <v>0</v>
      </c>
      <c r="M89" s="1">
        <f t="shared" si="94"/>
        <v>0</v>
      </c>
      <c r="N89" s="1">
        <f t="shared" si="95"/>
        <v>0</v>
      </c>
      <c r="O89" s="1">
        <f t="shared" si="96"/>
        <v>-0.64772727272727271</v>
      </c>
      <c r="P89" s="1">
        <f t="shared" si="97"/>
        <v>-3.1477272727272729</v>
      </c>
      <c r="Q89" s="1">
        <f t="shared" si="98"/>
        <v>0</v>
      </c>
      <c r="R89" s="1">
        <f t="shared" si="53"/>
        <v>0</v>
      </c>
      <c r="S89" s="1">
        <f t="shared" si="99"/>
        <v>0</v>
      </c>
      <c r="T89" s="7">
        <f t="shared" si="100"/>
        <v>-0.64772727272727271</v>
      </c>
      <c r="U89" s="7">
        <f t="shared" si="101"/>
        <v>-3.1477272727272729</v>
      </c>
      <c r="V89" s="7">
        <f t="shared" si="102"/>
        <v>-0.64772727272727271</v>
      </c>
      <c r="W89" s="7">
        <f t="shared" si="103"/>
        <v>-3.1477272727272729</v>
      </c>
      <c r="X89" s="1">
        <f t="shared" si="54"/>
        <v>0</v>
      </c>
      <c r="Y89" s="1">
        <f t="shared" si="55"/>
        <v>0</v>
      </c>
      <c r="Z89">
        <f t="shared" si="56"/>
        <v>0</v>
      </c>
      <c r="AA89">
        <f t="shared" si="57"/>
        <v>0</v>
      </c>
      <c r="AB89">
        <f t="shared" si="58"/>
        <v>0</v>
      </c>
      <c r="AC89">
        <f t="shared" si="59"/>
        <v>0</v>
      </c>
      <c r="AD89">
        <f t="shared" si="60"/>
        <v>0</v>
      </c>
      <c r="AE89">
        <f t="shared" si="61"/>
        <v>0</v>
      </c>
      <c r="AF89">
        <f t="shared" si="62"/>
        <v>0</v>
      </c>
      <c r="AG89">
        <f t="shared" si="63"/>
        <v>0</v>
      </c>
      <c r="AH89">
        <f t="shared" si="64"/>
        <v>0</v>
      </c>
      <c r="AI89" s="1">
        <f t="shared" si="65"/>
        <v>0</v>
      </c>
      <c r="AJ89" s="1">
        <f t="shared" si="66"/>
        <v>0</v>
      </c>
      <c r="AK89">
        <f t="shared" si="67"/>
        <v>0</v>
      </c>
      <c r="AL89">
        <f t="shared" si="68"/>
        <v>0</v>
      </c>
      <c r="AM89">
        <f t="shared" si="69"/>
        <v>0</v>
      </c>
      <c r="AN89">
        <f t="shared" si="70"/>
        <v>0</v>
      </c>
      <c r="AO89">
        <f t="shared" si="71"/>
        <v>0</v>
      </c>
      <c r="AP89">
        <f t="shared" si="72"/>
        <v>0</v>
      </c>
      <c r="AQ89">
        <f t="shared" si="73"/>
        <v>0</v>
      </c>
      <c r="AR89">
        <f t="shared" si="74"/>
        <v>0</v>
      </c>
      <c r="AS89">
        <f t="shared" si="75"/>
        <v>0</v>
      </c>
      <c r="AT89" s="1">
        <f t="shared" si="76"/>
        <v>0</v>
      </c>
      <c r="AU89" s="1">
        <f t="shared" si="77"/>
        <v>0</v>
      </c>
      <c r="AV89">
        <f t="shared" si="78"/>
        <v>0</v>
      </c>
      <c r="AW89">
        <f t="shared" si="79"/>
        <v>0</v>
      </c>
      <c r="AX89">
        <f t="shared" si="80"/>
        <v>0</v>
      </c>
      <c r="AY89">
        <f t="shared" si="81"/>
        <v>0</v>
      </c>
      <c r="AZ89">
        <f t="shared" si="82"/>
        <v>0</v>
      </c>
      <c r="BA89">
        <f t="shared" si="83"/>
        <v>0</v>
      </c>
      <c r="BB89">
        <f t="shared" si="84"/>
        <v>0</v>
      </c>
      <c r="BC89">
        <f t="shared" si="85"/>
        <v>0</v>
      </c>
      <c r="BD89">
        <f t="shared" si="86"/>
        <v>0</v>
      </c>
    </row>
    <row r="90" spans="1:56" x14ac:dyDescent="0.25">
      <c r="A90" s="1">
        <v>73</v>
      </c>
      <c r="B90" s="2">
        <v>0</v>
      </c>
      <c r="C90" s="2">
        <v>0</v>
      </c>
      <c r="D90" s="2">
        <v>0</v>
      </c>
      <c r="E90" s="2">
        <v>0</v>
      </c>
      <c r="F90" s="1">
        <f t="shared" si="87"/>
        <v>0</v>
      </c>
      <c r="G90" s="1">
        <f t="shared" si="88"/>
        <v>0</v>
      </c>
      <c r="H90" s="1">
        <f t="shared" si="89"/>
        <v>0</v>
      </c>
      <c r="I90" s="1">
        <f t="shared" si="90"/>
        <v>0</v>
      </c>
      <c r="J90" s="1">
        <f t="shared" si="91"/>
        <v>0</v>
      </c>
      <c r="K90" s="1">
        <f t="shared" si="92"/>
        <v>0</v>
      </c>
      <c r="L90" s="1">
        <f t="shared" si="93"/>
        <v>0</v>
      </c>
      <c r="M90" s="1">
        <f t="shared" si="94"/>
        <v>0</v>
      </c>
      <c r="N90" s="1">
        <f t="shared" si="95"/>
        <v>0</v>
      </c>
      <c r="O90" s="1">
        <f t="shared" si="96"/>
        <v>-0.64772727272727271</v>
      </c>
      <c r="P90" s="1">
        <f t="shared" si="97"/>
        <v>-3.1477272727272729</v>
      </c>
      <c r="Q90" s="1">
        <f t="shared" si="98"/>
        <v>0</v>
      </c>
      <c r="R90" s="1">
        <f t="shared" si="53"/>
        <v>0</v>
      </c>
      <c r="S90" s="1">
        <f t="shared" si="99"/>
        <v>0</v>
      </c>
      <c r="T90" s="7">
        <f t="shared" si="100"/>
        <v>-0.64772727272727271</v>
      </c>
      <c r="U90" s="7">
        <f t="shared" si="101"/>
        <v>-3.1477272727272729</v>
      </c>
      <c r="V90" s="7">
        <f t="shared" si="102"/>
        <v>-0.64772727272727271</v>
      </c>
      <c r="W90" s="7">
        <f t="shared" si="103"/>
        <v>-3.1477272727272729</v>
      </c>
      <c r="X90" s="1">
        <f t="shared" si="54"/>
        <v>0</v>
      </c>
      <c r="Y90" s="1">
        <f t="shared" si="55"/>
        <v>0</v>
      </c>
      <c r="Z90">
        <f t="shared" si="56"/>
        <v>0</v>
      </c>
      <c r="AA90">
        <f t="shared" si="57"/>
        <v>0</v>
      </c>
      <c r="AB90">
        <f t="shared" si="58"/>
        <v>0</v>
      </c>
      <c r="AC90">
        <f t="shared" si="59"/>
        <v>0</v>
      </c>
      <c r="AD90">
        <f t="shared" si="60"/>
        <v>0</v>
      </c>
      <c r="AE90">
        <f t="shared" si="61"/>
        <v>0</v>
      </c>
      <c r="AF90">
        <f t="shared" si="62"/>
        <v>0</v>
      </c>
      <c r="AG90">
        <f t="shared" si="63"/>
        <v>0</v>
      </c>
      <c r="AH90">
        <f t="shared" si="64"/>
        <v>0</v>
      </c>
      <c r="AI90" s="1">
        <f t="shared" si="65"/>
        <v>0</v>
      </c>
      <c r="AJ90" s="1">
        <f t="shared" si="66"/>
        <v>0</v>
      </c>
      <c r="AK90">
        <f t="shared" si="67"/>
        <v>0</v>
      </c>
      <c r="AL90">
        <f t="shared" si="68"/>
        <v>0</v>
      </c>
      <c r="AM90">
        <f t="shared" si="69"/>
        <v>0</v>
      </c>
      <c r="AN90">
        <f t="shared" si="70"/>
        <v>0</v>
      </c>
      <c r="AO90">
        <f t="shared" si="71"/>
        <v>0</v>
      </c>
      <c r="AP90">
        <f t="shared" si="72"/>
        <v>0</v>
      </c>
      <c r="AQ90">
        <f t="shared" si="73"/>
        <v>0</v>
      </c>
      <c r="AR90">
        <f t="shared" si="74"/>
        <v>0</v>
      </c>
      <c r="AS90">
        <f t="shared" si="75"/>
        <v>0</v>
      </c>
      <c r="AT90" s="1">
        <f t="shared" si="76"/>
        <v>0</v>
      </c>
      <c r="AU90" s="1">
        <f t="shared" si="77"/>
        <v>0</v>
      </c>
      <c r="AV90">
        <f t="shared" si="78"/>
        <v>0</v>
      </c>
      <c r="AW90">
        <f t="shared" si="79"/>
        <v>0</v>
      </c>
      <c r="AX90">
        <f t="shared" si="80"/>
        <v>0</v>
      </c>
      <c r="AY90">
        <f t="shared" si="81"/>
        <v>0</v>
      </c>
      <c r="AZ90">
        <f t="shared" si="82"/>
        <v>0</v>
      </c>
      <c r="BA90">
        <f t="shared" si="83"/>
        <v>0</v>
      </c>
      <c r="BB90">
        <f t="shared" si="84"/>
        <v>0</v>
      </c>
      <c r="BC90">
        <f t="shared" si="85"/>
        <v>0</v>
      </c>
      <c r="BD90">
        <f t="shared" si="86"/>
        <v>0</v>
      </c>
    </row>
    <row r="91" spans="1:56" x14ac:dyDescent="0.25">
      <c r="A91" s="1">
        <v>74</v>
      </c>
      <c r="B91" s="2">
        <v>0</v>
      </c>
      <c r="C91" s="2">
        <v>0</v>
      </c>
      <c r="D91" s="2">
        <v>0</v>
      </c>
      <c r="E91" s="2">
        <v>0</v>
      </c>
      <c r="F91" s="1">
        <f t="shared" si="87"/>
        <v>0</v>
      </c>
      <c r="G91" s="1">
        <f t="shared" si="88"/>
        <v>0</v>
      </c>
      <c r="H91" s="1">
        <f t="shared" si="89"/>
        <v>0</v>
      </c>
      <c r="I91" s="1">
        <f t="shared" si="90"/>
        <v>0</v>
      </c>
      <c r="J91" s="1">
        <f t="shared" si="91"/>
        <v>0</v>
      </c>
      <c r="K91" s="1">
        <f t="shared" si="92"/>
        <v>0</v>
      </c>
      <c r="L91" s="1">
        <f t="shared" si="93"/>
        <v>0</v>
      </c>
      <c r="M91" s="1">
        <f t="shared" si="94"/>
        <v>0</v>
      </c>
      <c r="N91" s="1">
        <f t="shared" si="95"/>
        <v>0</v>
      </c>
      <c r="O91" s="1">
        <f t="shared" si="96"/>
        <v>-0.64772727272727271</v>
      </c>
      <c r="P91" s="1">
        <f t="shared" si="97"/>
        <v>-3.1477272727272729</v>
      </c>
      <c r="Q91" s="1">
        <f t="shared" si="98"/>
        <v>0</v>
      </c>
      <c r="R91" s="1">
        <f t="shared" si="53"/>
        <v>0</v>
      </c>
      <c r="S91" s="1">
        <f t="shared" si="99"/>
        <v>0</v>
      </c>
      <c r="T91" s="7">
        <f t="shared" si="100"/>
        <v>-0.64772727272727271</v>
      </c>
      <c r="U91" s="7">
        <f t="shared" si="101"/>
        <v>-3.1477272727272729</v>
      </c>
      <c r="V91" s="7">
        <f t="shared" si="102"/>
        <v>-0.64772727272727271</v>
      </c>
      <c r="W91" s="7">
        <f t="shared" si="103"/>
        <v>-3.1477272727272729</v>
      </c>
      <c r="X91" s="1">
        <f t="shared" si="54"/>
        <v>0</v>
      </c>
      <c r="Y91" s="1">
        <f t="shared" si="55"/>
        <v>0</v>
      </c>
      <c r="Z91">
        <f t="shared" si="56"/>
        <v>0</v>
      </c>
      <c r="AA91">
        <f t="shared" si="57"/>
        <v>0</v>
      </c>
      <c r="AB91">
        <f t="shared" si="58"/>
        <v>0</v>
      </c>
      <c r="AC91">
        <f t="shared" si="59"/>
        <v>0</v>
      </c>
      <c r="AD91">
        <f t="shared" si="60"/>
        <v>0</v>
      </c>
      <c r="AE91">
        <f t="shared" si="61"/>
        <v>0</v>
      </c>
      <c r="AF91">
        <f t="shared" si="62"/>
        <v>0</v>
      </c>
      <c r="AG91">
        <f t="shared" si="63"/>
        <v>0</v>
      </c>
      <c r="AH91">
        <f t="shared" si="64"/>
        <v>0</v>
      </c>
      <c r="AI91" s="1">
        <f t="shared" si="65"/>
        <v>0</v>
      </c>
      <c r="AJ91" s="1">
        <f t="shared" si="66"/>
        <v>0</v>
      </c>
      <c r="AK91">
        <f t="shared" si="67"/>
        <v>0</v>
      </c>
      <c r="AL91">
        <f t="shared" si="68"/>
        <v>0</v>
      </c>
      <c r="AM91">
        <f t="shared" si="69"/>
        <v>0</v>
      </c>
      <c r="AN91">
        <f t="shared" si="70"/>
        <v>0</v>
      </c>
      <c r="AO91">
        <f t="shared" si="71"/>
        <v>0</v>
      </c>
      <c r="AP91">
        <f t="shared" si="72"/>
        <v>0</v>
      </c>
      <c r="AQ91">
        <f t="shared" si="73"/>
        <v>0</v>
      </c>
      <c r="AR91">
        <f t="shared" si="74"/>
        <v>0</v>
      </c>
      <c r="AS91">
        <f t="shared" si="75"/>
        <v>0</v>
      </c>
      <c r="AT91" s="1">
        <f t="shared" si="76"/>
        <v>0</v>
      </c>
      <c r="AU91" s="1">
        <f t="shared" si="77"/>
        <v>0</v>
      </c>
      <c r="AV91">
        <f t="shared" si="78"/>
        <v>0</v>
      </c>
      <c r="AW91">
        <f t="shared" si="79"/>
        <v>0</v>
      </c>
      <c r="AX91">
        <f t="shared" si="80"/>
        <v>0</v>
      </c>
      <c r="AY91">
        <f t="shared" si="81"/>
        <v>0</v>
      </c>
      <c r="AZ91">
        <f t="shared" si="82"/>
        <v>0</v>
      </c>
      <c r="BA91">
        <f t="shared" si="83"/>
        <v>0</v>
      </c>
      <c r="BB91">
        <f t="shared" si="84"/>
        <v>0</v>
      </c>
      <c r="BC91">
        <f t="shared" si="85"/>
        <v>0</v>
      </c>
      <c r="BD91">
        <f t="shared" si="86"/>
        <v>0</v>
      </c>
    </row>
    <row r="92" spans="1:56" x14ac:dyDescent="0.25">
      <c r="A92" s="1">
        <v>75</v>
      </c>
      <c r="B92" s="2">
        <v>0</v>
      </c>
      <c r="C92" s="2">
        <v>0</v>
      </c>
      <c r="D92" s="2">
        <v>0</v>
      </c>
      <c r="E92" s="2">
        <v>0</v>
      </c>
      <c r="F92" s="1">
        <f t="shared" si="87"/>
        <v>0</v>
      </c>
      <c r="G92" s="1">
        <f t="shared" si="88"/>
        <v>0</v>
      </c>
      <c r="H92" s="1">
        <f t="shared" si="89"/>
        <v>0</v>
      </c>
      <c r="I92" s="1">
        <f t="shared" si="90"/>
        <v>0</v>
      </c>
      <c r="J92" s="1">
        <f t="shared" si="91"/>
        <v>0</v>
      </c>
      <c r="K92" s="1">
        <f t="shared" si="92"/>
        <v>0</v>
      </c>
      <c r="L92" s="1">
        <f t="shared" si="93"/>
        <v>0</v>
      </c>
      <c r="M92" s="1">
        <f t="shared" si="94"/>
        <v>0</v>
      </c>
      <c r="N92" s="1">
        <f t="shared" si="95"/>
        <v>0</v>
      </c>
      <c r="O92" s="1">
        <f t="shared" si="96"/>
        <v>-0.64772727272727271</v>
      </c>
      <c r="P92" s="1">
        <f t="shared" si="97"/>
        <v>-3.1477272727272729</v>
      </c>
      <c r="Q92" s="1">
        <f t="shared" si="98"/>
        <v>0</v>
      </c>
      <c r="R92" s="1">
        <f t="shared" si="53"/>
        <v>0</v>
      </c>
      <c r="S92" s="1">
        <f t="shared" si="99"/>
        <v>0</v>
      </c>
      <c r="T92" s="7">
        <f t="shared" si="100"/>
        <v>-0.64772727272727271</v>
      </c>
      <c r="U92" s="7">
        <f t="shared" si="101"/>
        <v>-3.1477272727272729</v>
      </c>
      <c r="V92" s="7">
        <f t="shared" si="102"/>
        <v>-0.64772727272727271</v>
      </c>
      <c r="W92" s="7">
        <f t="shared" si="103"/>
        <v>-3.1477272727272729</v>
      </c>
      <c r="X92" s="1">
        <f t="shared" si="54"/>
        <v>0</v>
      </c>
      <c r="Y92" s="1">
        <f t="shared" si="55"/>
        <v>0</v>
      </c>
      <c r="Z92">
        <f t="shared" si="56"/>
        <v>0</v>
      </c>
      <c r="AA92">
        <f t="shared" si="57"/>
        <v>0</v>
      </c>
      <c r="AB92">
        <f t="shared" si="58"/>
        <v>0</v>
      </c>
      <c r="AC92">
        <f t="shared" si="59"/>
        <v>0</v>
      </c>
      <c r="AD92">
        <f t="shared" si="60"/>
        <v>0</v>
      </c>
      <c r="AE92">
        <f t="shared" si="61"/>
        <v>0</v>
      </c>
      <c r="AF92">
        <f t="shared" si="62"/>
        <v>0</v>
      </c>
      <c r="AG92">
        <f t="shared" si="63"/>
        <v>0</v>
      </c>
      <c r="AH92">
        <f t="shared" si="64"/>
        <v>0</v>
      </c>
      <c r="AI92" s="1">
        <f t="shared" si="65"/>
        <v>0</v>
      </c>
      <c r="AJ92" s="1">
        <f t="shared" si="66"/>
        <v>0</v>
      </c>
      <c r="AK92">
        <f t="shared" si="67"/>
        <v>0</v>
      </c>
      <c r="AL92">
        <f t="shared" si="68"/>
        <v>0</v>
      </c>
      <c r="AM92">
        <f t="shared" si="69"/>
        <v>0</v>
      </c>
      <c r="AN92">
        <f t="shared" si="70"/>
        <v>0</v>
      </c>
      <c r="AO92">
        <f t="shared" si="71"/>
        <v>0</v>
      </c>
      <c r="AP92">
        <f t="shared" si="72"/>
        <v>0</v>
      </c>
      <c r="AQ92">
        <f t="shared" si="73"/>
        <v>0</v>
      </c>
      <c r="AR92">
        <f t="shared" si="74"/>
        <v>0</v>
      </c>
      <c r="AS92">
        <f t="shared" si="75"/>
        <v>0</v>
      </c>
      <c r="AT92" s="1">
        <f t="shared" si="76"/>
        <v>0</v>
      </c>
      <c r="AU92" s="1">
        <f t="shared" si="77"/>
        <v>0</v>
      </c>
      <c r="AV92">
        <f t="shared" si="78"/>
        <v>0</v>
      </c>
      <c r="AW92">
        <f t="shared" si="79"/>
        <v>0</v>
      </c>
      <c r="AX92">
        <f t="shared" si="80"/>
        <v>0</v>
      </c>
      <c r="AY92">
        <f t="shared" si="81"/>
        <v>0</v>
      </c>
      <c r="AZ92">
        <f t="shared" si="82"/>
        <v>0</v>
      </c>
      <c r="BA92">
        <f t="shared" si="83"/>
        <v>0</v>
      </c>
      <c r="BB92">
        <f t="shared" si="84"/>
        <v>0</v>
      </c>
      <c r="BC92">
        <f t="shared" si="85"/>
        <v>0</v>
      </c>
      <c r="BD92">
        <f t="shared" si="86"/>
        <v>0</v>
      </c>
    </row>
    <row r="93" spans="1:56" x14ac:dyDescent="0.25">
      <c r="A93" s="1">
        <v>76</v>
      </c>
      <c r="B93" s="2">
        <v>0</v>
      </c>
      <c r="C93" s="2">
        <v>0</v>
      </c>
      <c r="D93" s="2">
        <v>0</v>
      </c>
      <c r="E93" s="2">
        <v>0</v>
      </c>
      <c r="F93" s="1">
        <f t="shared" si="87"/>
        <v>0</v>
      </c>
      <c r="G93" s="1">
        <f t="shared" si="88"/>
        <v>0</v>
      </c>
      <c r="H93" s="1">
        <f t="shared" si="89"/>
        <v>0</v>
      </c>
      <c r="I93" s="1">
        <f t="shared" si="90"/>
        <v>0</v>
      </c>
      <c r="J93" s="1">
        <f t="shared" si="91"/>
        <v>0</v>
      </c>
      <c r="K93" s="1">
        <f t="shared" si="92"/>
        <v>0</v>
      </c>
      <c r="L93" s="1">
        <f t="shared" si="93"/>
        <v>0</v>
      </c>
      <c r="M93" s="1">
        <f t="shared" si="94"/>
        <v>0</v>
      </c>
      <c r="N93" s="1">
        <f t="shared" si="95"/>
        <v>0</v>
      </c>
      <c r="O93" s="1">
        <f t="shared" si="96"/>
        <v>-0.64772727272727271</v>
      </c>
      <c r="P93" s="1">
        <f t="shared" si="97"/>
        <v>-3.1477272727272729</v>
      </c>
      <c r="Q93" s="1">
        <f t="shared" si="98"/>
        <v>0</v>
      </c>
      <c r="R93" s="1">
        <f t="shared" si="53"/>
        <v>0</v>
      </c>
      <c r="S93" s="1">
        <f t="shared" si="99"/>
        <v>0</v>
      </c>
      <c r="T93" s="7">
        <f t="shared" si="100"/>
        <v>-0.64772727272727271</v>
      </c>
      <c r="U93" s="7">
        <f t="shared" si="101"/>
        <v>-3.1477272727272729</v>
      </c>
      <c r="V93" s="7">
        <f t="shared" si="102"/>
        <v>-0.64772727272727271</v>
      </c>
      <c r="W93" s="7">
        <f t="shared" si="103"/>
        <v>-3.1477272727272729</v>
      </c>
      <c r="X93" s="1">
        <f t="shared" si="54"/>
        <v>0</v>
      </c>
      <c r="Y93" s="1">
        <f t="shared" si="55"/>
        <v>0</v>
      </c>
      <c r="Z93">
        <f t="shared" si="56"/>
        <v>0</v>
      </c>
      <c r="AA93">
        <f t="shared" si="57"/>
        <v>0</v>
      </c>
      <c r="AB93">
        <f t="shared" si="58"/>
        <v>0</v>
      </c>
      <c r="AC93">
        <f t="shared" si="59"/>
        <v>0</v>
      </c>
      <c r="AD93">
        <f t="shared" si="60"/>
        <v>0</v>
      </c>
      <c r="AE93">
        <f t="shared" si="61"/>
        <v>0</v>
      </c>
      <c r="AF93">
        <f t="shared" si="62"/>
        <v>0</v>
      </c>
      <c r="AG93">
        <f t="shared" si="63"/>
        <v>0</v>
      </c>
      <c r="AH93">
        <f t="shared" si="64"/>
        <v>0</v>
      </c>
      <c r="AI93" s="1">
        <f t="shared" si="65"/>
        <v>0</v>
      </c>
      <c r="AJ93" s="1">
        <f t="shared" si="66"/>
        <v>0</v>
      </c>
      <c r="AK93">
        <f t="shared" si="67"/>
        <v>0</v>
      </c>
      <c r="AL93">
        <f t="shared" si="68"/>
        <v>0</v>
      </c>
      <c r="AM93">
        <f t="shared" si="69"/>
        <v>0</v>
      </c>
      <c r="AN93">
        <f t="shared" si="70"/>
        <v>0</v>
      </c>
      <c r="AO93">
        <f t="shared" si="71"/>
        <v>0</v>
      </c>
      <c r="AP93">
        <f t="shared" si="72"/>
        <v>0</v>
      </c>
      <c r="AQ93">
        <f t="shared" si="73"/>
        <v>0</v>
      </c>
      <c r="AR93">
        <f t="shared" si="74"/>
        <v>0</v>
      </c>
      <c r="AS93">
        <f t="shared" si="75"/>
        <v>0</v>
      </c>
      <c r="AT93" s="1">
        <f t="shared" si="76"/>
        <v>0</v>
      </c>
      <c r="AU93" s="1">
        <f t="shared" si="77"/>
        <v>0</v>
      </c>
      <c r="AV93">
        <f t="shared" si="78"/>
        <v>0</v>
      </c>
      <c r="AW93">
        <f t="shared" si="79"/>
        <v>0</v>
      </c>
      <c r="AX93">
        <f t="shared" si="80"/>
        <v>0</v>
      </c>
      <c r="AY93">
        <f t="shared" si="81"/>
        <v>0</v>
      </c>
      <c r="AZ93">
        <f t="shared" si="82"/>
        <v>0</v>
      </c>
      <c r="BA93">
        <f t="shared" si="83"/>
        <v>0</v>
      </c>
      <c r="BB93">
        <f t="shared" si="84"/>
        <v>0</v>
      </c>
      <c r="BC93">
        <f t="shared" si="85"/>
        <v>0</v>
      </c>
      <c r="BD93">
        <f t="shared" si="86"/>
        <v>0</v>
      </c>
    </row>
    <row r="94" spans="1:56" x14ac:dyDescent="0.25">
      <c r="A94" s="1">
        <v>77</v>
      </c>
      <c r="B94" s="2">
        <v>0</v>
      </c>
      <c r="C94" s="2">
        <v>0</v>
      </c>
      <c r="D94" s="2">
        <v>0</v>
      </c>
      <c r="E94" s="2">
        <v>0</v>
      </c>
      <c r="F94" s="1">
        <f t="shared" si="87"/>
        <v>0</v>
      </c>
      <c r="G94" s="1">
        <f t="shared" si="88"/>
        <v>0</v>
      </c>
      <c r="H94" s="1">
        <f t="shared" si="89"/>
        <v>0</v>
      </c>
      <c r="I94" s="1">
        <f t="shared" si="90"/>
        <v>0</v>
      </c>
      <c r="J94" s="1">
        <f t="shared" si="91"/>
        <v>0</v>
      </c>
      <c r="K94" s="1">
        <f t="shared" si="92"/>
        <v>0</v>
      </c>
      <c r="L94" s="1">
        <f t="shared" si="93"/>
        <v>0</v>
      </c>
      <c r="M94" s="1">
        <f t="shared" si="94"/>
        <v>0</v>
      </c>
      <c r="N94" s="1">
        <f t="shared" si="95"/>
        <v>0</v>
      </c>
      <c r="O94" s="1">
        <f t="shared" si="96"/>
        <v>-0.64772727272727271</v>
      </c>
      <c r="P94" s="1">
        <f t="shared" si="97"/>
        <v>-3.1477272727272729</v>
      </c>
      <c r="Q94" s="1">
        <f t="shared" si="98"/>
        <v>0</v>
      </c>
      <c r="R94" s="1">
        <f t="shared" si="53"/>
        <v>0</v>
      </c>
      <c r="S94" s="1">
        <f t="shared" si="99"/>
        <v>0</v>
      </c>
      <c r="T94" s="7">
        <f t="shared" si="100"/>
        <v>-0.64772727272727271</v>
      </c>
      <c r="U94" s="7">
        <f t="shared" si="101"/>
        <v>-3.1477272727272729</v>
      </c>
      <c r="V94" s="7">
        <f t="shared" si="102"/>
        <v>-0.64772727272727271</v>
      </c>
      <c r="W94" s="7">
        <f t="shared" si="103"/>
        <v>-3.1477272727272729</v>
      </c>
      <c r="X94" s="1">
        <f t="shared" si="54"/>
        <v>0</v>
      </c>
      <c r="Y94" s="1">
        <f t="shared" si="55"/>
        <v>0</v>
      </c>
      <c r="Z94">
        <f t="shared" si="56"/>
        <v>0</v>
      </c>
      <c r="AA94">
        <f t="shared" si="57"/>
        <v>0</v>
      </c>
      <c r="AB94">
        <f t="shared" si="58"/>
        <v>0</v>
      </c>
      <c r="AC94">
        <f t="shared" si="59"/>
        <v>0</v>
      </c>
      <c r="AD94">
        <f t="shared" si="60"/>
        <v>0</v>
      </c>
      <c r="AE94">
        <f t="shared" si="61"/>
        <v>0</v>
      </c>
      <c r="AF94">
        <f t="shared" si="62"/>
        <v>0</v>
      </c>
      <c r="AG94">
        <f t="shared" si="63"/>
        <v>0</v>
      </c>
      <c r="AH94">
        <f t="shared" si="64"/>
        <v>0</v>
      </c>
      <c r="AI94" s="1">
        <f t="shared" si="65"/>
        <v>0</v>
      </c>
      <c r="AJ94" s="1">
        <f t="shared" si="66"/>
        <v>0</v>
      </c>
      <c r="AK94">
        <f t="shared" si="67"/>
        <v>0</v>
      </c>
      <c r="AL94">
        <f t="shared" si="68"/>
        <v>0</v>
      </c>
      <c r="AM94">
        <f t="shared" si="69"/>
        <v>0</v>
      </c>
      <c r="AN94">
        <f t="shared" si="70"/>
        <v>0</v>
      </c>
      <c r="AO94">
        <f t="shared" si="71"/>
        <v>0</v>
      </c>
      <c r="AP94">
        <f t="shared" si="72"/>
        <v>0</v>
      </c>
      <c r="AQ94">
        <f t="shared" si="73"/>
        <v>0</v>
      </c>
      <c r="AR94">
        <f t="shared" si="74"/>
        <v>0</v>
      </c>
      <c r="AS94">
        <f t="shared" si="75"/>
        <v>0</v>
      </c>
      <c r="AT94" s="1">
        <f t="shared" si="76"/>
        <v>0</v>
      </c>
      <c r="AU94" s="1">
        <f t="shared" si="77"/>
        <v>0</v>
      </c>
      <c r="AV94">
        <f t="shared" si="78"/>
        <v>0</v>
      </c>
      <c r="AW94">
        <f t="shared" si="79"/>
        <v>0</v>
      </c>
      <c r="AX94">
        <f t="shared" si="80"/>
        <v>0</v>
      </c>
      <c r="AY94">
        <f t="shared" si="81"/>
        <v>0</v>
      </c>
      <c r="AZ94">
        <f t="shared" si="82"/>
        <v>0</v>
      </c>
      <c r="BA94">
        <f t="shared" si="83"/>
        <v>0</v>
      </c>
      <c r="BB94">
        <f t="shared" si="84"/>
        <v>0</v>
      </c>
      <c r="BC94">
        <f t="shared" si="85"/>
        <v>0</v>
      </c>
      <c r="BD94">
        <f t="shared" si="86"/>
        <v>0</v>
      </c>
    </row>
    <row r="95" spans="1:56" x14ac:dyDescent="0.25">
      <c r="A95" s="1">
        <v>78</v>
      </c>
      <c r="B95" s="2">
        <v>0</v>
      </c>
      <c r="C95" s="2">
        <v>0</v>
      </c>
      <c r="D95" s="2">
        <v>0</v>
      </c>
      <c r="E95" s="2">
        <v>0</v>
      </c>
      <c r="F95" s="1">
        <f t="shared" si="87"/>
        <v>0</v>
      </c>
      <c r="G95" s="1">
        <f t="shared" si="88"/>
        <v>0</v>
      </c>
      <c r="H95" s="1">
        <f t="shared" si="89"/>
        <v>0</v>
      </c>
      <c r="I95" s="1">
        <f t="shared" si="90"/>
        <v>0</v>
      </c>
      <c r="J95" s="1">
        <f t="shared" si="91"/>
        <v>0</v>
      </c>
      <c r="K95" s="1">
        <f t="shared" si="92"/>
        <v>0</v>
      </c>
      <c r="L95" s="1">
        <f t="shared" si="93"/>
        <v>0</v>
      </c>
      <c r="M95" s="1">
        <f t="shared" si="94"/>
        <v>0</v>
      </c>
      <c r="N95" s="1">
        <f t="shared" si="95"/>
        <v>0</v>
      </c>
      <c r="O95" s="1">
        <f t="shared" si="96"/>
        <v>-0.64772727272727271</v>
      </c>
      <c r="P95" s="1">
        <f t="shared" si="97"/>
        <v>-3.1477272727272729</v>
      </c>
      <c r="Q95" s="1">
        <f t="shared" si="98"/>
        <v>0</v>
      </c>
      <c r="R95" s="1">
        <f t="shared" si="53"/>
        <v>0</v>
      </c>
      <c r="S95" s="1">
        <f t="shared" si="99"/>
        <v>0</v>
      </c>
      <c r="T95" s="7">
        <f t="shared" si="100"/>
        <v>-0.64772727272727271</v>
      </c>
      <c r="U95" s="7">
        <f t="shared" si="101"/>
        <v>-3.1477272727272729</v>
      </c>
      <c r="V95" s="7">
        <f t="shared" si="102"/>
        <v>-0.64772727272727271</v>
      </c>
      <c r="W95" s="7">
        <f t="shared" si="103"/>
        <v>-3.1477272727272729</v>
      </c>
      <c r="X95" s="1">
        <f t="shared" si="54"/>
        <v>0</v>
      </c>
      <c r="Y95" s="1">
        <f t="shared" si="55"/>
        <v>0</v>
      </c>
      <c r="Z95">
        <f t="shared" si="56"/>
        <v>0</v>
      </c>
      <c r="AA95">
        <f t="shared" si="57"/>
        <v>0</v>
      </c>
      <c r="AB95">
        <f t="shared" si="58"/>
        <v>0</v>
      </c>
      <c r="AC95">
        <f t="shared" si="59"/>
        <v>0</v>
      </c>
      <c r="AD95">
        <f t="shared" si="60"/>
        <v>0</v>
      </c>
      <c r="AE95">
        <f t="shared" si="61"/>
        <v>0</v>
      </c>
      <c r="AF95">
        <f t="shared" si="62"/>
        <v>0</v>
      </c>
      <c r="AG95">
        <f t="shared" si="63"/>
        <v>0</v>
      </c>
      <c r="AH95">
        <f t="shared" si="64"/>
        <v>0</v>
      </c>
      <c r="AI95" s="1">
        <f t="shared" si="65"/>
        <v>0</v>
      </c>
      <c r="AJ95" s="1">
        <f t="shared" si="66"/>
        <v>0</v>
      </c>
      <c r="AK95">
        <f t="shared" si="67"/>
        <v>0</v>
      </c>
      <c r="AL95">
        <f t="shared" si="68"/>
        <v>0</v>
      </c>
      <c r="AM95">
        <f t="shared" si="69"/>
        <v>0</v>
      </c>
      <c r="AN95">
        <f t="shared" si="70"/>
        <v>0</v>
      </c>
      <c r="AO95">
        <f t="shared" si="71"/>
        <v>0</v>
      </c>
      <c r="AP95">
        <f t="shared" si="72"/>
        <v>0</v>
      </c>
      <c r="AQ95">
        <f t="shared" si="73"/>
        <v>0</v>
      </c>
      <c r="AR95">
        <f t="shared" si="74"/>
        <v>0</v>
      </c>
      <c r="AS95">
        <f t="shared" si="75"/>
        <v>0</v>
      </c>
      <c r="AT95" s="1">
        <f t="shared" si="76"/>
        <v>0</v>
      </c>
      <c r="AU95" s="1">
        <f t="shared" si="77"/>
        <v>0</v>
      </c>
      <c r="AV95">
        <f t="shared" si="78"/>
        <v>0</v>
      </c>
      <c r="AW95">
        <f t="shared" si="79"/>
        <v>0</v>
      </c>
      <c r="AX95">
        <f t="shared" si="80"/>
        <v>0</v>
      </c>
      <c r="AY95">
        <f t="shared" si="81"/>
        <v>0</v>
      </c>
      <c r="AZ95">
        <f t="shared" si="82"/>
        <v>0</v>
      </c>
      <c r="BA95">
        <f t="shared" si="83"/>
        <v>0</v>
      </c>
      <c r="BB95">
        <f t="shared" si="84"/>
        <v>0</v>
      </c>
      <c r="BC95">
        <f t="shared" si="85"/>
        <v>0</v>
      </c>
      <c r="BD95">
        <f t="shared" si="86"/>
        <v>0</v>
      </c>
    </row>
    <row r="96" spans="1:56" x14ac:dyDescent="0.25">
      <c r="A96" s="1">
        <v>79</v>
      </c>
      <c r="B96" s="2">
        <v>0</v>
      </c>
      <c r="C96" s="2">
        <v>0</v>
      </c>
      <c r="D96" s="2">
        <v>0</v>
      </c>
      <c r="E96" s="2">
        <v>0</v>
      </c>
      <c r="F96" s="1">
        <f t="shared" si="87"/>
        <v>0</v>
      </c>
      <c r="G96" s="1">
        <f t="shared" si="88"/>
        <v>0</v>
      </c>
      <c r="H96" s="1">
        <f t="shared" si="89"/>
        <v>0</v>
      </c>
      <c r="I96" s="1">
        <f t="shared" si="90"/>
        <v>0</v>
      </c>
      <c r="J96" s="1">
        <f t="shared" si="91"/>
        <v>0</v>
      </c>
      <c r="K96" s="1">
        <f t="shared" si="92"/>
        <v>0</v>
      </c>
      <c r="L96" s="1">
        <f t="shared" si="93"/>
        <v>0</v>
      </c>
      <c r="M96" s="1">
        <f t="shared" si="94"/>
        <v>0</v>
      </c>
      <c r="N96" s="1">
        <f t="shared" si="95"/>
        <v>0</v>
      </c>
      <c r="O96" s="1">
        <f t="shared" si="96"/>
        <v>-0.64772727272727271</v>
      </c>
      <c r="P96" s="1">
        <f t="shared" si="97"/>
        <v>-3.1477272727272729</v>
      </c>
      <c r="Q96" s="1">
        <f t="shared" si="98"/>
        <v>0</v>
      </c>
      <c r="R96" s="1">
        <f t="shared" si="53"/>
        <v>0</v>
      </c>
      <c r="S96" s="1">
        <f t="shared" si="99"/>
        <v>0</v>
      </c>
      <c r="T96" s="7">
        <f t="shared" si="100"/>
        <v>-0.64772727272727271</v>
      </c>
      <c r="U96" s="7">
        <f t="shared" si="101"/>
        <v>-3.1477272727272729</v>
      </c>
      <c r="V96" s="7">
        <f t="shared" si="102"/>
        <v>-0.64772727272727271</v>
      </c>
      <c r="W96" s="7">
        <f t="shared" si="103"/>
        <v>-3.1477272727272729</v>
      </c>
      <c r="X96" s="1">
        <f t="shared" si="54"/>
        <v>0</v>
      </c>
      <c r="Y96" s="1">
        <f t="shared" si="55"/>
        <v>0</v>
      </c>
      <c r="Z96">
        <f t="shared" si="56"/>
        <v>0</v>
      </c>
      <c r="AA96">
        <f t="shared" si="57"/>
        <v>0</v>
      </c>
      <c r="AB96">
        <f t="shared" si="58"/>
        <v>0</v>
      </c>
      <c r="AC96">
        <f t="shared" si="59"/>
        <v>0</v>
      </c>
      <c r="AD96">
        <f t="shared" si="60"/>
        <v>0</v>
      </c>
      <c r="AE96">
        <f t="shared" si="61"/>
        <v>0</v>
      </c>
      <c r="AF96">
        <f t="shared" si="62"/>
        <v>0</v>
      </c>
      <c r="AG96">
        <f t="shared" si="63"/>
        <v>0</v>
      </c>
      <c r="AH96">
        <f t="shared" si="64"/>
        <v>0</v>
      </c>
      <c r="AI96" s="1">
        <f t="shared" si="65"/>
        <v>0</v>
      </c>
      <c r="AJ96" s="1">
        <f t="shared" si="66"/>
        <v>0</v>
      </c>
      <c r="AK96">
        <f t="shared" si="67"/>
        <v>0</v>
      </c>
      <c r="AL96">
        <f t="shared" si="68"/>
        <v>0</v>
      </c>
      <c r="AM96">
        <f t="shared" si="69"/>
        <v>0</v>
      </c>
      <c r="AN96">
        <f t="shared" si="70"/>
        <v>0</v>
      </c>
      <c r="AO96">
        <f t="shared" si="71"/>
        <v>0</v>
      </c>
      <c r="AP96">
        <f t="shared" si="72"/>
        <v>0</v>
      </c>
      <c r="AQ96">
        <f t="shared" si="73"/>
        <v>0</v>
      </c>
      <c r="AR96">
        <f t="shared" si="74"/>
        <v>0</v>
      </c>
      <c r="AS96">
        <f t="shared" si="75"/>
        <v>0</v>
      </c>
      <c r="AT96" s="1">
        <f t="shared" si="76"/>
        <v>0</v>
      </c>
      <c r="AU96" s="1">
        <f t="shared" si="77"/>
        <v>0</v>
      </c>
      <c r="AV96">
        <f t="shared" si="78"/>
        <v>0</v>
      </c>
      <c r="AW96">
        <f t="shared" si="79"/>
        <v>0</v>
      </c>
      <c r="AX96">
        <f t="shared" si="80"/>
        <v>0</v>
      </c>
      <c r="AY96">
        <f t="shared" si="81"/>
        <v>0</v>
      </c>
      <c r="AZ96">
        <f t="shared" si="82"/>
        <v>0</v>
      </c>
      <c r="BA96">
        <f t="shared" si="83"/>
        <v>0</v>
      </c>
      <c r="BB96">
        <f t="shared" si="84"/>
        <v>0</v>
      </c>
      <c r="BC96">
        <f t="shared" si="85"/>
        <v>0</v>
      </c>
      <c r="BD96">
        <f t="shared" si="86"/>
        <v>0</v>
      </c>
    </row>
    <row r="97" spans="1:56" x14ac:dyDescent="0.25">
      <c r="A97" s="1">
        <v>80</v>
      </c>
      <c r="B97" s="2">
        <v>0</v>
      </c>
      <c r="C97" s="2">
        <v>0</v>
      </c>
      <c r="D97" s="2">
        <v>0</v>
      </c>
      <c r="E97" s="2">
        <v>0</v>
      </c>
      <c r="F97" s="1">
        <f t="shared" si="87"/>
        <v>0</v>
      </c>
      <c r="G97" s="1">
        <f t="shared" si="88"/>
        <v>0</v>
      </c>
      <c r="H97" s="1">
        <f t="shared" si="89"/>
        <v>0</v>
      </c>
      <c r="I97" s="1">
        <f t="shared" si="90"/>
        <v>0</v>
      </c>
      <c r="J97" s="1">
        <f t="shared" si="91"/>
        <v>0</v>
      </c>
      <c r="K97" s="1">
        <f t="shared" si="92"/>
        <v>0</v>
      </c>
      <c r="L97" s="1">
        <f t="shared" si="93"/>
        <v>0</v>
      </c>
      <c r="M97" s="1">
        <f t="shared" si="94"/>
        <v>0</v>
      </c>
      <c r="N97" s="1">
        <f t="shared" si="95"/>
        <v>0</v>
      </c>
      <c r="O97" s="1">
        <f t="shared" si="96"/>
        <v>-0.64772727272727271</v>
      </c>
      <c r="P97" s="1">
        <f t="shared" si="97"/>
        <v>-3.1477272727272729</v>
      </c>
      <c r="Q97" s="1">
        <f t="shared" si="98"/>
        <v>0</v>
      </c>
      <c r="R97" s="1">
        <f t="shared" si="53"/>
        <v>0</v>
      </c>
      <c r="S97" s="1">
        <f t="shared" si="99"/>
        <v>0</v>
      </c>
      <c r="T97" s="7">
        <f t="shared" si="100"/>
        <v>-0.64772727272727271</v>
      </c>
      <c r="U97" s="7">
        <f t="shared" si="101"/>
        <v>-3.1477272727272729</v>
      </c>
      <c r="V97" s="7">
        <f t="shared" si="102"/>
        <v>-0.64772727272727271</v>
      </c>
      <c r="W97" s="7">
        <f t="shared" si="103"/>
        <v>-3.1477272727272729</v>
      </c>
      <c r="X97" s="1">
        <f t="shared" si="54"/>
        <v>0</v>
      </c>
      <c r="Y97" s="1">
        <f t="shared" si="55"/>
        <v>0</v>
      </c>
      <c r="Z97">
        <f t="shared" si="56"/>
        <v>0</v>
      </c>
      <c r="AA97">
        <f t="shared" si="57"/>
        <v>0</v>
      </c>
      <c r="AB97">
        <f t="shared" si="58"/>
        <v>0</v>
      </c>
      <c r="AC97">
        <f t="shared" si="59"/>
        <v>0</v>
      </c>
      <c r="AD97">
        <f t="shared" si="60"/>
        <v>0</v>
      </c>
      <c r="AE97">
        <f t="shared" si="61"/>
        <v>0</v>
      </c>
      <c r="AF97">
        <f t="shared" si="62"/>
        <v>0</v>
      </c>
      <c r="AG97">
        <f t="shared" si="63"/>
        <v>0</v>
      </c>
      <c r="AH97">
        <f t="shared" si="64"/>
        <v>0</v>
      </c>
      <c r="AI97" s="1">
        <f t="shared" si="65"/>
        <v>0</v>
      </c>
      <c r="AJ97" s="1">
        <f t="shared" si="66"/>
        <v>0</v>
      </c>
      <c r="AK97">
        <f t="shared" si="67"/>
        <v>0</v>
      </c>
      <c r="AL97">
        <f t="shared" si="68"/>
        <v>0</v>
      </c>
      <c r="AM97">
        <f t="shared" si="69"/>
        <v>0</v>
      </c>
      <c r="AN97">
        <f t="shared" si="70"/>
        <v>0</v>
      </c>
      <c r="AO97">
        <f t="shared" si="71"/>
        <v>0</v>
      </c>
      <c r="AP97">
        <f t="shared" si="72"/>
        <v>0</v>
      </c>
      <c r="AQ97">
        <f t="shared" si="73"/>
        <v>0</v>
      </c>
      <c r="AR97">
        <f t="shared" si="74"/>
        <v>0</v>
      </c>
      <c r="AS97">
        <f t="shared" si="75"/>
        <v>0</v>
      </c>
      <c r="AT97" s="1">
        <f t="shared" si="76"/>
        <v>0</v>
      </c>
      <c r="AU97" s="1">
        <f t="shared" si="77"/>
        <v>0</v>
      </c>
      <c r="AV97">
        <f t="shared" si="78"/>
        <v>0</v>
      </c>
      <c r="AW97">
        <f t="shared" si="79"/>
        <v>0</v>
      </c>
      <c r="AX97">
        <f t="shared" si="80"/>
        <v>0</v>
      </c>
      <c r="AY97">
        <f t="shared" si="81"/>
        <v>0</v>
      </c>
      <c r="AZ97">
        <f t="shared" si="82"/>
        <v>0</v>
      </c>
      <c r="BA97">
        <f t="shared" si="83"/>
        <v>0</v>
      </c>
      <c r="BB97">
        <f t="shared" si="84"/>
        <v>0</v>
      </c>
      <c r="BC97">
        <f t="shared" si="85"/>
        <v>0</v>
      </c>
      <c r="BD97">
        <f t="shared" si="86"/>
        <v>0</v>
      </c>
    </row>
    <row r="98" spans="1:56" x14ac:dyDescent="0.25">
      <c r="A98" s="1">
        <v>81</v>
      </c>
      <c r="B98" s="2">
        <v>0</v>
      </c>
      <c r="C98" s="2">
        <v>0</v>
      </c>
      <c r="D98" s="2">
        <v>0</v>
      </c>
      <c r="E98" s="2">
        <v>0</v>
      </c>
      <c r="F98" s="1">
        <f t="shared" si="87"/>
        <v>0</v>
      </c>
      <c r="G98" s="1">
        <f t="shared" si="88"/>
        <v>0</v>
      </c>
      <c r="H98" s="1">
        <f t="shared" si="89"/>
        <v>0</v>
      </c>
      <c r="I98" s="1">
        <f t="shared" si="90"/>
        <v>0</v>
      </c>
      <c r="J98" s="1">
        <f t="shared" si="91"/>
        <v>0</v>
      </c>
      <c r="K98" s="1">
        <f t="shared" si="92"/>
        <v>0</v>
      </c>
      <c r="L98" s="1">
        <f t="shared" si="93"/>
        <v>0</v>
      </c>
      <c r="M98" s="1">
        <f t="shared" si="94"/>
        <v>0</v>
      </c>
      <c r="N98" s="1">
        <f t="shared" si="95"/>
        <v>0</v>
      </c>
      <c r="O98" s="1">
        <f t="shared" si="96"/>
        <v>-0.64772727272727271</v>
      </c>
      <c r="P98" s="1">
        <f t="shared" si="97"/>
        <v>-3.1477272727272729</v>
      </c>
      <c r="Q98" s="1">
        <f t="shared" si="98"/>
        <v>0</v>
      </c>
      <c r="R98" s="1">
        <f t="shared" si="53"/>
        <v>0</v>
      </c>
      <c r="S98" s="1">
        <f t="shared" si="99"/>
        <v>0</v>
      </c>
      <c r="T98" s="7">
        <f t="shared" si="100"/>
        <v>-0.64772727272727271</v>
      </c>
      <c r="U98" s="7">
        <f t="shared" si="101"/>
        <v>-3.1477272727272729</v>
      </c>
      <c r="V98" s="7">
        <f t="shared" si="102"/>
        <v>-0.64772727272727271</v>
      </c>
      <c r="W98" s="7">
        <f t="shared" si="103"/>
        <v>-3.1477272727272729</v>
      </c>
      <c r="X98" s="1">
        <f t="shared" si="54"/>
        <v>0</v>
      </c>
      <c r="Y98" s="1">
        <f t="shared" si="55"/>
        <v>0</v>
      </c>
      <c r="Z98">
        <f t="shared" si="56"/>
        <v>0</v>
      </c>
      <c r="AA98">
        <f t="shared" si="57"/>
        <v>0</v>
      </c>
      <c r="AB98">
        <f t="shared" si="58"/>
        <v>0</v>
      </c>
      <c r="AC98">
        <f t="shared" si="59"/>
        <v>0</v>
      </c>
      <c r="AD98">
        <f t="shared" si="60"/>
        <v>0</v>
      </c>
      <c r="AE98">
        <f t="shared" si="61"/>
        <v>0</v>
      </c>
      <c r="AF98">
        <f t="shared" si="62"/>
        <v>0</v>
      </c>
      <c r="AG98">
        <f t="shared" si="63"/>
        <v>0</v>
      </c>
      <c r="AH98">
        <f t="shared" si="64"/>
        <v>0</v>
      </c>
      <c r="AI98" s="1">
        <f t="shared" si="65"/>
        <v>0</v>
      </c>
      <c r="AJ98" s="1">
        <f t="shared" si="66"/>
        <v>0</v>
      </c>
      <c r="AK98">
        <f t="shared" si="67"/>
        <v>0</v>
      </c>
      <c r="AL98">
        <f t="shared" si="68"/>
        <v>0</v>
      </c>
      <c r="AM98">
        <f t="shared" si="69"/>
        <v>0</v>
      </c>
      <c r="AN98">
        <f t="shared" si="70"/>
        <v>0</v>
      </c>
      <c r="AO98">
        <f t="shared" si="71"/>
        <v>0</v>
      </c>
      <c r="AP98">
        <f t="shared" si="72"/>
        <v>0</v>
      </c>
      <c r="AQ98">
        <f t="shared" si="73"/>
        <v>0</v>
      </c>
      <c r="AR98">
        <f t="shared" si="74"/>
        <v>0</v>
      </c>
      <c r="AS98">
        <f t="shared" si="75"/>
        <v>0</v>
      </c>
      <c r="AT98" s="1">
        <f t="shared" si="76"/>
        <v>0</v>
      </c>
      <c r="AU98" s="1">
        <f t="shared" si="77"/>
        <v>0</v>
      </c>
      <c r="AV98">
        <f t="shared" si="78"/>
        <v>0</v>
      </c>
      <c r="AW98">
        <f t="shared" si="79"/>
        <v>0</v>
      </c>
      <c r="AX98">
        <f t="shared" si="80"/>
        <v>0</v>
      </c>
      <c r="AY98">
        <f t="shared" si="81"/>
        <v>0</v>
      </c>
      <c r="AZ98">
        <f t="shared" si="82"/>
        <v>0</v>
      </c>
      <c r="BA98">
        <f t="shared" si="83"/>
        <v>0</v>
      </c>
      <c r="BB98">
        <f t="shared" si="84"/>
        <v>0</v>
      </c>
      <c r="BC98">
        <f t="shared" si="85"/>
        <v>0</v>
      </c>
      <c r="BD98">
        <f t="shared" si="86"/>
        <v>0</v>
      </c>
    </row>
    <row r="99" spans="1:56" x14ac:dyDescent="0.25">
      <c r="A99" s="1">
        <v>82</v>
      </c>
      <c r="B99" s="2">
        <v>0</v>
      </c>
      <c r="C99" s="2">
        <v>0</v>
      </c>
      <c r="D99" s="2">
        <v>0</v>
      </c>
      <c r="E99" s="2">
        <v>0</v>
      </c>
      <c r="F99" s="1">
        <f t="shared" si="87"/>
        <v>0</v>
      </c>
      <c r="G99" s="1">
        <f t="shared" si="88"/>
        <v>0</v>
      </c>
      <c r="H99" s="1">
        <f t="shared" si="89"/>
        <v>0</v>
      </c>
      <c r="I99" s="1">
        <f t="shared" si="90"/>
        <v>0</v>
      </c>
      <c r="J99" s="1">
        <f t="shared" si="91"/>
        <v>0</v>
      </c>
      <c r="K99" s="1">
        <f t="shared" si="92"/>
        <v>0</v>
      </c>
      <c r="L99" s="1">
        <f t="shared" si="93"/>
        <v>0</v>
      </c>
      <c r="M99" s="1">
        <f t="shared" si="94"/>
        <v>0</v>
      </c>
      <c r="N99" s="1">
        <f t="shared" si="95"/>
        <v>0</v>
      </c>
      <c r="O99" s="1">
        <f t="shared" si="96"/>
        <v>-0.64772727272727271</v>
      </c>
      <c r="P99" s="1">
        <f t="shared" si="97"/>
        <v>-3.1477272727272729</v>
      </c>
      <c r="Q99" s="1">
        <f t="shared" si="98"/>
        <v>0</v>
      </c>
      <c r="R99" s="1">
        <f t="shared" si="53"/>
        <v>0</v>
      </c>
      <c r="S99" s="1">
        <f t="shared" si="99"/>
        <v>0</v>
      </c>
      <c r="T99" s="7">
        <f t="shared" si="100"/>
        <v>-0.64772727272727271</v>
      </c>
      <c r="U99" s="7">
        <f t="shared" si="101"/>
        <v>-3.1477272727272729</v>
      </c>
      <c r="V99" s="7">
        <f t="shared" si="102"/>
        <v>-0.64772727272727271</v>
      </c>
      <c r="W99" s="7">
        <f t="shared" si="103"/>
        <v>-3.1477272727272729</v>
      </c>
      <c r="X99" s="1">
        <f t="shared" si="54"/>
        <v>0</v>
      </c>
      <c r="Y99" s="1">
        <f t="shared" si="55"/>
        <v>0</v>
      </c>
      <c r="Z99">
        <f t="shared" si="56"/>
        <v>0</v>
      </c>
      <c r="AA99">
        <f t="shared" si="57"/>
        <v>0</v>
      </c>
      <c r="AB99">
        <f t="shared" si="58"/>
        <v>0</v>
      </c>
      <c r="AC99">
        <f t="shared" si="59"/>
        <v>0</v>
      </c>
      <c r="AD99">
        <f t="shared" si="60"/>
        <v>0</v>
      </c>
      <c r="AE99">
        <f t="shared" si="61"/>
        <v>0</v>
      </c>
      <c r="AF99">
        <f t="shared" si="62"/>
        <v>0</v>
      </c>
      <c r="AG99">
        <f t="shared" si="63"/>
        <v>0</v>
      </c>
      <c r="AH99">
        <f t="shared" si="64"/>
        <v>0</v>
      </c>
      <c r="AI99" s="1">
        <f t="shared" si="65"/>
        <v>0</v>
      </c>
      <c r="AJ99" s="1">
        <f t="shared" si="66"/>
        <v>0</v>
      </c>
      <c r="AK99">
        <f t="shared" si="67"/>
        <v>0</v>
      </c>
      <c r="AL99">
        <f t="shared" si="68"/>
        <v>0</v>
      </c>
      <c r="AM99">
        <f t="shared" si="69"/>
        <v>0</v>
      </c>
      <c r="AN99">
        <f t="shared" si="70"/>
        <v>0</v>
      </c>
      <c r="AO99">
        <f t="shared" si="71"/>
        <v>0</v>
      </c>
      <c r="AP99">
        <f t="shared" si="72"/>
        <v>0</v>
      </c>
      <c r="AQ99">
        <f t="shared" si="73"/>
        <v>0</v>
      </c>
      <c r="AR99">
        <f t="shared" si="74"/>
        <v>0</v>
      </c>
      <c r="AS99">
        <f t="shared" si="75"/>
        <v>0</v>
      </c>
      <c r="AT99" s="1">
        <f t="shared" si="76"/>
        <v>0</v>
      </c>
      <c r="AU99" s="1">
        <f t="shared" si="77"/>
        <v>0</v>
      </c>
      <c r="AV99">
        <f t="shared" si="78"/>
        <v>0</v>
      </c>
      <c r="AW99">
        <f t="shared" si="79"/>
        <v>0</v>
      </c>
      <c r="AX99">
        <f t="shared" si="80"/>
        <v>0</v>
      </c>
      <c r="AY99">
        <f t="shared" si="81"/>
        <v>0</v>
      </c>
      <c r="AZ99">
        <f t="shared" si="82"/>
        <v>0</v>
      </c>
      <c r="BA99">
        <f t="shared" si="83"/>
        <v>0</v>
      </c>
      <c r="BB99">
        <f t="shared" si="84"/>
        <v>0</v>
      </c>
      <c r="BC99">
        <f t="shared" si="85"/>
        <v>0</v>
      </c>
      <c r="BD99">
        <f t="shared" si="86"/>
        <v>0</v>
      </c>
    </row>
    <row r="100" spans="1:56" x14ac:dyDescent="0.25">
      <c r="A100" s="1">
        <v>83</v>
      </c>
      <c r="B100" s="2">
        <v>0</v>
      </c>
      <c r="C100" s="2">
        <v>0</v>
      </c>
      <c r="D100" s="2">
        <v>0</v>
      </c>
      <c r="E100" s="2">
        <v>0</v>
      </c>
      <c r="F100" s="1">
        <f t="shared" si="87"/>
        <v>0</v>
      </c>
      <c r="G100" s="1">
        <f t="shared" si="88"/>
        <v>0</v>
      </c>
      <c r="H100" s="1">
        <f t="shared" si="89"/>
        <v>0</v>
      </c>
      <c r="I100" s="1">
        <f t="shared" si="90"/>
        <v>0</v>
      </c>
      <c r="J100" s="1">
        <f t="shared" si="91"/>
        <v>0</v>
      </c>
      <c r="K100" s="1">
        <f t="shared" si="92"/>
        <v>0</v>
      </c>
      <c r="L100" s="1">
        <f t="shared" si="93"/>
        <v>0</v>
      </c>
      <c r="M100" s="1">
        <f t="shared" si="94"/>
        <v>0</v>
      </c>
      <c r="N100" s="1">
        <f t="shared" si="95"/>
        <v>0</v>
      </c>
      <c r="O100" s="1">
        <f t="shared" si="96"/>
        <v>-0.64772727272727271</v>
      </c>
      <c r="P100" s="1">
        <f t="shared" si="97"/>
        <v>-3.1477272727272729</v>
      </c>
      <c r="Q100" s="1">
        <f t="shared" si="98"/>
        <v>0</v>
      </c>
      <c r="R100" s="1">
        <f t="shared" si="53"/>
        <v>0</v>
      </c>
      <c r="S100" s="1">
        <f t="shared" si="99"/>
        <v>0</v>
      </c>
      <c r="T100" s="7">
        <f t="shared" si="100"/>
        <v>-0.64772727272727271</v>
      </c>
      <c r="U100" s="7">
        <f t="shared" si="101"/>
        <v>-3.1477272727272729</v>
      </c>
      <c r="V100" s="7">
        <f t="shared" si="102"/>
        <v>-0.64772727272727271</v>
      </c>
      <c r="W100" s="7">
        <f t="shared" si="103"/>
        <v>-3.1477272727272729</v>
      </c>
      <c r="X100" s="1">
        <f t="shared" si="54"/>
        <v>0</v>
      </c>
      <c r="Y100" s="1">
        <f t="shared" si="55"/>
        <v>0</v>
      </c>
      <c r="Z100">
        <f t="shared" si="56"/>
        <v>0</v>
      </c>
      <c r="AA100">
        <f t="shared" si="57"/>
        <v>0</v>
      </c>
      <c r="AB100">
        <f t="shared" si="58"/>
        <v>0</v>
      </c>
      <c r="AC100">
        <f t="shared" si="59"/>
        <v>0</v>
      </c>
      <c r="AD100">
        <f t="shared" si="60"/>
        <v>0</v>
      </c>
      <c r="AE100">
        <f t="shared" si="61"/>
        <v>0</v>
      </c>
      <c r="AF100">
        <f t="shared" si="62"/>
        <v>0</v>
      </c>
      <c r="AG100">
        <f t="shared" si="63"/>
        <v>0</v>
      </c>
      <c r="AH100">
        <f t="shared" si="64"/>
        <v>0</v>
      </c>
      <c r="AI100" s="1">
        <f t="shared" si="65"/>
        <v>0</v>
      </c>
      <c r="AJ100" s="1">
        <f t="shared" si="66"/>
        <v>0</v>
      </c>
      <c r="AK100">
        <f t="shared" si="67"/>
        <v>0</v>
      </c>
      <c r="AL100">
        <f t="shared" si="68"/>
        <v>0</v>
      </c>
      <c r="AM100">
        <f t="shared" si="69"/>
        <v>0</v>
      </c>
      <c r="AN100">
        <f t="shared" si="70"/>
        <v>0</v>
      </c>
      <c r="AO100">
        <f t="shared" si="71"/>
        <v>0</v>
      </c>
      <c r="AP100">
        <f t="shared" si="72"/>
        <v>0</v>
      </c>
      <c r="AQ100">
        <f t="shared" si="73"/>
        <v>0</v>
      </c>
      <c r="AR100">
        <f t="shared" si="74"/>
        <v>0</v>
      </c>
      <c r="AS100">
        <f t="shared" si="75"/>
        <v>0</v>
      </c>
      <c r="AT100" s="1">
        <f t="shared" si="76"/>
        <v>0</v>
      </c>
      <c r="AU100" s="1">
        <f t="shared" si="77"/>
        <v>0</v>
      </c>
      <c r="AV100">
        <f t="shared" si="78"/>
        <v>0</v>
      </c>
      <c r="AW100">
        <f t="shared" si="79"/>
        <v>0</v>
      </c>
      <c r="AX100">
        <f t="shared" si="80"/>
        <v>0</v>
      </c>
      <c r="AY100">
        <f t="shared" si="81"/>
        <v>0</v>
      </c>
      <c r="AZ100">
        <f t="shared" si="82"/>
        <v>0</v>
      </c>
      <c r="BA100">
        <f t="shared" si="83"/>
        <v>0</v>
      </c>
      <c r="BB100">
        <f t="shared" si="84"/>
        <v>0</v>
      </c>
      <c r="BC100">
        <f t="shared" si="85"/>
        <v>0</v>
      </c>
      <c r="BD100">
        <f t="shared" si="86"/>
        <v>0</v>
      </c>
    </row>
    <row r="101" spans="1:56" x14ac:dyDescent="0.25">
      <c r="A101" s="1">
        <v>84</v>
      </c>
      <c r="B101" s="2">
        <v>0</v>
      </c>
      <c r="C101" s="2">
        <v>0</v>
      </c>
      <c r="D101" s="2">
        <v>0</v>
      </c>
      <c r="E101" s="2">
        <v>0</v>
      </c>
      <c r="F101" s="1">
        <f t="shared" si="87"/>
        <v>0</v>
      </c>
      <c r="G101" s="1">
        <f t="shared" si="88"/>
        <v>0</v>
      </c>
      <c r="H101" s="1">
        <f t="shared" si="89"/>
        <v>0</v>
      </c>
      <c r="I101" s="1">
        <f t="shared" si="90"/>
        <v>0</v>
      </c>
      <c r="J101" s="1">
        <f t="shared" si="91"/>
        <v>0</v>
      </c>
      <c r="K101" s="1">
        <f t="shared" si="92"/>
        <v>0</v>
      </c>
      <c r="L101" s="1">
        <f t="shared" si="93"/>
        <v>0</v>
      </c>
      <c r="M101" s="1">
        <f t="shared" si="94"/>
        <v>0</v>
      </c>
      <c r="N101" s="1">
        <f t="shared" si="95"/>
        <v>0</v>
      </c>
      <c r="O101" s="1">
        <f t="shared" si="96"/>
        <v>-0.64772727272727271</v>
      </c>
      <c r="P101" s="1">
        <f t="shared" si="97"/>
        <v>-3.1477272727272729</v>
      </c>
      <c r="Q101" s="1">
        <f t="shared" si="98"/>
        <v>0</v>
      </c>
      <c r="R101" s="1">
        <f t="shared" si="53"/>
        <v>0</v>
      </c>
      <c r="S101" s="1">
        <f t="shared" si="99"/>
        <v>0</v>
      </c>
      <c r="T101" s="7">
        <f t="shared" si="100"/>
        <v>-0.64772727272727271</v>
      </c>
      <c r="U101" s="7">
        <f t="shared" si="101"/>
        <v>-3.1477272727272729</v>
      </c>
      <c r="V101" s="7">
        <f t="shared" si="102"/>
        <v>-0.64772727272727271</v>
      </c>
      <c r="W101" s="7">
        <f t="shared" si="103"/>
        <v>-3.1477272727272729</v>
      </c>
      <c r="X101" s="1">
        <f t="shared" si="54"/>
        <v>0</v>
      </c>
      <c r="Y101" s="1">
        <f t="shared" si="55"/>
        <v>0</v>
      </c>
      <c r="Z101">
        <f t="shared" si="56"/>
        <v>0</v>
      </c>
      <c r="AA101">
        <f t="shared" si="57"/>
        <v>0</v>
      </c>
      <c r="AB101">
        <f t="shared" si="58"/>
        <v>0</v>
      </c>
      <c r="AC101">
        <f t="shared" si="59"/>
        <v>0</v>
      </c>
      <c r="AD101">
        <f t="shared" si="60"/>
        <v>0</v>
      </c>
      <c r="AE101">
        <f t="shared" si="61"/>
        <v>0</v>
      </c>
      <c r="AF101">
        <f t="shared" si="62"/>
        <v>0</v>
      </c>
      <c r="AG101">
        <f t="shared" si="63"/>
        <v>0</v>
      </c>
      <c r="AH101">
        <f t="shared" si="64"/>
        <v>0</v>
      </c>
      <c r="AI101" s="1">
        <f t="shared" si="65"/>
        <v>0</v>
      </c>
      <c r="AJ101" s="1">
        <f t="shared" si="66"/>
        <v>0</v>
      </c>
      <c r="AK101">
        <f t="shared" si="67"/>
        <v>0</v>
      </c>
      <c r="AL101">
        <f t="shared" si="68"/>
        <v>0</v>
      </c>
      <c r="AM101">
        <f t="shared" si="69"/>
        <v>0</v>
      </c>
      <c r="AN101">
        <f t="shared" si="70"/>
        <v>0</v>
      </c>
      <c r="AO101">
        <f t="shared" si="71"/>
        <v>0</v>
      </c>
      <c r="AP101">
        <f t="shared" si="72"/>
        <v>0</v>
      </c>
      <c r="AQ101">
        <f t="shared" si="73"/>
        <v>0</v>
      </c>
      <c r="AR101">
        <f t="shared" si="74"/>
        <v>0</v>
      </c>
      <c r="AS101">
        <f t="shared" si="75"/>
        <v>0</v>
      </c>
      <c r="AT101" s="1">
        <f t="shared" si="76"/>
        <v>0</v>
      </c>
      <c r="AU101" s="1">
        <f t="shared" si="77"/>
        <v>0</v>
      </c>
      <c r="AV101">
        <f t="shared" si="78"/>
        <v>0</v>
      </c>
      <c r="AW101">
        <f t="shared" si="79"/>
        <v>0</v>
      </c>
      <c r="AX101">
        <f t="shared" si="80"/>
        <v>0</v>
      </c>
      <c r="AY101">
        <f t="shared" si="81"/>
        <v>0</v>
      </c>
      <c r="AZ101">
        <f t="shared" si="82"/>
        <v>0</v>
      </c>
      <c r="BA101">
        <f t="shared" si="83"/>
        <v>0</v>
      </c>
      <c r="BB101">
        <f t="shared" si="84"/>
        <v>0</v>
      </c>
      <c r="BC101">
        <f t="shared" si="85"/>
        <v>0</v>
      </c>
      <c r="BD101">
        <f t="shared" si="86"/>
        <v>0</v>
      </c>
    </row>
    <row r="102" spans="1:56" x14ac:dyDescent="0.25">
      <c r="A102" s="1">
        <v>85</v>
      </c>
      <c r="B102" s="2">
        <v>0</v>
      </c>
      <c r="C102" s="2">
        <v>0</v>
      </c>
      <c r="D102" s="2">
        <v>0</v>
      </c>
      <c r="E102" s="2">
        <v>0</v>
      </c>
      <c r="F102" s="1">
        <f t="shared" si="87"/>
        <v>0</v>
      </c>
      <c r="G102" s="1">
        <f t="shared" si="88"/>
        <v>0</v>
      </c>
      <c r="H102" s="1">
        <f t="shared" si="89"/>
        <v>0</v>
      </c>
      <c r="I102" s="1">
        <f t="shared" si="90"/>
        <v>0</v>
      </c>
      <c r="J102" s="1">
        <f t="shared" si="91"/>
        <v>0</v>
      </c>
      <c r="K102" s="1">
        <f t="shared" si="92"/>
        <v>0</v>
      </c>
      <c r="L102" s="1">
        <f t="shared" si="93"/>
        <v>0</v>
      </c>
      <c r="M102" s="1">
        <f t="shared" si="94"/>
        <v>0</v>
      </c>
      <c r="N102" s="1">
        <f t="shared" si="95"/>
        <v>0</v>
      </c>
      <c r="O102" s="1">
        <f t="shared" si="96"/>
        <v>-0.64772727272727271</v>
      </c>
      <c r="P102" s="1">
        <f t="shared" si="97"/>
        <v>-3.1477272727272729</v>
      </c>
      <c r="Q102" s="1">
        <f t="shared" si="98"/>
        <v>0</v>
      </c>
      <c r="R102" s="1">
        <f t="shared" si="53"/>
        <v>0</v>
      </c>
      <c r="S102" s="1">
        <f t="shared" si="99"/>
        <v>0</v>
      </c>
      <c r="T102" s="7">
        <f t="shared" si="100"/>
        <v>-0.64772727272727271</v>
      </c>
      <c r="U102" s="7">
        <f t="shared" si="101"/>
        <v>-3.1477272727272729</v>
      </c>
      <c r="V102" s="7">
        <f t="shared" si="102"/>
        <v>-0.64772727272727271</v>
      </c>
      <c r="W102" s="7">
        <f t="shared" si="103"/>
        <v>-3.1477272727272729</v>
      </c>
      <c r="X102" s="1">
        <f t="shared" si="54"/>
        <v>0</v>
      </c>
      <c r="Y102" s="1">
        <f t="shared" si="55"/>
        <v>0</v>
      </c>
      <c r="Z102">
        <f t="shared" si="56"/>
        <v>0</v>
      </c>
      <c r="AA102">
        <f t="shared" si="57"/>
        <v>0</v>
      </c>
      <c r="AB102">
        <f t="shared" si="58"/>
        <v>0</v>
      </c>
      <c r="AC102">
        <f t="shared" si="59"/>
        <v>0</v>
      </c>
      <c r="AD102">
        <f t="shared" si="60"/>
        <v>0</v>
      </c>
      <c r="AE102">
        <f t="shared" si="61"/>
        <v>0</v>
      </c>
      <c r="AF102">
        <f t="shared" si="62"/>
        <v>0</v>
      </c>
      <c r="AG102">
        <f t="shared" si="63"/>
        <v>0</v>
      </c>
      <c r="AH102">
        <f t="shared" si="64"/>
        <v>0</v>
      </c>
      <c r="AI102" s="1">
        <f t="shared" si="65"/>
        <v>0</v>
      </c>
      <c r="AJ102" s="1">
        <f t="shared" si="66"/>
        <v>0</v>
      </c>
      <c r="AK102">
        <f t="shared" si="67"/>
        <v>0</v>
      </c>
      <c r="AL102">
        <f t="shared" si="68"/>
        <v>0</v>
      </c>
      <c r="AM102">
        <f t="shared" si="69"/>
        <v>0</v>
      </c>
      <c r="AN102">
        <f t="shared" si="70"/>
        <v>0</v>
      </c>
      <c r="AO102">
        <f t="shared" si="71"/>
        <v>0</v>
      </c>
      <c r="AP102">
        <f t="shared" si="72"/>
        <v>0</v>
      </c>
      <c r="AQ102">
        <f t="shared" si="73"/>
        <v>0</v>
      </c>
      <c r="AR102">
        <f t="shared" si="74"/>
        <v>0</v>
      </c>
      <c r="AS102">
        <f t="shared" si="75"/>
        <v>0</v>
      </c>
      <c r="AT102" s="1">
        <f t="shared" si="76"/>
        <v>0</v>
      </c>
      <c r="AU102" s="1">
        <f t="shared" si="77"/>
        <v>0</v>
      </c>
      <c r="AV102">
        <f t="shared" si="78"/>
        <v>0</v>
      </c>
      <c r="AW102">
        <f t="shared" si="79"/>
        <v>0</v>
      </c>
      <c r="AX102">
        <f t="shared" si="80"/>
        <v>0</v>
      </c>
      <c r="AY102">
        <f t="shared" si="81"/>
        <v>0</v>
      </c>
      <c r="AZ102">
        <f t="shared" si="82"/>
        <v>0</v>
      </c>
      <c r="BA102">
        <f t="shared" si="83"/>
        <v>0</v>
      </c>
      <c r="BB102">
        <f t="shared" si="84"/>
        <v>0</v>
      </c>
      <c r="BC102">
        <f t="shared" si="85"/>
        <v>0</v>
      </c>
      <c r="BD102">
        <f t="shared" si="86"/>
        <v>0</v>
      </c>
    </row>
    <row r="103" spans="1:56" x14ac:dyDescent="0.25">
      <c r="A103" s="1">
        <v>86</v>
      </c>
      <c r="B103" s="2">
        <v>0</v>
      </c>
      <c r="C103" s="2">
        <v>0</v>
      </c>
      <c r="D103" s="2">
        <v>0</v>
      </c>
      <c r="E103" s="2">
        <v>0</v>
      </c>
      <c r="F103" s="1">
        <f t="shared" si="87"/>
        <v>0</v>
      </c>
      <c r="G103" s="1">
        <f t="shared" si="88"/>
        <v>0</v>
      </c>
      <c r="H103" s="1">
        <f t="shared" si="89"/>
        <v>0</v>
      </c>
      <c r="I103" s="1">
        <f t="shared" si="90"/>
        <v>0</v>
      </c>
      <c r="J103" s="1">
        <f t="shared" si="91"/>
        <v>0</v>
      </c>
      <c r="K103" s="1">
        <f t="shared" si="92"/>
        <v>0</v>
      </c>
      <c r="L103" s="1">
        <f t="shared" si="93"/>
        <v>0</v>
      </c>
      <c r="M103" s="1">
        <f t="shared" si="94"/>
        <v>0</v>
      </c>
      <c r="N103" s="1">
        <f t="shared" si="95"/>
        <v>0</v>
      </c>
      <c r="O103" s="1">
        <f t="shared" si="96"/>
        <v>-0.64772727272727271</v>
      </c>
      <c r="P103" s="1">
        <f t="shared" si="97"/>
        <v>-3.1477272727272729</v>
      </c>
      <c r="Q103" s="1">
        <f t="shared" si="98"/>
        <v>0</v>
      </c>
      <c r="R103" s="1">
        <f t="shared" si="53"/>
        <v>0</v>
      </c>
      <c r="S103" s="1">
        <f t="shared" si="99"/>
        <v>0</v>
      </c>
      <c r="T103" s="7">
        <f t="shared" si="100"/>
        <v>-0.64772727272727271</v>
      </c>
      <c r="U103" s="7">
        <f t="shared" si="101"/>
        <v>-3.1477272727272729</v>
      </c>
      <c r="V103" s="7">
        <f t="shared" si="102"/>
        <v>-0.64772727272727271</v>
      </c>
      <c r="W103" s="7">
        <f t="shared" si="103"/>
        <v>-3.1477272727272729</v>
      </c>
      <c r="X103" s="1">
        <f t="shared" si="54"/>
        <v>0</v>
      </c>
      <c r="Y103" s="1">
        <f t="shared" si="55"/>
        <v>0</v>
      </c>
      <c r="Z103">
        <f t="shared" si="56"/>
        <v>0</v>
      </c>
      <c r="AA103">
        <f t="shared" si="57"/>
        <v>0</v>
      </c>
      <c r="AB103">
        <f t="shared" si="58"/>
        <v>0</v>
      </c>
      <c r="AC103">
        <f t="shared" si="59"/>
        <v>0</v>
      </c>
      <c r="AD103">
        <f t="shared" si="60"/>
        <v>0</v>
      </c>
      <c r="AE103">
        <f t="shared" si="61"/>
        <v>0</v>
      </c>
      <c r="AF103">
        <f t="shared" si="62"/>
        <v>0</v>
      </c>
      <c r="AG103">
        <f t="shared" si="63"/>
        <v>0</v>
      </c>
      <c r="AH103">
        <f t="shared" si="64"/>
        <v>0</v>
      </c>
      <c r="AI103" s="1">
        <f t="shared" si="65"/>
        <v>0</v>
      </c>
      <c r="AJ103" s="1">
        <f t="shared" si="66"/>
        <v>0</v>
      </c>
      <c r="AK103">
        <f t="shared" si="67"/>
        <v>0</v>
      </c>
      <c r="AL103">
        <f t="shared" si="68"/>
        <v>0</v>
      </c>
      <c r="AM103">
        <f t="shared" si="69"/>
        <v>0</v>
      </c>
      <c r="AN103">
        <f t="shared" si="70"/>
        <v>0</v>
      </c>
      <c r="AO103">
        <f t="shared" si="71"/>
        <v>0</v>
      </c>
      <c r="AP103">
        <f t="shared" si="72"/>
        <v>0</v>
      </c>
      <c r="AQ103">
        <f t="shared" si="73"/>
        <v>0</v>
      </c>
      <c r="AR103">
        <f t="shared" si="74"/>
        <v>0</v>
      </c>
      <c r="AS103">
        <f t="shared" si="75"/>
        <v>0</v>
      </c>
      <c r="AT103" s="1">
        <f t="shared" si="76"/>
        <v>0</v>
      </c>
      <c r="AU103" s="1">
        <f t="shared" si="77"/>
        <v>0</v>
      </c>
      <c r="AV103">
        <f t="shared" si="78"/>
        <v>0</v>
      </c>
      <c r="AW103">
        <f t="shared" si="79"/>
        <v>0</v>
      </c>
      <c r="AX103">
        <f t="shared" si="80"/>
        <v>0</v>
      </c>
      <c r="AY103">
        <f t="shared" si="81"/>
        <v>0</v>
      </c>
      <c r="AZ103">
        <f t="shared" si="82"/>
        <v>0</v>
      </c>
      <c r="BA103">
        <f t="shared" si="83"/>
        <v>0</v>
      </c>
      <c r="BB103">
        <f t="shared" si="84"/>
        <v>0</v>
      </c>
      <c r="BC103">
        <f t="shared" si="85"/>
        <v>0</v>
      </c>
      <c r="BD103">
        <f t="shared" si="86"/>
        <v>0</v>
      </c>
    </row>
    <row r="104" spans="1:56" x14ac:dyDescent="0.25">
      <c r="A104" s="1">
        <v>87</v>
      </c>
      <c r="B104" s="2">
        <v>0</v>
      </c>
      <c r="C104" s="2">
        <v>0</v>
      </c>
      <c r="D104" s="2">
        <v>0</v>
      </c>
      <c r="E104" s="2">
        <v>0</v>
      </c>
      <c r="F104" s="1">
        <f t="shared" si="87"/>
        <v>0</v>
      </c>
      <c r="G104" s="1">
        <f t="shared" si="88"/>
        <v>0</v>
      </c>
      <c r="H104" s="1">
        <f t="shared" si="89"/>
        <v>0</v>
      </c>
      <c r="I104" s="1">
        <f t="shared" si="90"/>
        <v>0</v>
      </c>
      <c r="J104" s="1">
        <f t="shared" si="91"/>
        <v>0</v>
      </c>
      <c r="K104" s="1">
        <f t="shared" si="92"/>
        <v>0</v>
      </c>
      <c r="L104" s="1">
        <f t="shared" si="93"/>
        <v>0</v>
      </c>
      <c r="M104" s="1">
        <f t="shared" si="94"/>
        <v>0</v>
      </c>
      <c r="N104" s="1">
        <f t="shared" si="95"/>
        <v>0</v>
      </c>
      <c r="O104" s="1">
        <f t="shared" si="96"/>
        <v>-0.64772727272727271</v>
      </c>
      <c r="P104" s="1">
        <f t="shared" si="97"/>
        <v>-3.1477272727272729</v>
      </c>
      <c r="Q104" s="1">
        <f t="shared" si="98"/>
        <v>0</v>
      </c>
      <c r="R104" s="1">
        <f t="shared" si="53"/>
        <v>0</v>
      </c>
      <c r="S104" s="1">
        <f t="shared" si="99"/>
        <v>0</v>
      </c>
      <c r="T104" s="7">
        <f t="shared" si="100"/>
        <v>-0.64772727272727271</v>
      </c>
      <c r="U104" s="7">
        <f t="shared" si="101"/>
        <v>-3.1477272727272729</v>
      </c>
      <c r="V104" s="7">
        <f t="shared" si="102"/>
        <v>-0.64772727272727271</v>
      </c>
      <c r="W104" s="7">
        <f t="shared" si="103"/>
        <v>-3.1477272727272729</v>
      </c>
      <c r="X104" s="1">
        <f t="shared" si="54"/>
        <v>0</v>
      </c>
      <c r="Y104" s="1">
        <f t="shared" si="55"/>
        <v>0</v>
      </c>
      <c r="Z104">
        <f t="shared" si="56"/>
        <v>0</v>
      </c>
      <c r="AA104">
        <f t="shared" si="57"/>
        <v>0</v>
      </c>
      <c r="AB104">
        <f t="shared" si="58"/>
        <v>0</v>
      </c>
      <c r="AC104">
        <f t="shared" si="59"/>
        <v>0</v>
      </c>
      <c r="AD104">
        <f t="shared" si="60"/>
        <v>0</v>
      </c>
      <c r="AE104">
        <f t="shared" si="61"/>
        <v>0</v>
      </c>
      <c r="AF104">
        <f t="shared" si="62"/>
        <v>0</v>
      </c>
      <c r="AG104">
        <f t="shared" si="63"/>
        <v>0</v>
      </c>
      <c r="AH104">
        <f t="shared" si="64"/>
        <v>0</v>
      </c>
      <c r="AI104" s="1">
        <f t="shared" si="65"/>
        <v>0</v>
      </c>
      <c r="AJ104" s="1">
        <f t="shared" si="66"/>
        <v>0</v>
      </c>
      <c r="AK104">
        <f t="shared" si="67"/>
        <v>0</v>
      </c>
      <c r="AL104">
        <f t="shared" si="68"/>
        <v>0</v>
      </c>
      <c r="AM104">
        <f t="shared" si="69"/>
        <v>0</v>
      </c>
      <c r="AN104">
        <f t="shared" si="70"/>
        <v>0</v>
      </c>
      <c r="AO104">
        <f t="shared" si="71"/>
        <v>0</v>
      </c>
      <c r="AP104">
        <f t="shared" si="72"/>
        <v>0</v>
      </c>
      <c r="AQ104">
        <f t="shared" si="73"/>
        <v>0</v>
      </c>
      <c r="AR104">
        <f t="shared" si="74"/>
        <v>0</v>
      </c>
      <c r="AS104">
        <f t="shared" si="75"/>
        <v>0</v>
      </c>
      <c r="AT104" s="1">
        <f t="shared" si="76"/>
        <v>0</v>
      </c>
      <c r="AU104" s="1">
        <f t="shared" si="77"/>
        <v>0</v>
      </c>
      <c r="AV104">
        <f t="shared" si="78"/>
        <v>0</v>
      </c>
      <c r="AW104">
        <f t="shared" si="79"/>
        <v>0</v>
      </c>
      <c r="AX104">
        <f t="shared" si="80"/>
        <v>0</v>
      </c>
      <c r="AY104">
        <f t="shared" si="81"/>
        <v>0</v>
      </c>
      <c r="AZ104">
        <f t="shared" si="82"/>
        <v>0</v>
      </c>
      <c r="BA104">
        <f t="shared" si="83"/>
        <v>0</v>
      </c>
      <c r="BB104">
        <f t="shared" si="84"/>
        <v>0</v>
      </c>
      <c r="BC104">
        <f t="shared" si="85"/>
        <v>0</v>
      </c>
      <c r="BD104">
        <f t="shared" si="86"/>
        <v>0</v>
      </c>
    </row>
    <row r="105" spans="1:56" x14ac:dyDescent="0.25">
      <c r="A105" s="1">
        <v>88</v>
      </c>
      <c r="B105" s="2">
        <v>0</v>
      </c>
      <c r="C105" s="2">
        <v>0</v>
      </c>
      <c r="D105" s="2">
        <v>0</v>
      </c>
      <c r="E105" s="2">
        <v>0</v>
      </c>
      <c r="F105" s="1">
        <f t="shared" si="87"/>
        <v>0</v>
      </c>
      <c r="G105" s="1">
        <f t="shared" si="88"/>
        <v>0</v>
      </c>
      <c r="H105" s="1">
        <f t="shared" si="89"/>
        <v>0</v>
      </c>
      <c r="I105" s="1">
        <f t="shared" si="90"/>
        <v>0</v>
      </c>
      <c r="J105" s="1">
        <f t="shared" si="91"/>
        <v>0</v>
      </c>
      <c r="K105" s="1">
        <f t="shared" si="92"/>
        <v>0</v>
      </c>
      <c r="L105" s="1">
        <f t="shared" si="93"/>
        <v>0</v>
      </c>
      <c r="M105" s="1">
        <f t="shared" si="94"/>
        <v>0</v>
      </c>
      <c r="N105" s="1">
        <f t="shared" si="95"/>
        <v>0</v>
      </c>
      <c r="O105" s="1">
        <f t="shared" si="96"/>
        <v>-0.64772727272727271</v>
      </c>
      <c r="P105" s="1">
        <f t="shared" si="97"/>
        <v>-3.1477272727272729</v>
      </c>
      <c r="Q105" s="1">
        <f t="shared" si="98"/>
        <v>0</v>
      </c>
      <c r="R105" s="1">
        <f t="shared" si="53"/>
        <v>0</v>
      </c>
      <c r="S105" s="1">
        <f t="shared" si="99"/>
        <v>0</v>
      </c>
      <c r="T105" s="7">
        <f t="shared" si="100"/>
        <v>-0.64772727272727271</v>
      </c>
      <c r="U105" s="7">
        <f t="shared" si="101"/>
        <v>-3.1477272727272729</v>
      </c>
      <c r="V105" s="7">
        <f t="shared" si="102"/>
        <v>-0.64772727272727271</v>
      </c>
      <c r="W105" s="7">
        <f t="shared" si="103"/>
        <v>-3.1477272727272729</v>
      </c>
      <c r="X105" s="1">
        <f t="shared" si="54"/>
        <v>0</v>
      </c>
      <c r="Y105" s="1">
        <f t="shared" si="55"/>
        <v>0</v>
      </c>
      <c r="Z105">
        <f t="shared" si="56"/>
        <v>0</v>
      </c>
      <c r="AA105">
        <f t="shared" si="57"/>
        <v>0</v>
      </c>
      <c r="AB105">
        <f t="shared" si="58"/>
        <v>0</v>
      </c>
      <c r="AC105">
        <f t="shared" si="59"/>
        <v>0</v>
      </c>
      <c r="AD105">
        <f t="shared" si="60"/>
        <v>0</v>
      </c>
      <c r="AE105">
        <f t="shared" si="61"/>
        <v>0</v>
      </c>
      <c r="AF105">
        <f t="shared" si="62"/>
        <v>0</v>
      </c>
      <c r="AG105">
        <f t="shared" si="63"/>
        <v>0</v>
      </c>
      <c r="AH105">
        <f t="shared" si="64"/>
        <v>0</v>
      </c>
      <c r="AI105" s="1">
        <f t="shared" si="65"/>
        <v>0</v>
      </c>
      <c r="AJ105" s="1">
        <f t="shared" si="66"/>
        <v>0</v>
      </c>
      <c r="AK105">
        <f t="shared" si="67"/>
        <v>0</v>
      </c>
      <c r="AL105">
        <f t="shared" si="68"/>
        <v>0</v>
      </c>
      <c r="AM105">
        <f t="shared" si="69"/>
        <v>0</v>
      </c>
      <c r="AN105">
        <f t="shared" si="70"/>
        <v>0</v>
      </c>
      <c r="AO105">
        <f t="shared" si="71"/>
        <v>0</v>
      </c>
      <c r="AP105">
        <f t="shared" si="72"/>
        <v>0</v>
      </c>
      <c r="AQ105">
        <f t="shared" si="73"/>
        <v>0</v>
      </c>
      <c r="AR105">
        <f t="shared" si="74"/>
        <v>0</v>
      </c>
      <c r="AS105">
        <f t="shared" si="75"/>
        <v>0</v>
      </c>
      <c r="AT105" s="1">
        <f t="shared" si="76"/>
        <v>0</v>
      </c>
      <c r="AU105" s="1">
        <f t="shared" si="77"/>
        <v>0</v>
      </c>
      <c r="AV105">
        <f t="shared" si="78"/>
        <v>0</v>
      </c>
      <c r="AW105">
        <f t="shared" si="79"/>
        <v>0</v>
      </c>
      <c r="AX105">
        <f t="shared" si="80"/>
        <v>0</v>
      </c>
      <c r="AY105">
        <f t="shared" si="81"/>
        <v>0</v>
      </c>
      <c r="AZ105">
        <f t="shared" si="82"/>
        <v>0</v>
      </c>
      <c r="BA105">
        <f t="shared" si="83"/>
        <v>0</v>
      </c>
      <c r="BB105">
        <f t="shared" si="84"/>
        <v>0</v>
      </c>
      <c r="BC105">
        <f t="shared" si="85"/>
        <v>0</v>
      </c>
      <c r="BD105">
        <f t="shared" si="86"/>
        <v>0</v>
      </c>
    </row>
    <row r="106" spans="1:56" x14ac:dyDescent="0.25">
      <c r="A106" s="1">
        <v>89</v>
      </c>
      <c r="B106" s="2">
        <v>0</v>
      </c>
      <c r="C106" s="2">
        <v>0</v>
      </c>
      <c r="D106" s="2">
        <v>0</v>
      </c>
      <c r="E106" s="2">
        <v>0</v>
      </c>
      <c r="F106" s="1">
        <f t="shared" si="87"/>
        <v>0</v>
      </c>
      <c r="G106" s="1">
        <f t="shared" si="88"/>
        <v>0</v>
      </c>
      <c r="H106" s="1">
        <f t="shared" si="89"/>
        <v>0</v>
      </c>
      <c r="I106" s="1">
        <f t="shared" si="90"/>
        <v>0</v>
      </c>
      <c r="J106" s="1">
        <f t="shared" si="91"/>
        <v>0</v>
      </c>
      <c r="K106" s="1">
        <f t="shared" si="92"/>
        <v>0</v>
      </c>
      <c r="L106" s="1">
        <f t="shared" si="93"/>
        <v>0</v>
      </c>
      <c r="M106" s="1">
        <f t="shared" si="94"/>
        <v>0</v>
      </c>
      <c r="N106" s="1">
        <f t="shared" si="95"/>
        <v>0</v>
      </c>
      <c r="O106" s="1">
        <f t="shared" si="96"/>
        <v>-0.64772727272727271</v>
      </c>
      <c r="P106" s="1">
        <f t="shared" si="97"/>
        <v>-3.1477272727272729</v>
      </c>
      <c r="Q106" s="1">
        <f t="shared" si="98"/>
        <v>0</v>
      </c>
      <c r="R106" s="1">
        <f t="shared" si="53"/>
        <v>0</v>
      </c>
      <c r="S106" s="1">
        <f t="shared" si="99"/>
        <v>0</v>
      </c>
      <c r="T106" s="7">
        <f t="shared" si="100"/>
        <v>-0.64772727272727271</v>
      </c>
      <c r="U106" s="7">
        <f t="shared" si="101"/>
        <v>-3.1477272727272729</v>
      </c>
      <c r="V106" s="7">
        <f t="shared" si="102"/>
        <v>-0.64772727272727271</v>
      </c>
      <c r="W106" s="7">
        <f t="shared" si="103"/>
        <v>-3.1477272727272729</v>
      </c>
      <c r="X106" s="1">
        <f t="shared" si="54"/>
        <v>0</v>
      </c>
      <c r="Y106" s="1">
        <f t="shared" si="55"/>
        <v>0</v>
      </c>
      <c r="Z106">
        <f t="shared" si="56"/>
        <v>0</v>
      </c>
      <c r="AA106">
        <f t="shared" si="57"/>
        <v>0</v>
      </c>
      <c r="AB106">
        <f t="shared" si="58"/>
        <v>0</v>
      </c>
      <c r="AC106">
        <f t="shared" si="59"/>
        <v>0</v>
      </c>
      <c r="AD106">
        <f t="shared" si="60"/>
        <v>0</v>
      </c>
      <c r="AE106">
        <f t="shared" si="61"/>
        <v>0</v>
      </c>
      <c r="AF106">
        <f t="shared" si="62"/>
        <v>0</v>
      </c>
      <c r="AG106">
        <f t="shared" si="63"/>
        <v>0</v>
      </c>
      <c r="AH106">
        <f t="shared" si="64"/>
        <v>0</v>
      </c>
      <c r="AI106" s="1">
        <f t="shared" si="65"/>
        <v>0</v>
      </c>
      <c r="AJ106" s="1">
        <f t="shared" si="66"/>
        <v>0</v>
      </c>
      <c r="AK106">
        <f t="shared" si="67"/>
        <v>0</v>
      </c>
      <c r="AL106">
        <f t="shared" si="68"/>
        <v>0</v>
      </c>
      <c r="AM106">
        <f t="shared" si="69"/>
        <v>0</v>
      </c>
      <c r="AN106">
        <f t="shared" si="70"/>
        <v>0</v>
      </c>
      <c r="AO106">
        <f t="shared" si="71"/>
        <v>0</v>
      </c>
      <c r="AP106">
        <f t="shared" si="72"/>
        <v>0</v>
      </c>
      <c r="AQ106">
        <f t="shared" si="73"/>
        <v>0</v>
      </c>
      <c r="AR106">
        <f t="shared" si="74"/>
        <v>0</v>
      </c>
      <c r="AS106">
        <f t="shared" si="75"/>
        <v>0</v>
      </c>
      <c r="AT106" s="1">
        <f t="shared" si="76"/>
        <v>0</v>
      </c>
      <c r="AU106" s="1">
        <f t="shared" si="77"/>
        <v>0</v>
      </c>
      <c r="AV106">
        <f t="shared" si="78"/>
        <v>0</v>
      </c>
      <c r="AW106">
        <f t="shared" si="79"/>
        <v>0</v>
      </c>
      <c r="AX106">
        <f t="shared" si="80"/>
        <v>0</v>
      </c>
      <c r="AY106">
        <f t="shared" si="81"/>
        <v>0</v>
      </c>
      <c r="AZ106">
        <f t="shared" si="82"/>
        <v>0</v>
      </c>
      <c r="BA106">
        <f t="shared" si="83"/>
        <v>0</v>
      </c>
      <c r="BB106">
        <f t="shared" si="84"/>
        <v>0</v>
      </c>
      <c r="BC106">
        <f t="shared" si="85"/>
        <v>0</v>
      </c>
      <c r="BD106">
        <f t="shared" si="86"/>
        <v>0</v>
      </c>
    </row>
    <row r="107" spans="1:56" x14ac:dyDescent="0.25">
      <c r="A107" s="1">
        <v>90</v>
      </c>
      <c r="B107" s="2">
        <v>0</v>
      </c>
      <c r="C107" s="2">
        <v>0</v>
      </c>
      <c r="D107" s="2">
        <v>0</v>
      </c>
      <c r="E107" s="2">
        <v>0</v>
      </c>
      <c r="F107" s="1">
        <f t="shared" si="87"/>
        <v>0</v>
      </c>
      <c r="G107" s="1">
        <f t="shared" si="88"/>
        <v>0</v>
      </c>
      <c r="H107" s="1">
        <f t="shared" si="89"/>
        <v>0</v>
      </c>
      <c r="I107" s="1">
        <f t="shared" si="90"/>
        <v>0</v>
      </c>
      <c r="J107" s="1">
        <f t="shared" si="91"/>
        <v>0</v>
      </c>
      <c r="K107" s="1">
        <f t="shared" si="92"/>
        <v>0</v>
      </c>
      <c r="L107" s="1">
        <f t="shared" si="93"/>
        <v>0</v>
      </c>
      <c r="M107" s="1">
        <f t="shared" si="94"/>
        <v>0</v>
      </c>
      <c r="N107" s="1">
        <f t="shared" si="95"/>
        <v>0</v>
      </c>
      <c r="O107" s="1">
        <f t="shared" si="96"/>
        <v>-0.64772727272727271</v>
      </c>
      <c r="P107" s="1">
        <f t="shared" si="97"/>
        <v>-3.1477272727272729</v>
      </c>
      <c r="Q107" s="1">
        <f t="shared" si="98"/>
        <v>0</v>
      </c>
      <c r="R107" s="1">
        <f t="shared" si="53"/>
        <v>0</v>
      </c>
      <c r="S107" s="1">
        <f t="shared" si="99"/>
        <v>0</v>
      </c>
      <c r="T107" s="7">
        <f t="shared" si="100"/>
        <v>-0.64772727272727271</v>
      </c>
      <c r="U107" s="7">
        <f t="shared" si="101"/>
        <v>-3.1477272727272729</v>
      </c>
      <c r="V107" s="7">
        <f t="shared" si="102"/>
        <v>-0.64772727272727271</v>
      </c>
      <c r="W107" s="7">
        <f t="shared" si="103"/>
        <v>-3.1477272727272729</v>
      </c>
      <c r="X107" s="1">
        <f t="shared" si="54"/>
        <v>0</v>
      </c>
      <c r="Y107" s="1">
        <f t="shared" si="55"/>
        <v>0</v>
      </c>
      <c r="Z107">
        <f t="shared" si="56"/>
        <v>0</v>
      </c>
      <c r="AA107">
        <f t="shared" si="57"/>
        <v>0</v>
      </c>
      <c r="AB107">
        <f t="shared" si="58"/>
        <v>0</v>
      </c>
      <c r="AC107">
        <f t="shared" si="59"/>
        <v>0</v>
      </c>
      <c r="AD107">
        <f t="shared" si="60"/>
        <v>0</v>
      </c>
      <c r="AE107">
        <f t="shared" si="61"/>
        <v>0</v>
      </c>
      <c r="AF107">
        <f t="shared" si="62"/>
        <v>0</v>
      </c>
      <c r="AG107">
        <f t="shared" si="63"/>
        <v>0</v>
      </c>
      <c r="AH107">
        <f t="shared" si="64"/>
        <v>0</v>
      </c>
      <c r="AI107" s="1">
        <f t="shared" si="65"/>
        <v>0</v>
      </c>
      <c r="AJ107" s="1">
        <f t="shared" si="66"/>
        <v>0</v>
      </c>
      <c r="AK107">
        <f t="shared" si="67"/>
        <v>0</v>
      </c>
      <c r="AL107">
        <f t="shared" si="68"/>
        <v>0</v>
      </c>
      <c r="AM107">
        <f t="shared" si="69"/>
        <v>0</v>
      </c>
      <c r="AN107">
        <f t="shared" si="70"/>
        <v>0</v>
      </c>
      <c r="AO107">
        <f t="shared" si="71"/>
        <v>0</v>
      </c>
      <c r="AP107">
        <f t="shared" si="72"/>
        <v>0</v>
      </c>
      <c r="AQ107">
        <f t="shared" si="73"/>
        <v>0</v>
      </c>
      <c r="AR107">
        <f t="shared" si="74"/>
        <v>0</v>
      </c>
      <c r="AS107">
        <f t="shared" si="75"/>
        <v>0</v>
      </c>
      <c r="AT107" s="1">
        <f t="shared" si="76"/>
        <v>0</v>
      </c>
      <c r="AU107" s="1">
        <f t="shared" si="77"/>
        <v>0</v>
      </c>
      <c r="AV107">
        <f t="shared" si="78"/>
        <v>0</v>
      </c>
      <c r="AW107">
        <f t="shared" si="79"/>
        <v>0</v>
      </c>
      <c r="AX107">
        <f t="shared" si="80"/>
        <v>0</v>
      </c>
      <c r="AY107">
        <f t="shared" si="81"/>
        <v>0</v>
      </c>
      <c r="AZ107">
        <f t="shared" si="82"/>
        <v>0</v>
      </c>
      <c r="BA107">
        <f t="shared" si="83"/>
        <v>0</v>
      </c>
      <c r="BB107">
        <f t="shared" si="84"/>
        <v>0</v>
      </c>
      <c r="BC107">
        <f t="shared" si="85"/>
        <v>0</v>
      </c>
      <c r="BD107">
        <f t="shared" si="86"/>
        <v>0</v>
      </c>
    </row>
    <row r="108" spans="1:56" x14ac:dyDescent="0.25">
      <c r="A108" s="1">
        <v>91</v>
      </c>
      <c r="B108" s="2">
        <v>0</v>
      </c>
      <c r="C108" s="2">
        <v>0</v>
      </c>
      <c r="D108" s="2">
        <v>0</v>
      </c>
      <c r="E108" s="2">
        <v>0</v>
      </c>
      <c r="F108" s="1">
        <f t="shared" si="87"/>
        <v>0</v>
      </c>
      <c r="G108" s="1">
        <f t="shared" si="88"/>
        <v>0</v>
      </c>
      <c r="H108" s="1">
        <f t="shared" si="89"/>
        <v>0</v>
      </c>
      <c r="I108" s="1">
        <f t="shared" si="90"/>
        <v>0</v>
      </c>
      <c r="J108" s="1">
        <f t="shared" si="91"/>
        <v>0</v>
      </c>
      <c r="K108" s="1">
        <f t="shared" si="92"/>
        <v>0</v>
      </c>
      <c r="L108" s="1">
        <f t="shared" si="93"/>
        <v>0</v>
      </c>
      <c r="M108" s="1">
        <f t="shared" si="94"/>
        <v>0</v>
      </c>
      <c r="N108" s="1">
        <f t="shared" si="95"/>
        <v>0</v>
      </c>
      <c r="O108" s="1">
        <f t="shared" si="96"/>
        <v>-0.64772727272727271</v>
      </c>
      <c r="P108" s="1">
        <f t="shared" si="97"/>
        <v>-3.1477272727272729</v>
      </c>
      <c r="Q108" s="1">
        <f t="shared" si="98"/>
        <v>0</v>
      </c>
      <c r="R108" s="1">
        <f t="shared" si="53"/>
        <v>0</v>
      </c>
      <c r="S108" s="1">
        <f t="shared" si="99"/>
        <v>0</v>
      </c>
      <c r="T108" s="7">
        <f t="shared" si="100"/>
        <v>-0.64772727272727271</v>
      </c>
      <c r="U108" s="7">
        <f t="shared" si="101"/>
        <v>-3.1477272727272729</v>
      </c>
      <c r="V108" s="7">
        <f t="shared" si="102"/>
        <v>-0.64772727272727271</v>
      </c>
      <c r="W108" s="7">
        <f t="shared" si="103"/>
        <v>-3.1477272727272729</v>
      </c>
      <c r="X108" s="1">
        <f t="shared" si="54"/>
        <v>0</v>
      </c>
      <c r="Y108" s="1">
        <f t="shared" si="55"/>
        <v>0</v>
      </c>
      <c r="Z108">
        <f t="shared" si="56"/>
        <v>0</v>
      </c>
      <c r="AA108">
        <f t="shared" si="57"/>
        <v>0</v>
      </c>
      <c r="AB108">
        <f t="shared" si="58"/>
        <v>0</v>
      </c>
      <c r="AC108">
        <f t="shared" si="59"/>
        <v>0</v>
      </c>
      <c r="AD108">
        <f t="shared" si="60"/>
        <v>0</v>
      </c>
      <c r="AE108">
        <f t="shared" si="61"/>
        <v>0</v>
      </c>
      <c r="AF108">
        <f t="shared" si="62"/>
        <v>0</v>
      </c>
      <c r="AG108">
        <f t="shared" si="63"/>
        <v>0</v>
      </c>
      <c r="AH108">
        <f t="shared" si="64"/>
        <v>0</v>
      </c>
      <c r="AI108" s="1">
        <f t="shared" si="65"/>
        <v>0</v>
      </c>
      <c r="AJ108" s="1">
        <f t="shared" si="66"/>
        <v>0</v>
      </c>
      <c r="AK108">
        <f t="shared" si="67"/>
        <v>0</v>
      </c>
      <c r="AL108">
        <f t="shared" si="68"/>
        <v>0</v>
      </c>
      <c r="AM108">
        <f t="shared" si="69"/>
        <v>0</v>
      </c>
      <c r="AN108">
        <f t="shared" si="70"/>
        <v>0</v>
      </c>
      <c r="AO108">
        <f t="shared" si="71"/>
        <v>0</v>
      </c>
      <c r="AP108">
        <f t="shared" si="72"/>
        <v>0</v>
      </c>
      <c r="AQ108">
        <f t="shared" si="73"/>
        <v>0</v>
      </c>
      <c r="AR108">
        <f t="shared" si="74"/>
        <v>0</v>
      </c>
      <c r="AS108">
        <f t="shared" si="75"/>
        <v>0</v>
      </c>
      <c r="AT108" s="1">
        <f t="shared" si="76"/>
        <v>0</v>
      </c>
      <c r="AU108" s="1">
        <f t="shared" si="77"/>
        <v>0</v>
      </c>
      <c r="AV108">
        <f t="shared" si="78"/>
        <v>0</v>
      </c>
      <c r="AW108">
        <f t="shared" si="79"/>
        <v>0</v>
      </c>
      <c r="AX108">
        <f t="shared" si="80"/>
        <v>0</v>
      </c>
      <c r="AY108">
        <f t="shared" si="81"/>
        <v>0</v>
      </c>
      <c r="AZ108">
        <f t="shared" si="82"/>
        <v>0</v>
      </c>
      <c r="BA108">
        <f t="shared" si="83"/>
        <v>0</v>
      </c>
      <c r="BB108">
        <f t="shared" si="84"/>
        <v>0</v>
      </c>
      <c r="BC108">
        <f t="shared" si="85"/>
        <v>0</v>
      </c>
      <c r="BD108">
        <f t="shared" si="86"/>
        <v>0</v>
      </c>
    </row>
    <row r="109" spans="1:56" x14ac:dyDescent="0.25">
      <c r="A109" s="1">
        <v>92</v>
      </c>
      <c r="B109" s="2">
        <v>0</v>
      </c>
      <c r="C109" s="2">
        <v>0</v>
      </c>
      <c r="D109" s="2">
        <v>0</v>
      </c>
      <c r="E109" s="2">
        <v>0</v>
      </c>
      <c r="F109" s="1">
        <f t="shared" si="87"/>
        <v>0</v>
      </c>
      <c r="G109" s="1">
        <f t="shared" si="88"/>
        <v>0</v>
      </c>
      <c r="H109" s="1">
        <f t="shared" si="89"/>
        <v>0</v>
      </c>
      <c r="I109" s="1">
        <f t="shared" si="90"/>
        <v>0</v>
      </c>
      <c r="J109" s="1">
        <f t="shared" si="91"/>
        <v>0</v>
      </c>
      <c r="K109" s="1">
        <f t="shared" si="92"/>
        <v>0</v>
      </c>
      <c r="L109" s="1">
        <f t="shared" si="93"/>
        <v>0</v>
      </c>
      <c r="M109" s="1">
        <f t="shared" si="94"/>
        <v>0</v>
      </c>
      <c r="N109" s="1">
        <f t="shared" si="95"/>
        <v>0</v>
      </c>
      <c r="O109" s="1">
        <f t="shared" si="96"/>
        <v>-0.64772727272727271</v>
      </c>
      <c r="P109" s="1">
        <f t="shared" si="97"/>
        <v>-3.1477272727272729</v>
      </c>
      <c r="Q109" s="1">
        <f t="shared" si="98"/>
        <v>0</v>
      </c>
      <c r="R109" s="1">
        <f t="shared" si="53"/>
        <v>0</v>
      </c>
      <c r="S109" s="1">
        <f t="shared" si="99"/>
        <v>0</v>
      </c>
      <c r="T109" s="7">
        <f t="shared" si="100"/>
        <v>-0.64772727272727271</v>
      </c>
      <c r="U109" s="7">
        <f t="shared" si="101"/>
        <v>-3.1477272727272729</v>
      </c>
      <c r="V109" s="7">
        <f t="shared" si="102"/>
        <v>-0.64772727272727271</v>
      </c>
      <c r="W109" s="7">
        <f t="shared" si="103"/>
        <v>-3.1477272727272729</v>
      </c>
      <c r="X109" s="1">
        <f t="shared" si="54"/>
        <v>0</v>
      </c>
      <c r="Y109" s="1">
        <f t="shared" si="55"/>
        <v>0</v>
      </c>
      <c r="Z109">
        <f t="shared" si="56"/>
        <v>0</v>
      </c>
      <c r="AA109">
        <f t="shared" si="57"/>
        <v>0</v>
      </c>
      <c r="AB109">
        <f t="shared" si="58"/>
        <v>0</v>
      </c>
      <c r="AC109">
        <f t="shared" si="59"/>
        <v>0</v>
      </c>
      <c r="AD109">
        <f t="shared" si="60"/>
        <v>0</v>
      </c>
      <c r="AE109">
        <f t="shared" si="61"/>
        <v>0</v>
      </c>
      <c r="AF109">
        <f t="shared" si="62"/>
        <v>0</v>
      </c>
      <c r="AG109">
        <f t="shared" si="63"/>
        <v>0</v>
      </c>
      <c r="AH109">
        <f t="shared" si="64"/>
        <v>0</v>
      </c>
      <c r="AI109" s="1">
        <f t="shared" si="65"/>
        <v>0</v>
      </c>
      <c r="AJ109" s="1">
        <f t="shared" si="66"/>
        <v>0</v>
      </c>
      <c r="AK109">
        <f t="shared" si="67"/>
        <v>0</v>
      </c>
      <c r="AL109">
        <f t="shared" si="68"/>
        <v>0</v>
      </c>
      <c r="AM109">
        <f t="shared" si="69"/>
        <v>0</v>
      </c>
      <c r="AN109">
        <f t="shared" si="70"/>
        <v>0</v>
      </c>
      <c r="AO109">
        <f t="shared" si="71"/>
        <v>0</v>
      </c>
      <c r="AP109">
        <f t="shared" si="72"/>
        <v>0</v>
      </c>
      <c r="AQ109">
        <f t="shared" si="73"/>
        <v>0</v>
      </c>
      <c r="AR109">
        <f t="shared" si="74"/>
        <v>0</v>
      </c>
      <c r="AS109">
        <f t="shared" si="75"/>
        <v>0</v>
      </c>
      <c r="AT109" s="1">
        <f t="shared" si="76"/>
        <v>0</v>
      </c>
      <c r="AU109" s="1">
        <f t="shared" si="77"/>
        <v>0</v>
      </c>
      <c r="AV109">
        <f t="shared" si="78"/>
        <v>0</v>
      </c>
      <c r="AW109">
        <f t="shared" si="79"/>
        <v>0</v>
      </c>
      <c r="AX109">
        <f t="shared" si="80"/>
        <v>0</v>
      </c>
      <c r="AY109">
        <f t="shared" si="81"/>
        <v>0</v>
      </c>
      <c r="AZ109">
        <f t="shared" si="82"/>
        <v>0</v>
      </c>
      <c r="BA109">
        <f t="shared" si="83"/>
        <v>0</v>
      </c>
      <c r="BB109">
        <f t="shared" si="84"/>
        <v>0</v>
      </c>
      <c r="BC109">
        <f t="shared" si="85"/>
        <v>0</v>
      </c>
      <c r="BD109">
        <f t="shared" si="86"/>
        <v>0</v>
      </c>
    </row>
    <row r="110" spans="1:56" x14ac:dyDescent="0.25">
      <c r="A110" s="1">
        <v>93</v>
      </c>
      <c r="B110" s="2">
        <v>0</v>
      </c>
      <c r="C110" s="2">
        <v>0</v>
      </c>
      <c r="D110" s="2">
        <v>0</v>
      </c>
      <c r="E110" s="2">
        <v>0</v>
      </c>
      <c r="F110" s="1">
        <f t="shared" si="87"/>
        <v>0</v>
      </c>
      <c r="G110" s="1">
        <f t="shared" si="88"/>
        <v>0</v>
      </c>
      <c r="H110" s="1">
        <f t="shared" si="89"/>
        <v>0</v>
      </c>
      <c r="I110" s="1">
        <f t="shared" si="90"/>
        <v>0</v>
      </c>
      <c r="J110" s="1">
        <f t="shared" si="91"/>
        <v>0</v>
      </c>
      <c r="K110" s="1">
        <f t="shared" si="92"/>
        <v>0</v>
      </c>
      <c r="L110" s="1">
        <f t="shared" si="93"/>
        <v>0</v>
      </c>
      <c r="M110" s="1">
        <f t="shared" si="94"/>
        <v>0</v>
      </c>
      <c r="N110" s="1">
        <f t="shared" si="95"/>
        <v>0</v>
      </c>
      <c r="O110" s="1">
        <f t="shared" si="96"/>
        <v>-0.64772727272727271</v>
      </c>
      <c r="P110" s="1">
        <f t="shared" si="97"/>
        <v>-3.1477272727272729</v>
      </c>
      <c r="Q110" s="1">
        <f t="shared" si="98"/>
        <v>0</v>
      </c>
      <c r="R110" s="1">
        <f t="shared" si="53"/>
        <v>0</v>
      </c>
      <c r="S110" s="1">
        <f t="shared" si="99"/>
        <v>0</v>
      </c>
      <c r="T110" s="7">
        <f t="shared" si="100"/>
        <v>-0.64772727272727271</v>
      </c>
      <c r="U110" s="7">
        <f t="shared" si="101"/>
        <v>-3.1477272727272729</v>
      </c>
      <c r="V110" s="7">
        <f t="shared" si="102"/>
        <v>-0.64772727272727271</v>
      </c>
      <c r="W110" s="7">
        <f t="shared" si="103"/>
        <v>-3.1477272727272729</v>
      </c>
      <c r="X110" s="1">
        <f t="shared" si="54"/>
        <v>0</v>
      </c>
      <c r="Y110" s="1">
        <f t="shared" si="55"/>
        <v>0</v>
      </c>
      <c r="Z110">
        <f t="shared" si="56"/>
        <v>0</v>
      </c>
      <c r="AA110">
        <f t="shared" si="57"/>
        <v>0</v>
      </c>
      <c r="AB110">
        <f t="shared" si="58"/>
        <v>0</v>
      </c>
      <c r="AC110">
        <f t="shared" si="59"/>
        <v>0</v>
      </c>
      <c r="AD110">
        <f t="shared" si="60"/>
        <v>0</v>
      </c>
      <c r="AE110">
        <f t="shared" si="61"/>
        <v>0</v>
      </c>
      <c r="AF110">
        <f t="shared" si="62"/>
        <v>0</v>
      </c>
      <c r="AG110">
        <f t="shared" si="63"/>
        <v>0</v>
      </c>
      <c r="AH110">
        <f t="shared" si="64"/>
        <v>0</v>
      </c>
      <c r="AI110" s="1">
        <f t="shared" si="65"/>
        <v>0</v>
      </c>
      <c r="AJ110" s="1">
        <f t="shared" si="66"/>
        <v>0</v>
      </c>
      <c r="AK110">
        <f t="shared" si="67"/>
        <v>0</v>
      </c>
      <c r="AL110">
        <f t="shared" si="68"/>
        <v>0</v>
      </c>
      <c r="AM110">
        <f t="shared" si="69"/>
        <v>0</v>
      </c>
      <c r="AN110">
        <f t="shared" si="70"/>
        <v>0</v>
      </c>
      <c r="AO110">
        <f t="shared" si="71"/>
        <v>0</v>
      </c>
      <c r="AP110">
        <f t="shared" si="72"/>
        <v>0</v>
      </c>
      <c r="AQ110">
        <f t="shared" si="73"/>
        <v>0</v>
      </c>
      <c r="AR110">
        <f t="shared" si="74"/>
        <v>0</v>
      </c>
      <c r="AS110">
        <f t="shared" si="75"/>
        <v>0</v>
      </c>
      <c r="AT110" s="1">
        <f t="shared" si="76"/>
        <v>0</v>
      </c>
      <c r="AU110" s="1">
        <f t="shared" si="77"/>
        <v>0</v>
      </c>
      <c r="AV110">
        <f t="shared" si="78"/>
        <v>0</v>
      </c>
      <c r="AW110">
        <f t="shared" si="79"/>
        <v>0</v>
      </c>
      <c r="AX110">
        <f t="shared" si="80"/>
        <v>0</v>
      </c>
      <c r="AY110">
        <f t="shared" si="81"/>
        <v>0</v>
      </c>
      <c r="AZ110">
        <f t="shared" si="82"/>
        <v>0</v>
      </c>
      <c r="BA110">
        <f t="shared" si="83"/>
        <v>0</v>
      </c>
      <c r="BB110">
        <f t="shared" si="84"/>
        <v>0</v>
      </c>
      <c r="BC110">
        <f t="shared" si="85"/>
        <v>0</v>
      </c>
      <c r="BD110">
        <f t="shared" si="86"/>
        <v>0</v>
      </c>
    </row>
    <row r="111" spans="1:56" x14ac:dyDescent="0.25">
      <c r="A111" s="1">
        <v>94</v>
      </c>
      <c r="B111" s="2">
        <v>0</v>
      </c>
      <c r="C111" s="2">
        <v>0</v>
      </c>
      <c r="D111" s="2">
        <v>0</v>
      </c>
      <c r="E111" s="2">
        <v>0</v>
      </c>
      <c r="F111" s="1">
        <f t="shared" si="87"/>
        <v>0</v>
      </c>
      <c r="G111" s="1">
        <f t="shared" si="88"/>
        <v>0</v>
      </c>
      <c r="H111" s="1">
        <f t="shared" si="89"/>
        <v>0</v>
      </c>
      <c r="I111" s="1">
        <f t="shared" si="90"/>
        <v>0</v>
      </c>
      <c r="J111" s="1">
        <f t="shared" si="91"/>
        <v>0</v>
      </c>
      <c r="K111" s="1">
        <f t="shared" si="92"/>
        <v>0</v>
      </c>
      <c r="L111" s="1">
        <f t="shared" si="93"/>
        <v>0</v>
      </c>
      <c r="M111" s="1">
        <f t="shared" si="94"/>
        <v>0</v>
      </c>
      <c r="N111" s="1">
        <f t="shared" si="95"/>
        <v>0</v>
      </c>
      <c r="O111" s="1">
        <f t="shared" si="96"/>
        <v>-0.64772727272727271</v>
      </c>
      <c r="P111" s="1">
        <f t="shared" si="97"/>
        <v>-3.1477272727272729</v>
      </c>
      <c r="Q111" s="1">
        <f t="shared" si="98"/>
        <v>0</v>
      </c>
      <c r="R111" s="1">
        <f t="shared" si="53"/>
        <v>0</v>
      </c>
      <c r="S111" s="1">
        <f t="shared" si="99"/>
        <v>0</v>
      </c>
      <c r="T111" s="7">
        <f t="shared" si="100"/>
        <v>-0.64772727272727271</v>
      </c>
      <c r="U111" s="7">
        <f t="shared" si="101"/>
        <v>-3.1477272727272729</v>
      </c>
      <c r="V111" s="7">
        <f t="shared" si="102"/>
        <v>-0.64772727272727271</v>
      </c>
      <c r="W111" s="7">
        <f t="shared" si="103"/>
        <v>-3.1477272727272729</v>
      </c>
      <c r="X111" s="1">
        <f t="shared" si="54"/>
        <v>0</v>
      </c>
      <c r="Y111" s="1">
        <f t="shared" si="55"/>
        <v>0</v>
      </c>
      <c r="Z111">
        <f t="shared" si="56"/>
        <v>0</v>
      </c>
      <c r="AA111">
        <f t="shared" si="57"/>
        <v>0</v>
      </c>
      <c r="AB111">
        <f t="shared" si="58"/>
        <v>0</v>
      </c>
      <c r="AC111">
        <f t="shared" si="59"/>
        <v>0</v>
      </c>
      <c r="AD111">
        <f t="shared" si="60"/>
        <v>0</v>
      </c>
      <c r="AE111">
        <f t="shared" si="61"/>
        <v>0</v>
      </c>
      <c r="AF111">
        <f t="shared" si="62"/>
        <v>0</v>
      </c>
      <c r="AG111">
        <f t="shared" si="63"/>
        <v>0</v>
      </c>
      <c r="AH111">
        <f t="shared" si="64"/>
        <v>0</v>
      </c>
      <c r="AI111" s="1">
        <f t="shared" si="65"/>
        <v>0</v>
      </c>
      <c r="AJ111" s="1">
        <f t="shared" si="66"/>
        <v>0</v>
      </c>
      <c r="AK111">
        <f t="shared" si="67"/>
        <v>0</v>
      </c>
      <c r="AL111">
        <f t="shared" si="68"/>
        <v>0</v>
      </c>
      <c r="AM111">
        <f t="shared" si="69"/>
        <v>0</v>
      </c>
      <c r="AN111">
        <f t="shared" si="70"/>
        <v>0</v>
      </c>
      <c r="AO111">
        <f t="shared" si="71"/>
        <v>0</v>
      </c>
      <c r="AP111">
        <f t="shared" si="72"/>
        <v>0</v>
      </c>
      <c r="AQ111">
        <f t="shared" si="73"/>
        <v>0</v>
      </c>
      <c r="AR111">
        <f t="shared" si="74"/>
        <v>0</v>
      </c>
      <c r="AS111">
        <f t="shared" si="75"/>
        <v>0</v>
      </c>
      <c r="AT111" s="1">
        <f t="shared" si="76"/>
        <v>0</v>
      </c>
      <c r="AU111" s="1">
        <f t="shared" si="77"/>
        <v>0</v>
      </c>
      <c r="AV111">
        <f t="shared" si="78"/>
        <v>0</v>
      </c>
      <c r="AW111">
        <f t="shared" si="79"/>
        <v>0</v>
      </c>
      <c r="AX111">
        <f t="shared" si="80"/>
        <v>0</v>
      </c>
      <c r="AY111">
        <f t="shared" si="81"/>
        <v>0</v>
      </c>
      <c r="AZ111">
        <f t="shared" si="82"/>
        <v>0</v>
      </c>
      <c r="BA111">
        <f t="shared" si="83"/>
        <v>0</v>
      </c>
      <c r="BB111">
        <f t="shared" si="84"/>
        <v>0</v>
      </c>
      <c r="BC111">
        <f t="shared" si="85"/>
        <v>0</v>
      </c>
      <c r="BD111">
        <f t="shared" si="86"/>
        <v>0</v>
      </c>
    </row>
    <row r="112" spans="1:56" x14ac:dyDescent="0.25">
      <c r="A112" s="1">
        <v>95</v>
      </c>
      <c r="B112" s="2">
        <v>0</v>
      </c>
      <c r="C112" s="2">
        <v>0</v>
      </c>
      <c r="D112" s="2">
        <v>0</v>
      </c>
      <c r="E112" s="2">
        <v>0</v>
      </c>
      <c r="F112" s="1">
        <f t="shared" si="87"/>
        <v>0</v>
      </c>
      <c r="G112" s="1">
        <f t="shared" si="88"/>
        <v>0</v>
      </c>
      <c r="H112" s="1">
        <f t="shared" si="89"/>
        <v>0</v>
      </c>
      <c r="I112" s="1">
        <f t="shared" si="90"/>
        <v>0</v>
      </c>
      <c r="J112" s="1">
        <f t="shared" si="91"/>
        <v>0</v>
      </c>
      <c r="K112" s="1">
        <f t="shared" si="92"/>
        <v>0</v>
      </c>
      <c r="L112" s="1">
        <f t="shared" si="93"/>
        <v>0</v>
      </c>
      <c r="M112" s="1">
        <f t="shared" si="94"/>
        <v>0</v>
      </c>
      <c r="N112" s="1">
        <f t="shared" si="95"/>
        <v>0</v>
      </c>
      <c r="O112" s="1">
        <f t="shared" si="96"/>
        <v>-0.64772727272727271</v>
      </c>
      <c r="P112" s="1">
        <f t="shared" si="97"/>
        <v>-3.1477272727272729</v>
      </c>
      <c r="Q112" s="1">
        <f t="shared" si="98"/>
        <v>0</v>
      </c>
      <c r="R112" s="1">
        <f t="shared" si="53"/>
        <v>0</v>
      </c>
      <c r="S112" s="1">
        <f t="shared" si="99"/>
        <v>0</v>
      </c>
      <c r="T112" s="7">
        <f t="shared" si="100"/>
        <v>-0.64772727272727271</v>
      </c>
      <c r="U112" s="7">
        <f t="shared" si="101"/>
        <v>-3.1477272727272729</v>
      </c>
      <c r="V112" s="7">
        <f t="shared" si="102"/>
        <v>-0.64772727272727271</v>
      </c>
      <c r="W112" s="7">
        <f t="shared" si="103"/>
        <v>-3.1477272727272729</v>
      </c>
      <c r="X112" s="1">
        <f t="shared" si="54"/>
        <v>0</v>
      </c>
      <c r="Y112" s="1">
        <f t="shared" si="55"/>
        <v>0</v>
      </c>
      <c r="Z112">
        <f t="shared" si="56"/>
        <v>0</v>
      </c>
      <c r="AA112">
        <f t="shared" si="57"/>
        <v>0</v>
      </c>
      <c r="AB112">
        <f t="shared" si="58"/>
        <v>0</v>
      </c>
      <c r="AC112">
        <f t="shared" si="59"/>
        <v>0</v>
      </c>
      <c r="AD112">
        <f t="shared" si="60"/>
        <v>0</v>
      </c>
      <c r="AE112">
        <f t="shared" si="61"/>
        <v>0</v>
      </c>
      <c r="AF112">
        <f t="shared" si="62"/>
        <v>0</v>
      </c>
      <c r="AG112">
        <f t="shared" si="63"/>
        <v>0</v>
      </c>
      <c r="AH112">
        <f t="shared" si="64"/>
        <v>0</v>
      </c>
      <c r="AI112" s="1">
        <f t="shared" si="65"/>
        <v>0</v>
      </c>
      <c r="AJ112" s="1">
        <f t="shared" si="66"/>
        <v>0</v>
      </c>
      <c r="AK112">
        <f t="shared" si="67"/>
        <v>0</v>
      </c>
      <c r="AL112">
        <f t="shared" si="68"/>
        <v>0</v>
      </c>
      <c r="AM112">
        <f t="shared" si="69"/>
        <v>0</v>
      </c>
      <c r="AN112">
        <f t="shared" si="70"/>
        <v>0</v>
      </c>
      <c r="AO112">
        <f t="shared" si="71"/>
        <v>0</v>
      </c>
      <c r="AP112">
        <f t="shared" si="72"/>
        <v>0</v>
      </c>
      <c r="AQ112">
        <f t="shared" si="73"/>
        <v>0</v>
      </c>
      <c r="AR112">
        <f t="shared" si="74"/>
        <v>0</v>
      </c>
      <c r="AS112">
        <f t="shared" si="75"/>
        <v>0</v>
      </c>
      <c r="AT112" s="1">
        <f t="shared" si="76"/>
        <v>0</v>
      </c>
      <c r="AU112" s="1">
        <f t="shared" si="77"/>
        <v>0</v>
      </c>
      <c r="AV112">
        <f t="shared" si="78"/>
        <v>0</v>
      </c>
      <c r="AW112">
        <f t="shared" si="79"/>
        <v>0</v>
      </c>
      <c r="AX112">
        <f t="shared" si="80"/>
        <v>0</v>
      </c>
      <c r="AY112">
        <f t="shared" si="81"/>
        <v>0</v>
      </c>
      <c r="AZ112">
        <f t="shared" si="82"/>
        <v>0</v>
      </c>
      <c r="BA112">
        <f t="shared" si="83"/>
        <v>0</v>
      </c>
      <c r="BB112">
        <f t="shared" si="84"/>
        <v>0</v>
      </c>
      <c r="BC112">
        <f t="shared" si="85"/>
        <v>0</v>
      </c>
      <c r="BD112">
        <f t="shared" si="86"/>
        <v>0</v>
      </c>
    </row>
    <row r="113" spans="1:56" x14ac:dyDescent="0.25">
      <c r="A113" s="1">
        <v>96</v>
      </c>
      <c r="B113" s="2">
        <v>0</v>
      </c>
      <c r="C113" s="2">
        <v>0</v>
      </c>
      <c r="D113" s="2">
        <v>0</v>
      </c>
      <c r="E113" s="2">
        <v>0</v>
      </c>
      <c r="F113" s="1">
        <f t="shared" si="87"/>
        <v>0</v>
      </c>
      <c r="G113" s="1">
        <f t="shared" si="88"/>
        <v>0</v>
      </c>
      <c r="H113" s="1">
        <f t="shared" si="89"/>
        <v>0</v>
      </c>
      <c r="I113" s="1">
        <f t="shared" si="90"/>
        <v>0</v>
      </c>
      <c r="J113" s="1">
        <f t="shared" si="91"/>
        <v>0</v>
      </c>
      <c r="K113" s="1">
        <f t="shared" si="92"/>
        <v>0</v>
      </c>
      <c r="L113" s="1">
        <f t="shared" si="93"/>
        <v>0</v>
      </c>
      <c r="M113" s="1">
        <f t="shared" si="94"/>
        <v>0</v>
      </c>
      <c r="N113" s="1">
        <f t="shared" si="95"/>
        <v>0</v>
      </c>
      <c r="O113" s="1">
        <f t="shared" si="96"/>
        <v>-0.64772727272727271</v>
      </c>
      <c r="P113" s="1">
        <f t="shared" si="97"/>
        <v>-3.1477272727272729</v>
      </c>
      <c r="Q113" s="1">
        <f t="shared" si="98"/>
        <v>0</v>
      </c>
      <c r="R113" s="1">
        <f t="shared" si="53"/>
        <v>0</v>
      </c>
      <c r="S113" s="1">
        <f t="shared" si="99"/>
        <v>0</v>
      </c>
      <c r="T113" s="7">
        <f t="shared" si="100"/>
        <v>-0.64772727272727271</v>
      </c>
      <c r="U113" s="7">
        <f t="shared" si="101"/>
        <v>-3.1477272727272729</v>
      </c>
      <c r="V113" s="7">
        <f t="shared" si="102"/>
        <v>-0.64772727272727271</v>
      </c>
      <c r="W113" s="7">
        <f t="shared" si="103"/>
        <v>-3.1477272727272729</v>
      </c>
      <c r="X113" s="1">
        <f t="shared" si="54"/>
        <v>0</v>
      </c>
      <c r="Y113" s="1">
        <f t="shared" si="55"/>
        <v>0</v>
      </c>
      <c r="Z113">
        <f t="shared" si="56"/>
        <v>0</v>
      </c>
      <c r="AA113">
        <f t="shared" si="57"/>
        <v>0</v>
      </c>
      <c r="AB113">
        <f t="shared" si="58"/>
        <v>0</v>
      </c>
      <c r="AC113">
        <f t="shared" si="59"/>
        <v>0</v>
      </c>
      <c r="AD113">
        <f t="shared" si="60"/>
        <v>0</v>
      </c>
      <c r="AE113">
        <f t="shared" si="61"/>
        <v>0</v>
      </c>
      <c r="AF113">
        <f t="shared" si="62"/>
        <v>0</v>
      </c>
      <c r="AG113">
        <f t="shared" si="63"/>
        <v>0</v>
      </c>
      <c r="AH113">
        <f t="shared" si="64"/>
        <v>0</v>
      </c>
      <c r="AI113" s="1">
        <f t="shared" si="65"/>
        <v>0</v>
      </c>
      <c r="AJ113" s="1">
        <f t="shared" si="66"/>
        <v>0</v>
      </c>
      <c r="AK113">
        <f t="shared" si="67"/>
        <v>0</v>
      </c>
      <c r="AL113">
        <f t="shared" si="68"/>
        <v>0</v>
      </c>
      <c r="AM113">
        <f t="shared" si="69"/>
        <v>0</v>
      </c>
      <c r="AN113">
        <f t="shared" si="70"/>
        <v>0</v>
      </c>
      <c r="AO113">
        <f t="shared" si="71"/>
        <v>0</v>
      </c>
      <c r="AP113">
        <f t="shared" si="72"/>
        <v>0</v>
      </c>
      <c r="AQ113">
        <f t="shared" si="73"/>
        <v>0</v>
      </c>
      <c r="AR113">
        <f t="shared" si="74"/>
        <v>0</v>
      </c>
      <c r="AS113">
        <f t="shared" si="75"/>
        <v>0</v>
      </c>
      <c r="AT113" s="1">
        <f t="shared" si="76"/>
        <v>0</v>
      </c>
      <c r="AU113" s="1">
        <f t="shared" si="77"/>
        <v>0</v>
      </c>
      <c r="AV113">
        <f t="shared" si="78"/>
        <v>0</v>
      </c>
      <c r="AW113">
        <f t="shared" si="79"/>
        <v>0</v>
      </c>
      <c r="AX113">
        <f t="shared" si="80"/>
        <v>0</v>
      </c>
      <c r="AY113">
        <f t="shared" si="81"/>
        <v>0</v>
      </c>
      <c r="AZ113">
        <f t="shared" si="82"/>
        <v>0</v>
      </c>
      <c r="BA113">
        <f t="shared" si="83"/>
        <v>0</v>
      </c>
      <c r="BB113">
        <f t="shared" si="84"/>
        <v>0</v>
      </c>
      <c r="BC113">
        <f t="shared" si="85"/>
        <v>0</v>
      </c>
      <c r="BD113">
        <f t="shared" si="86"/>
        <v>0</v>
      </c>
    </row>
    <row r="114" spans="1:56" x14ac:dyDescent="0.25">
      <c r="A114" s="1">
        <v>97</v>
      </c>
      <c r="B114" s="2">
        <v>0</v>
      </c>
      <c r="C114" s="2">
        <v>0</v>
      </c>
      <c r="D114" s="2">
        <v>0</v>
      </c>
      <c r="E114" s="2">
        <v>0</v>
      </c>
      <c r="F114" s="1">
        <f t="shared" si="87"/>
        <v>0</v>
      </c>
      <c r="G114" s="1">
        <f t="shared" si="88"/>
        <v>0</v>
      </c>
      <c r="H114" s="1">
        <f t="shared" si="89"/>
        <v>0</v>
      </c>
      <c r="I114" s="1">
        <f t="shared" si="90"/>
        <v>0</v>
      </c>
      <c r="J114" s="1">
        <f t="shared" si="91"/>
        <v>0</v>
      </c>
      <c r="K114" s="1">
        <f t="shared" si="92"/>
        <v>0</v>
      </c>
      <c r="L114" s="1">
        <f t="shared" si="93"/>
        <v>0</v>
      </c>
      <c r="M114" s="1">
        <f t="shared" si="94"/>
        <v>0</v>
      </c>
      <c r="N114" s="1">
        <f t="shared" si="95"/>
        <v>0</v>
      </c>
      <c r="O114" s="1">
        <f t="shared" si="96"/>
        <v>-0.64772727272727271</v>
      </c>
      <c r="P114" s="1">
        <f t="shared" si="97"/>
        <v>-3.1477272727272729</v>
      </c>
      <c r="Q114" s="1">
        <f t="shared" si="98"/>
        <v>0</v>
      </c>
      <c r="R114" s="1">
        <f t="shared" si="53"/>
        <v>0</v>
      </c>
      <c r="S114" s="1">
        <f t="shared" si="99"/>
        <v>0</v>
      </c>
      <c r="T114" s="7">
        <f t="shared" si="100"/>
        <v>-0.64772727272727271</v>
      </c>
      <c r="U114" s="7">
        <f t="shared" si="101"/>
        <v>-3.1477272727272729</v>
      </c>
      <c r="V114" s="7">
        <f t="shared" si="102"/>
        <v>-0.64772727272727271</v>
      </c>
      <c r="W114" s="7">
        <f t="shared" si="103"/>
        <v>-3.1477272727272729</v>
      </c>
      <c r="X114" s="1">
        <f t="shared" si="54"/>
        <v>0</v>
      </c>
      <c r="Y114" s="1">
        <f t="shared" si="55"/>
        <v>0</v>
      </c>
      <c r="Z114">
        <f t="shared" si="56"/>
        <v>0</v>
      </c>
      <c r="AA114">
        <f t="shared" si="57"/>
        <v>0</v>
      </c>
      <c r="AB114">
        <f t="shared" si="58"/>
        <v>0</v>
      </c>
      <c r="AC114">
        <f t="shared" si="59"/>
        <v>0</v>
      </c>
      <c r="AD114">
        <f t="shared" si="60"/>
        <v>0</v>
      </c>
      <c r="AE114">
        <f t="shared" si="61"/>
        <v>0</v>
      </c>
      <c r="AF114">
        <f t="shared" si="62"/>
        <v>0</v>
      </c>
      <c r="AG114">
        <f t="shared" si="63"/>
        <v>0</v>
      </c>
      <c r="AH114">
        <f t="shared" si="64"/>
        <v>0</v>
      </c>
      <c r="AI114" s="1">
        <f t="shared" si="65"/>
        <v>0</v>
      </c>
      <c r="AJ114" s="1">
        <f t="shared" si="66"/>
        <v>0</v>
      </c>
      <c r="AK114">
        <f t="shared" si="67"/>
        <v>0</v>
      </c>
      <c r="AL114">
        <f t="shared" si="68"/>
        <v>0</v>
      </c>
      <c r="AM114">
        <f t="shared" si="69"/>
        <v>0</v>
      </c>
      <c r="AN114">
        <f t="shared" si="70"/>
        <v>0</v>
      </c>
      <c r="AO114">
        <f t="shared" si="71"/>
        <v>0</v>
      </c>
      <c r="AP114">
        <f t="shared" si="72"/>
        <v>0</v>
      </c>
      <c r="AQ114">
        <f t="shared" si="73"/>
        <v>0</v>
      </c>
      <c r="AR114">
        <f t="shared" si="74"/>
        <v>0</v>
      </c>
      <c r="AS114">
        <f t="shared" si="75"/>
        <v>0</v>
      </c>
      <c r="AT114" s="1">
        <f t="shared" si="76"/>
        <v>0</v>
      </c>
      <c r="AU114" s="1">
        <f t="shared" si="77"/>
        <v>0</v>
      </c>
      <c r="AV114">
        <f t="shared" si="78"/>
        <v>0</v>
      </c>
      <c r="AW114">
        <f t="shared" si="79"/>
        <v>0</v>
      </c>
      <c r="AX114">
        <f t="shared" si="80"/>
        <v>0</v>
      </c>
      <c r="AY114">
        <f t="shared" si="81"/>
        <v>0</v>
      </c>
      <c r="AZ114">
        <f t="shared" si="82"/>
        <v>0</v>
      </c>
      <c r="BA114">
        <f t="shared" si="83"/>
        <v>0</v>
      </c>
      <c r="BB114">
        <f t="shared" si="84"/>
        <v>0</v>
      </c>
      <c r="BC114">
        <f t="shared" si="85"/>
        <v>0</v>
      </c>
      <c r="BD114">
        <f t="shared" si="86"/>
        <v>0</v>
      </c>
    </row>
    <row r="115" spans="1:56" x14ac:dyDescent="0.25">
      <c r="A115" s="1">
        <v>98</v>
      </c>
      <c r="B115" s="2">
        <v>0</v>
      </c>
      <c r="C115" s="2">
        <v>0</v>
      </c>
      <c r="D115" s="2">
        <v>0</v>
      </c>
      <c r="E115" s="2">
        <v>0</v>
      </c>
      <c r="F115" s="1">
        <f t="shared" si="87"/>
        <v>0</v>
      </c>
      <c r="G115" s="1">
        <f t="shared" si="88"/>
        <v>0</v>
      </c>
      <c r="H115" s="1">
        <f t="shared" si="89"/>
        <v>0</v>
      </c>
      <c r="I115" s="1">
        <f t="shared" si="90"/>
        <v>0</v>
      </c>
      <c r="J115" s="1">
        <f t="shared" si="91"/>
        <v>0</v>
      </c>
      <c r="K115" s="1">
        <f t="shared" si="92"/>
        <v>0</v>
      </c>
      <c r="L115" s="1">
        <f t="shared" si="93"/>
        <v>0</v>
      </c>
      <c r="M115" s="1">
        <f t="shared" si="94"/>
        <v>0</v>
      </c>
      <c r="N115" s="1">
        <f t="shared" si="95"/>
        <v>0</v>
      </c>
      <c r="O115" s="1">
        <f t="shared" si="96"/>
        <v>-0.64772727272727271</v>
      </c>
      <c r="P115" s="1">
        <f t="shared" si="97"/>
        <v>-3.1477272727272729</v>
      </c>
      <c r="Q115" s="1">
        <f t="shared" si="98"/>
        <v>0</v>
      </c>
      <c r="R115" s="1">
        <f t="shared" si="53"/>
        <v>0</v>
      </c>
      <c r="S115" s="1">
        <f t="shared" si="99"/>
        <v>0</v>
      </c>
      <c r="T115" s="7">
        <f t="shared" si="100"/>
        <v>-0.64772727272727271</v>
      </c>
      <c r="U115" s="7">
        <f t="shared" si="101"/>
        <v>-3.1477272727272729</v>
      </c>
      <c r="V115" s="7">
        <f t="shared" si="102"/>
        <v>-0.64772727272727271</v>
      </c>
      <c r="W115" s="7">
        <f t="shared" si="103"/>
        <v>-3.1477272727272729</v>
      </c>
      <c r="X115" s="1">
        <f t="shared" si="54"/>
        <v>0</v>
      </c>
      <c r="Y115" s="1">
        <f t="shared" si="55"/>
        <v>0</v>
      </c>
      <c r="Z115">
        <f t="shared" si="56"/>
        <v>0</v>
      </c>
      <c r="AA115">
        <f t="shared" si="57"/>
        <v>0</v>
      </c>
      <c r="AB115">
        <f t="shared" si="58"/>
        <v>0</v>
      </c>
      <c r="AC115">
        <f t="shared" si="59"/>
        <v>0</v>
      </c>
      <c r="AD115">
        <f t="shared" si="60"/>
        <v>0</v>
      </c>
      <c r="AE115">
        <f t="shared" si="61"/>
        <v>0</v>
      </c>
      <c r="AF115">
        <f t="shared" si="62"/>
        <v>0</v>
      </c>
      <c r="AG115">
        <f t="shared" si="63"/>
        <v>0</v>
      </c>
      <c r="AH115">
        <f t="shared" si="64"/>
        <v>0</v>
      </c>
      <c r="AI115" s="1">
        <f t="shared" si="65"/>
        <v>0</v>
      </c>
      <c r="AJ115" s="1">
        <f t="shared" si="66"/>
        <v>0</v>
      </c>
      <c r="AK115">
        <f t="shared" si="67"/>
        <v>0</v>
      </c>
      <c r="AL115">
        <f t="shared" si="68"/>
        <v>0</v>
      </c>
      <c r="AM115">
        <f t="shared" si="69"/>
        <v>0</v>
      </c>
      <c r="AN115">
        <f t="shared" si="70"/>
        <v>0</v>
      </c>
      <c r="AO115">
        <f t="shared" si="71"/>
        <v>0</v>
      </c>
      <c r="AP115">
        <f t="shared" si="72"/>
        <v>0</v>
      </c>
      <c r="AQ115">
        <f t="shared" si="73"/>
        <v>0</v>
      </c>
      <c r="AR115">
        <f t="shared" si="74"/>
        <v>0</v>
      </c>
      <c r="AS115">
        <f t="shared" si="75"/>
        <v>0</v>
      </c>
      <c r="AT115" s="1">
        <f t="shared" si="76"/>
        <v>0</v>
      </c>
      <c r="AU115" s="1">
        <f t="shared" si="77"/>
        <v>0</v>
      </c>
      <c r="AV115">
        <f t="shared" si="78"/>
        <v>0</v>
      </c>
      <c r="AW115">
        <f t="shared" si="79"/>
        <v>0</v>
      </c>
      <c r="AX115">
        <f t="shared" si="80"/>
        <v>0</v>
      </c>
      <c r="AY115">
        <f t="shared" si="81"/>
        <v>0</v>
      </c>
      <c r="AZ115">
        <f t="shared" si="82"/>
        <v>0</v>
      </c>
      <c r="BA115">
        <f t="shared" si="83"/>
        <v>0</v>
      </c>
      <c r="BB115">
        <f t="shared" si="84"/>
        <v>0</v>
      </c>
      <c r="BC115">
        <f t="shared" si="85"/>
        <v>0</v>
      </c>
      <c r="BD115">
        <f t="shared" si="86"/>
        <v>0</v>
      </c>
    </row>
    <row r="116" spans="1:56" x14ac:dyDescent="0.25">
      <c r="A116" s="1">
        <v>99</v>
      </c>
      <c r="B116" s="2">
        <v>0</v>
      </c>
      <c r="C116" s="2">
        <v>0</v>
      </c>
      <c r="D116" s="2">
        <v>0</v>
      </c>
      <c r="E116" s="2">
        <v>0</v>
      </c>
      <c r="F116" s="1">
        <f t="shared" si="87"/>
        <v>0</v>
      </c>
      <c r="G116" s="1">
        <f t="shared" si="88"/>
        <v>0</v>
      </c>
      <c r="H116" s="1">
        <f t="shared" si="89"/>
        <v>0</v>
      </c>
      <c r="I116" s="1">
        <f t="shared" si="90"/>
        <v>0</v>
      </c>
      <c r="J116" s="1">
        <f t="shared" si="91"/>
        <v>0</v>
      </c>
      <c r="K116" s="1">
        <f t="shared" si="92"/>
        <v>0</v>
      </c>
      <c r="L116" s="1">
        <f t="shared" si="93"/>
        <v>0</v>
      </c>
      <c r="M116" s="1">
        <f t="shared" si="94"/>
        <v>0</v>
      </c>
      <c r="N116" s="1">
        <f t="shared" si="95"/>
        <v>0</v>
      </c>
      <c r="O116" s="1">
        <f t="shared" si="96"/>
        <v>-0.64772727272727271</v>
      </c>
      <c r="P116" s="1">
        <f t="shared" si="97"/>
        <v>-3.1477272727272729</v>
      </c>
      <c r="Q116" s="1">
        <f t="shared" si="98"/>
        <v>0</v>
      </c>
      <c r="R116" s="1">
        <f t="shared" si="53"/>
        <v>0</v>
      </c>
      <c r="S116" s="1">
        <f t="shared" si="99"/>
        <v>0</v>
      </c>
      <c r="T116" s="7">
        <f t="shared" si="100"/>
        <v>-0.64772727272727271</v>
      </c>
      <c r="U116" s="7">
        <f t="shared" si="101"/>
        <v>-3.1477272727272729</v>
      </c>
      <c r="V116" s="7">
        <f t="shared" si="102"/>
        <v>-0.64772727272727271</v>
      </c>
      <c r="W116" s="7">
        <f t="shared" si="103"/>
        <v>-3.1477272727272729</v>
      </c>
      <c r="X116" s="1">
        <f t="shared" si="54"/>
        <v>0</v>
      </c>
      <c r="Y116" s="1">
        <f t="shared" si="55"/>
        <v>0</v>
      </c>
      <c r="Z116">
        <f t="shared" si="56"/>
        <v>0</v>
      </c>
      <c r="AA116">
        <f t="shared" si="57"/>
        <v>0</v>
      </c>
      <c r="AB116">
        <f t="shared" si="58"/>
        <v>0</v>
      </c>
      <c r="AC116">
        <f t="shared" si="59"/>
        <v>0</v>
      </c>
      <c r="AD116">
        <f t="shared" si="60"/>
        <v>0</v>
      </c>
      <c r="AE116">
        <f t="shared" si="61"/>
        <v>0</v>
      </c>
      <c r="AF116">
        <f t="shared" si="62"/>
        <v>0</v>
      </c>
      <c r="AG116">
        <f t="shared" si="63"/>
        <v>0</v>
      </c>
      <c r="AH116">
        <f t="shared" si="64"/>
        <v>0</v>
      </c>
      <c r="AI116" s="1">
        <f t="shared" si="65"/>
        <v>0</v>
      </c>
      <c r="AJ116" s="1">
        <f t="shared" si="66"/>
        <v>0</v>
      </c>
      <c r="AK116">
        <f t="shared" si="67"/>
        <v>0</v>
      </c>
      <c r="AL116">
        <f t="shared" si="68"/>
        <v>0</v>
      </c>
      <c r="AM116">
        <f t="shared" si="69"/>
        <v>0</v>
      </c>
      <c r="AN116">
        <f t="shared" si="70"/>
        <v>0</v>
      </c>
      <c r="AO116">
        <f t="shared" si="71"/>
        <v>0</v>
      </c>
      <c r="AP116">
        <f t="shared" si="72"/>
        <v>0</v>
      </c>
      <c r="AQ116">
        <f t="shared" si="73"/>
        <v>0</v>
      </c>
      <c r="AR116">
        <f t="shared" si="74"/>
        <v>0</v>
      </c>
      <c r="AS116">
        <f t="shared" si="75"/>
        <v>0</v>
      </c>
      <c r="AT116" s="1">
        <f t="shared" si="76"/>
        <v>0</v>
      </c>
      <c r="AU116" s="1">
        <f t="shared" si="77"/>
        <v>0</v>
      </c>
      <c r="AV116">
        <f t="shared" si="78"/>
        <v>0</v>
      </c>
      <c r="AW116">
        <f t="shared" si="79"/>
        <v>0</v>
      </c>
      <c r="AX116">
        <f t="shared" si="80"/>
        <v>0</v>
      </c>
      <c r="AY116">
        <f t="shared" si="81"/>
        <v>0</v>
      </c>
      <c r="AZ116">
        <f t="shared" si="82"/>
        <v>0</v>
      </c>
      <c r="BA116">
        <f t="shared" si="83"/>
        <v>0</v>
      </c>
      <c r="BB116">
        <f t="shared" si="84"/>
        <v>0</v>
      </c>
      <c r="BC116">
        <f t="shared" si="85"/>
        <v>0</v>
      </c>
      <c r="BD116">
        <f t="shared" si="86"/>
        <v>0</v>
      </c>
    </row>
    <row r="117" spans="1:56" x14ac:dyDescent="0.25">
      <c r="A117" s="1">
        <v>100</v>
      </c>
      <c r="B117" s="2">
        <v>0</v>
      </c>
      <c r="C117" s="2">
        <v>0</v>
      </c>
      <c r="D117" s="2">
        <v>0</v>
      </c>
      <c r="E117" s="2">
        <v>0</v>
      </c>
      <c r="F117" s="1">
        <f t="shared" si="87"/>
        <v>0</v>
      </c>
      <c r="G117" s="1">
        <f t="shared" si="88"/>
        <v>0</v>
      </c>
      <c r="H117" s="1">
        <f t="shared" si="89"/>
        <v>0</v>
      </c>
      <c r="I117" s="1">
        <f t="shared" si="90"/>
        <v>0</v>
      </c>
      <c r="J117" s="1">
        <f t="shared" si="91"/>
        <v>0</v>
      </c>
      <c r="K117" s="1">
        <f t="shared" si="92"/>
        <v>0</v>
      </c>
      <c r="L117" s="1">
        <f t="shared" si="93"/>
        <v>0</v>
      </c>
      <c r="M117" s="1">
        <f t="shared" si="94"/>
        <v>0</v>
      </c>
      <c r="N117" s="1">
        <f t="shared" si="95"/>
        <v>0</v>
      </c>
      <c r="O117" s="1">
        <f t="shared" si="96"/>
        <v>-0.64772727272727271</v>
      </c>
      <c r="P117" s="1">
        <f t="shared" si="97"/>
        <v>-3.1477272727272729</v>
      </c>
      <c r="Q117" s="1">
        <f t="shared" si="98"/>
        <v>0</v>
      </c>
      <c r="R117" s="1">
        <f t="shared" si="53"/>
        <v>0</v>
      </c>
      <c r="S117" s="1">
        <f t="shared" si="99"/>
        <v>0</v>
      </c>
      <c r="T117" s="7">
        <f t="shared" si="100"/>
        <v>-0.64772727272727271</v>
      </c>
      <c r="U117" s="7">
        <f t="shared" si="101"/>
        <v>-3.1477272727272729</v>
      </c>
      <c r="V117" s="7">
        <f t="shared" si="102"/>
        <v>-0.64772727272727271</v>
      </c>
      <c r="W117" s="7">
        <f t="shared" si="103"/>
        <v>-3.1477272727272729</v>
      </c>
      <c r="X117" s="1">
        <f t="shared" si="54"/>
        <v>0</v>
      </c>
      <c r="Y117" s="1">
        <f t="shared" si="55"/>
        <v>0</v>
      </c>
      <c r="Z117">
        <f t="shared" si="56"/>
        <v>0</v>
      </c>
      <c r="AA117">
        <f t="shared" si="57"/>
        <v>0</v>
      </c>
      <c r="AB117">
        <f t="shared" si="58"/>
        <v>0</v>
      </c>
      <c r="AC117">
        <f t="shared" si="59"/>
        <v>0</v>
      </c>
      <c r="AD117">
        <f t="shared" si="60"/>
        <v>0</v>
      </c>
      <c r="AE117">
        <f t="shared" si="61"/>
        <v>0</v>
      </c>
      <c r="AF117">
        <f t="shared" si="62"/>
        <v>0</v>
      </c>
      <c r="AG117">
        <f t="shared" si="63"/>
        <v>0</v>
      </c>
      <c r="AH117">
        <f t="shared" si="64"/>
        <v>0</v>
      </c>
      <c r="AI117" s="1">
        <f t="shared" si="65"/>
        <v>0</v>
      </c>
      <c r="AJ117" s="1">
        <f t="shared" si="66"/>
        <v>0</v>
      </c>
      <c r="AK117">
        <f t="shared" si="67"/>
        <v>0</v>
      </c>
      <c r="AL117">
        <f t="shared" si="68"/>
        <v>0</v>
      </c>
      <c r="AM117">
        <f t="shared" si="69"/>
        <v>0</v>
      </c>
      <c r="AN117">
        <f t="shared" si="70"/>
        <v>0</v>
      </c>
      <c r="AO117">
        <f t="shared" si="71"/>
        <v>0</v>
      </c>
      <c r="AP117">
        <f t="shared" si="72"/>
        <v>0</v>
      </c>
      <c r="AQ117">
        <f t="shared" si="73"/>
        <v>0</v>
      </c>
      <c r="AR117">
        <f t="shared" si="74"/>
        <v>0</v>
      </c>
      <c r="AS117">
        <f t="shared" si="75"/>
        <v>0</v>
      </c>
      <c r="AT117" s="1">
        <f t="shared" si="76"/>
        <v>0</v>
      </c>
      <c r="AU117" s="1">
        <f t="shared" si="77"/>
        <v>0</v>
      </c>
      <c r="AV117">
        <f t="shared" si="78"/>
        <v>0</v>
      </c>
      <c r="AW117">
        <f t="shared" si="79"/>
        <v>0</v>
      </c>
      <c r="AX117">
        <f t="shared" si="80"/>
        <v>0</v>
      </c>
      <c r="AY117">
        <f t="shared" si="81"/>
        <v>0</v>
      </c>
      <c r="AZ117">
        <f t="shared" si="82"/>
        <v>0</v>
      </c>
      <c r="BA117">
        <f t="shared" si="83"/>
        <v>0</v>
      </c>
      <c r="BB117">
        <f t="shared" si="84"/>
        <v>0</v>
      </c>
      <c r="BC117">
        <f t="shared" si="85"/>
        <v>0</v>
      </c>
      <c r="BD117">
        <f t="shared" si="86"/>
        <v>0</v>
      </c>
    </row>
    <row r="118" spans="1:56" x14ac:dyDescent="0.25">
      <c r="A118" s="1">
        <v>101</v>
      </c>
      <c r="B118" s="2">
        <v>0</v>
      </c>
      <c r="C118" s="2">
        <v>0</v>
      </c>
      <c r="D118" s="2">
        <v>0</v>
      </c>
      <c r="E118" s="2">
        <v>0</v>
      </c>
      <c r="F118" s="1">
        <f t="shared" si="87"/>
        <v>0</v>
      </c>
      <c r="G118" s="1">
        <f t="shared" si="88"/>
        <v>0</v>
      </c>
      <c r="H118" s="1">
        <f t="shared" si="89"/>
        <v>0</v>
      </c>
      <c r="I118" s="1">
        <f t="shared" si="90"/>
        <v>0</v>
      </c>
      <c r="J118" s="1">
        <f t="shared" si="91"/>
        <v>0</v>
      </c>
      <c r="K118" s="1">
        <f t="shared" si="92"/>
        <v>0</v>
      </c>
      <c r="L118" s="1">
        <f t="shared" si="93"/>
        <v>0</v>
      </c>
      <c r="M118" s="1">
        <f t="shared" si="94"/>
        <v>0</v>
      </c>
      <c r="N118" s="1">
        <f t="shared" si="95"/>
        <v>0</v>
      </c>
      <c r="O118" s="1">
        <f t="shared" si="96"/>
        <v>-0.64772727272727271</v>
      </c>
      <c r="P118" s="1">
        <f t="shared" si="97"/>
        <v>-3.1477272727272729</v>
      </c>
      <c r="Q118" s="1">
        <f t="shared" si="98"/>
        <v>0</v>
      </c>
      <c r="R118" s="1">
        <f t="shared" si="53"/>
        <v>0</v>
      </c>
      <c r="S118" s="1">
        <f t="shared" si="99"/>
        <v>0</v>
      </c>
      <c r="T118" s="7">
        <f t="shared" si="100"/>
        <v>-0.64772727272727271</v>
      </c>
      <c r="U118" s="7">
        <f t="shared" si="101"/>
        <v>-3.1477272727272729</v>
      </c>
      <c r="V118" s="7">
        <f t="shared" si="102"/>
        <v>-0.64772727272727271</v>
      </c>
      <c r="W118" s="7">
        <f t="shared" si="103"/>
        <v>-3.1477272727272729</v>
      </c>
      <c r="X118" s="1">
        <f t="shared" si="54"/>
        <v>0</v>
      </c>
      <c r="Y118" s="1">
        <f t="shared" si="55"/>
        <v>0</v>
      </c>
      <c r="Z118">
        <f t="shared" si="56"/>
        <v>0</v>
      </c>
      <c r="AA118">
        <f t="shared" si="57"/>
        <v>0</v>
      </c>
      <c r="AB118">
        <f t="shared" si="58"/>
        <v>0</v>
      </c>
      <c r="AC118">
        <f t="shared" si="59"/>
        <v>0</v>
      </c>
      <c r="AD118">
        <f t="shared" si="60"/>
        <v>0</v>
      </c>
      <c r="AE118">
        <f t="shared" si="61"/>
        <v>0</v>
      </c>
      <c r="AF118">
        <f t="shared" si="62"/>
        <v>0</v>
      </c>
      <c r="AG118">
        <f t="shared" si="63"/>
        <v>0</v>
      </c>
      <c r="AH118">
        <f t="shared" si="64"/>
        <v>0</v>
      </c>
      <c r="AI118" s="1">
        <f t="shared" si="65"/>
        <v>0</v>
      </c>
      <c r="AJ118" s="1">
        <f t="shared" si="66"/>
        <v>0</v>
      </c>
      <c r="AK118">
        <f t="shared" si="67"/>
        <v>0</v>
      </c>
      <c r="AL118">
        <f t="shared" si="68"/>
        <v>0</v>
      </c>
      <c r="AM118">
        <f t="shared" si="69"/>
        <v>0</v>
      </c>
      <c r="AN118">
        <f t="shared" si="70"/>
        <v>0</v>
      </c>
      <c r="AO118">
        <f t="shared" si="71"/>
        <v>0</v>
      </c>
      <c r="AP118">
        <f t="shared" si="72"/>
        <v>0</v>
      </c>
      <c r="AQ118">
        <f t="shared" si="73"/>
        <v>0</v>
      </c>
      <c r="AR118">
        <f t="shared" si="74"/>
        <v>0</v>
      </c>
      <c r="AS118">
        <f t="shared" si="75"/>
        <v>0</v>
      </c>
      <c r="AT118" s="1">
        <f t="shared" si="76"/>
        <v>0</v>
      </c>
      <c r="AU118" s="1">
        <f t="shared" si="77"/>
        <v>0</v>
      </c>
      <c r="AV118">
        <f t="shared" si="78"/>
        <v>0</v>
      </c>
      <c r="AW118">
        <f t="shared" si="79"/>
        <v>0</v>
      </c>
      <c r="AX118">
        <f t="shared" si="80"/>
        <v>0</v>
      </c>
      <c r="AY118">
        <f t="shared" si="81"/>
        <v>0</v>
      </c>
      <c r="AZ118">
        <f t="shared" si="82"/>
        <v>0</v>
      </c>
      <c r="BA118">
        <f t="shared" si="83"/>
        <v>0</v>
      </c>
      <c r="BB118">
        <f t="shared" si="84"/>
        <v>0</v>
      </c>
      <c r="BC118">
        <f t="shared" si="85"/>
        <v>0</v>
      </c>
      <c r="BD118">
        <f t="shared" si="86"/>
        <v>0</v>
      </c>
    </row>
    <row r="119" spans="1:56" x14ac:dyDescent="0.25">
      <c r="A119" s="1">
        <v>102</v>
      </c>
      <c r="B119" s="2">
        <v>0</v>
      </c>
      <c r="C119" s="2">
        <v>0</v>
      </c>
      <c r="D119" s="2">
        <v>0</v>
      </c>
      <c r="E119" s="2">
        <v>0</v>
      </c>
      <c r="F119" s="1">
        <f t="shared" si="87"/>
        <v>0</v>
      </c>
      <c r="G119" s="1">
        <f t="shared" si="88"/>
        <v>0</v>
      </c>
      <c r="H119" s="1">
        <f t="shared" si="89"/>
        <v>0</v>
      </c>
      <c r="I119" s="1">
        <f t="shared" si="90"/>
        <v>0</v>
      </c>
      <c r="J119" s="1">
        <f t="shared" si="91"/>
        <v>0</v>
      </c>
      <c r="K119" s="1">
        <f t="shared" si="92"/>
        <v>0</v>
      </c>
      <c r="L119" s="1">
        <f t="shared" si="93"/>
        <v>0</v>
      </c>
      <c r="M119" s="1">
        <f t="shared" si="94"/>
        <v>0</v>
      </c>
      <c r="N119" s="1">
        <f t="shared" si="95"/>
        <v>0</v>
      </c>
      <c r="O119" s="1">
        <f t="shared" si="96"/>
        <v>-0.64772727272727271</v>
      </c>
      <c r="P119" s="1">
        <f t="shared" si="97"/>
        <v>-3.1477272727272729</v>
      </c>
      <c r="Q119" s="1">
        <f t="shared" si="98"/>
        <v>0</v>
      </c>
      <c r="R119" s="1">
        <f t="shared" si="53"/>
        <v>0</v>
      </c>
      <c r="S119" s="1">
        <f t="shared" si="99"/>
        <v>0</v>
      </c>
      <c r="T119" s="7">
        <f t="shared" si="100"/>
        <v>-0.64772727272727271</v>
      </c>
      <c r="U119" s="7">
        <f t="shared" si="101"/>
        <v>-3.1477272727272729</v>
      </c>
      <c r="V119" s="7">
        <f t="shared" si="102"/>
        <v>-0.64772727272727271</v>
      </c>
      <c r="W119" s="7">
        <f t="shared" si="103"/>
        <v>-3.1477272727272729</v>
      </c>
      <c r="X119" s="1">
        <f t="shared" si="54"/>
        <v>0</v>
      </c>
      <c r="Y119" s="1">
        <f t="shared" si="55"/>
        <v>0</v>
      </c>
      <c r="Z119">
        <f t="shared" si="56"/>
        <v>0</v>
      </c>
      <c r="AA119">
        <f t="shared" si="57"/>
        <v>0</v>
      </c>
      <c r="AB119">
        <f t="shared" si="58"/>
        <v>0</v>
      </c>
      <c r="AC119">
        <f t="shared" si="59"/>
        <v>0</v>
      </c>
      <c r="AD119">
        <f t="shared" si="60"/>
        <v>0</v>
      </c>
      <c r="AE119">
        <f t="shared" si="61"/>
        <v>0</v>
      </c>
      <c r="AF119">
        <f t="shared" si="62"/>
        <v>0</v>
      </c>
      <c r="AG119">
        <f t="shared" si="63"/>
        <v>0</v>
      </c>
      <c r="AH119">
        <f t="shared" si="64"/>
        <v>0</v>
      </c>
      <c r="AI119" s="1">
        <f t="shared" si="65"/>
        <v>0</v>
      </c>
      <c r="AJ119" s="1">
        <f t="shared" si="66"/>
        <v>0</v>
      </c>
      <c r="AK119">
        <f t="shared" si="67"/>
        <v>0</v>
      </c>
      <c r="AL119">
        <f t="shared" si="68"/>
        <v>0</v>
      </c>
      <c r="AM119">
        <f t="shared" si="69"/>
        <v>0</v>
      </c>
      <c r="AN119">
        <f t="shared" si="70"/>
        <v>0</v>
      </c>
      <c r="AO119">
        <f t="shared" si="71"/>
        <v>0</v>
      </c>
      <c r="AP119">
        <f t="shared" si="72"/>
        <v>0</v>
      </c>
      <c r="AQ119">
        <f t="shared" si="73"/>
        <v>0</v>
      </c>
      <c r="AR119">
        <f t="shared" si="74"/>
        <v>0</v>
      </c>
      <c r="AS119">
        <f t="shared" si="75"/>
        <v>0</v>
      </c>
      <c r="AT119" s="1">
        <f t="shared" si="76"/>
        <v>0</v>
      </c>
      <c r="AU119" s="1">
        <f t="shared" si="77"/>
        <v>0</v>
      </c>
      <c r="AV119">
        <f t="shared" si="78"/>
        <v>0</v>
      </c>
      <c r="AW119">
        <f t="shared" si="79"/>
        <v>0</v>
      </c>
      <c r="AX119">
        <f t="shared" si="80"/>
        <v>0</v>
      </c>
      <c r="AY119">
        <f t="shared" si="81"/>
        <v>0</v>
      </c>
      <c r="AZ119">
        <f t="shared" si="82"/>
        <v>0</v>
      </c>
      <c r="BA119">
        <f t="shared" si="83"/>
        <v>0</v>
      </c>
      <c r="BB119">
        <f t="shared" si="84"/>
        <v>0</v>
      </c>
      <c r="BC119">
        <f t="shared" si="85"/>
        <v>0</v>
      </c>
      <c r="BD119">
        <f t="shared" si="86"/>
        <v>0</v>
      </c>
    </row>
    <row r="120" spans="1:56" x14ac:dyDescent="0.25">
      <c r="A120" s="1">
        <v>103</v>
      </c>
      <c r="B120" s="2">
        <v>0</v>
      </c>
      <c r="C120" s="2">
        <v>0</v>
      </c>
      <c r="D120" s="2">
        <v>0</v>
      </c>
      <c r="E120" s="2">
        <v>0</v>
      </c>
      <c r="F120" s="1">
        <f t="shared" si="87"/>
        <v>0</v>
      </c>
      <c r="G120" s="1">
        <f t="shared" si="88"/>
        <v>0</v>
      </c>
      <c r="H120" s="1">
        <f t="shared" si="89"/>
        <v>0</v>
      </c>
      <c r="I120" s="1">
        <f t="shared" si="90"/>
        <v>0</v>
      </c>
      <c r="J120" s="1">
        <f t="shared" si="91"/>
        <v>0</v>
      </c>
      <c r="K120" s="1">
        <f t="shared" si="92"/>
        <v>0</v>
      </c>
      <c r="L120" s="1">
        <f t="shared" si="93"/>
        <v>0</v>
      </c>
      <c r="M120" s="1">
        <f t="shared" si="94"/>
        <v>0</v>
      </c>
      <c r="N120" s="1">
        <f t="shared" si="95"/>
        <v>0</v>
      </c>
      <c r="O120" s="1">
        <f t="shared" si="96"/>
        <v>-0.64772727272727271</v>
      </c>
      <c r="P120" s="1">
        <f t="shared" si="97"/>
        <v>-3.1477272727272729</v>
      </c>
      <c r="Q120" s="1">
        <f t="shared" si="98"/>
        <v>0</v>
      </c>
      <c r="R120" s="1">
        <f t="shared" si="53"/>
        <v>0</v>
      </c>
      <c r="S120" s="1">
        <f t="shared" si="99"/>
        <v>0</v>
      </c>
      <c r="T120" s="7">
        <f t="shared" si="100"/>
        <v>-0.64772727272727271</v>
      </c>
      <c r="U120" s="7">
        <f t="shared" si="101"/>
        <v>-3.1477272727272729</v>
      </c>
      <c r="V120" s="7">
        <f t="shared" si="102"/>
        <v>-0.64772727272727271</v>
      </c>
      <c r="W120" s="7">
        <f t="shared" si="103"/>
        <v>-3.1477272727272729</v>
      </c>
      <c r="X120" s="1">
        <f t="shared" si="54"/>
        <v>0</v>
      </c>
      <c r="Y120" s="1">
        <f t="shared" si="55"/>
        <v>0</v>
      </c>
      <c r="Z120">
        <f t="shared" si="56"/>
        <v>0</v>
      </c>
      <c r="AA120">
        <f t="shared" si="57"/>
        <v>0</v>
      </c>
      <c r="AB120">
        <f t="shared" si="58"/>
        <v>0</v>
      </c>
      <c r="AC120">
        <f t="shared" si="59"/>
        <v>0</v>
      </c>
      <c r="AD120">
        <f t="shared" si="60"/>
        <v>0</v>
      </c>
      <c r="AE120">
        <f t="shared" si="61"/>
        <v>0</v>
      </c>
      <c r="AF120">
        <f t="shared" si="62"/>
        <v>0</v>
      </c>
      <c r="AG120">
        <f t="shared" si="63"/>
        <v>0</v>
      </c>
      <c r="AH120">
        <f t="shared" si="64"/>
        <v>0</v>
      </c>
      <c r="AI120" s="1">
        <f t="shared" si="65"/>
        <v>0</v>
      </c>
      <c r="AJ120" s="1">
        <f t="shared" si="66"/>
        <v>0</v>
      </c>
      <c r="AK120">
        <f t="shared" si="67"/>
        <v>0</v>
      </c>
      <c r="AL120">
        <f t="shared" si="68"/>
        <v>0</v>
      </c>
      <c r="AM120">
        <f t="shared" si="69"/>
        <v>0</v>
      </c>
      <c r="AN120">
        <f t="shared" si="70"/>
        <v>0</v>
      </c>
      <c r="AO120">
        <f t="shared" si="71"/>
        <v>0</v>
      </c>
      <c r="AP120">
        <f t="shared" si="72"/>
        <v>0</v>
      </c>
      <c r="AQ120">
        <f t="shared" si="73"/>
        <v>0</v>
      </c>
      <c r="AR120">
        <f t="shared" si="74"/>
        <v>0</v>
      </c>
      <c r="AS120">
        <f t="shared" si="75"/>
        <v>0</v>
      </c>
      <c r="AT120" s="1">
        <f t="shared" si="76"/>
        <v>0</v>
      </c>
      <c r="AU120" s="1">
        <f t="shared" si="77"/>
        <v>0</v>
      </c>
      <c r="AV120">
        <f t="shared" si="78"/>
        <v>0</v>
      </c>
      <c r="AW120">
        <f t="shared" si="79"/>
        <v>0</v>
      </c>
      <c r="AX120">
        <f t="shared" si="80"/>
        <v>0</v>
      </c>
      <c r="AY120">
        <f t="shared" si="81"/>
        <v>0</v>
      </c>
      <c r="AZ120">
        <f t="shared" si="82"/>
        <v>0</v>
      </c>
      <c r="BA120">
        <f t="shared" si="83"/>
        <v>0</v>
      </c>
      <c r="BB120">
        <f t="shared" si="84"/>
        <v>0</v>
      </c>
      <c r="BC120">
        <f t="shared" si="85"/>
        <v>0</v>
      </c>
      <c r="BD120">
        <f t="shared" si="86"/>
        <v>0</v>
      </c>
    </row>
    <row r="121" spans="1:56" x14ac:dyDescent="0.25">
      <c r="A121" s="1">
        <v>104</v>
      </c>
      <c r="B121" s="2">
        <v>0</v>
      </c>
      <c r="C121" s="2">
        <v>0</v>
      </c>
      <c r="D121" s="2">
        <v>0</v>
      </c>
      <c r="E121" s="2">
        <v>0</v>
      </c>
      <c r="F121" s="1">
        <f t="shared" si="87"/>
        <v>0</v>
      </c>
      <c r="G121" s="1">
        <f t="shared" si="88"/>
        <v>0</v>
      </c>
      <c r="H121" s="1">
        <f t="shared" si="89"/>
        <v>0</v>
      </c>
      <c r="I121" s="1">
        <f t="shared" si="90"/>
        <v>0</v>
      </c>
      <c r="J121" s="1">
        <f t="shared" si="91"/>
        <v>0</v>
      </c>
      <c r="K121" s="1">
        <f t="shared" si="92"/>
        <v>0</v>
      </c>
      <c r="L121" s="1">
        <f t="shared" si="93"/>
        <v>0</v>
      </c>
      <c r="M121" s="1">
        <f t="shared" si="94"/>
        <v>0</v>
      </c>
      <c r="N121" s="1">
        <f t="shared" si="95"/>
        <v>0</v>
      </c>
      <c r="O121" s="1">
        <f t="shared" si="96"/>
        <v>-0.64772727272727271</v>
      </c>
      <c r="P121" s="1">
        <f t="shared" si="97"/>
        <v>-3.1477272727272729</v>
      </c>
      <c r="Q121" s="1">
        <f t="shared" si="98"/>
        <v>0</v>
      </c>
      <c r="R121" s="1">
        <f t="shared" si="53"/>
        <v>0</v>
      </c>
      <c r="S121" s="1">
        <f t="shared" si="99"/>
        <v>0</v>
      </c>
      <c r="T121" s="7">
        <f t="shared" si="100"/>
        <v>-0.64772727272727271</v>
      </c>
      <c r="U121" s="7">
        <f t="shared" si="101"/>
        <v>-3.1477272727272729</v>
      </c>
      <c r="V121" s="7">
        <f t="shared" si="102"/>
        <v>-0.64772727272727271</v>
      </c>
      <c r="W121" s="7">
        <f t="shared" si="103"/>
        <v>-3.1477272727272729</v>
      </c>
      <c r="X121" s="1">
        <f t="shared" si="54"/>
        <v>0</v>
      </c>
      <c r="Y121" s="1">
        <f t="shared" si="55"/>
        <v>0</v>
      </c>
      <c r="Z121">
        <f t="shared" si="56"/>
        <v>0</v>
      </c>
      <c r="AA121">
        <f t="shared" si="57"/>
        <v>0</v>
      </c>
      <c r="AB121">
        <f t="shared" si="58"/>
        <v>0</v>
      </c>
      <c r="AC121">
        <f t="shared" si="59"/>
        <v>0</v>
      </c>
      <c r="AD121">
        <f t="shared" si="60"/>
        <v>0</v>
      </c>
      <c r="AE121">
        <f t="shared" si="61"/>
        <v>0</v>
      </c>
      <c r="AF121">
        <f t="shared" si="62"/>
        <v>0</v>
      </c>
      <c r="AG121">
        <f t="shared" si="63"/>
        <v>0</v>
      </c>
      <c r="AH121">
        <f t="shared" si="64"/>
        <v>0</v>
      </c>
      <c r="AI121" s="1">
        <f t="shared" si="65"/>
        <v>0</v>
      </c>
      <c r="AJ121" s="1">
        <f t="shared" si="66"/>
        <v>0</v>
      </c>
      <c r="AK121">
        <f t="shared" si="67"/>
        <v>0</v>
      </c>
      <c r="AL121">
        <f t="shared" si="68"/>
        <v>0</v>
      </c>
      <c r="AM121">
        <f t="shared" si="69"/>
        <v>0</v>
      </c>
      <c r="AN121">
        <f t="shared" si="70"/>
        <v>0</v>
      </c>
      <c r="AO121">
        <f t="shared" si="71"/>
        <v>0</v>
      </c>
      <c r="AP121">
        <f t="shared" si="72"/>
        <v>0</v>
      </c>
      <c r="AQ121">
        <f t="shared" si="73"/>
        <v>0</v>
      </c>
      <c r="AR121">
        <f t="shared" si="74"/>
        <v>0</v>
      </c>
      <c r="AS121">
        <f t="shared" si="75"/>
        <v>0</v>
      </c>
      <c r="AT121" s="1">
        <f t="shared" si="76"/>
        <v>0</v>
      </c>
      <c r="AU121" s="1">
        <f t="shared" si="77"/>
        <v>0</v>
      </c>
      <c r="AV121">
        <f t="shared" si="78"/>
        <v>0</v>
      </c>
      <c r="AW121">
        <f t="shared" si="79"/>
        <v>0</v>
      </c>
      <c r="AX121">
        <f t="shared" si="80"/>
        <v>0</v>
      </c>
      <c r="AY121">
        <f t="shared" si="81"/>
        <v>0</v>
      </c>
      <c r="AZ121">
        <f t="shared" si="82"/>
        <v>0</v>
      </c>
      <c r="BA121">
        <f t="shared" si="83"/>
        <v>0</v>
      </c>
      <c r="BB121">
        <f t="shared" si="84"/>
        <v>0</v>
      </c>
      <c r="BC121">
        <f t="shared" si="85"/>
        <v>0</v>
      </c>
      <c r="BD121">
        <f t="shared" si="86"/>
        <v>0</v>
      </c>
    </row>
    <row r="122" spans="1:56" x14ac:dyDescent="0.25">
      <c r="A122" s="1">
        <v>105</v>
      </c>
      <c r="B122" s="2">
        <v>0</v>
      </c>
      <c r="C122" s="2">
        <v>0</v>
      </c>
      <c r="D122" s="2">
        <v>0</v>
      </c>
      <c r="E122" s="2">
        <v>0</v>
      </c>
      <c r="F122" s="1">
        <f t="shared" si="87"/>
        <v>0</v>
      </c>
      <c r="G122" s="1">
        <f t="shared" si="88"/>
        <v>0</v>
      </c>
      <c r="H122" s="1">
        <f t="shared" si="89"/>
        <v>0</v>
      </c>
      <c r="I122" s="1">
        <f t="shared" si="90"/>
        <v>0</v>
      </c>
      <c r="J122" s="1">
        <f t="shared" si="91"/>
        <v>0</v>
      </c>
      <c r="K122" s="1">
        <f t="shared" si="92"/>
        <v>0</v>
      </c>
      <c r="L122" s="1">
        <f t="shared" si="93"/>
        <v>0</v>
      </c>
      <c r="M122" s="1">
        <f t="shared" si="94"/>
        <v>0</v>
      </c>
      <c r="N122" s="1">
        <f t="shared" si="95"/>
        <v>0</v>
      </c>
      <c r="O122" s="1">
        <f t="shared" si="96"/>
        <v>-0.64772727272727271</v>
      </c>
      <c r="P122" s="1">
        <f t="shared" si="97"/>
        <v>-3.1477272727272729</v>
      </c>
      <c r="Q122" s="1">
        <f t="shared" si="98"/>
        <v>0</v>
      </c>
      <c r="R122" s="1">
        <f t="shared" si="53"/>
        <v>0</v>
      </c>
      <c r="S122" s="1">
        <f t="shared" si="99"/>
        <v>0</v>
      </c>
      <c r="T122" s="7">
        <f t="shared" si="100"/>
        <v>-0.64772727272727271</v>
      </c>
      <c r="U122" s="7">
        <f t="shared" si="101"/>
        <v>-3.1477272727272729</v>
      </c>
      <c r="V122" s="7">
        <f t="shared" si="102"/>
        <v>-0.64772727272727271</v>
      </c>
      <c r="W122" s="7">
        <f t="shared" si="103"/>
        <v>-3.1477272727272729</v>
      </c>
      <c r="X122" s="1">
        <f t="shared" si="54"/>
        <v>0</v>
      </c>
      <c r="Y122" s="1">
        <f t="shared" si="55"/>
        <v>0</v>
      </c>
      <c r="Z122">
        <f t="shared" si="56"/>
        <v>0</v>
      </c>
      <c r="AA122">
        <f t="shared" si="57"/>
        <v>0</v>
      </c>
      <c r="AB122">
        <f t="shared" si="58"/>
        <v>0</v>
      </c>
      <c r="AC122">
        <f t="shared" si="59"/>
        <v>0</v>
      </c>
      <c r="AD122">
        <f t="shared" si="60"/>
        <v>0</v>
      </c>
      <c r="AE122">
        <f t="shared" si="61"/>
        <v>0</v>
      </c>
      <c r="AF122">
        <f t="shared" si="62"/>
        <v>0</v>
      </c>
      <c r="AG122">
        <f t="shared" si="63"/>
        <v>0</v>
      </c>
      <c r="AH122">
        <f t="shared" si="64"/>
        <v>0</v>
      </c>
      <c r="AI122" s="1">
        <f t="shared" si="65"/>
        <v>0</v>
      </c>
      <c r="AJ122" s="1">
        <f t="shared" si="66"/>
        <v>0</v>
      </c>
      <c r="AK122">
        <f t="shared" si="67"/>
        <v>0</v>
      </c>
      <c r="AL122">
        <f t="shared" si="68"/>
        <v>0</v>
      </c>
      <c r="AM122">
        <f t="shared" si="69"/>
        <v>0</v>
      </c>
      <c r="AN122">
        <f t="shared" si="70"/>
        <v>0</v>
      </c>
      <c r="AO122">
        <f t="shared" si="71"/>
        <v>0</v>
      </c>
      <c r="AP122">
        <f t="shared" si="72"/>
        <v>0</v>
      </c>
      <c r="AQ122">
        <f t="shared" si="73"/>
        <v>0</v>
      </c>
      <c r="AR122">
        <f t="shared" si="74"/>
        <v>0</v>
      </c>
      <c r="AS122">
        <f t="shared" si="75"/>
        <v>0</v>
      </c>
      <c r="AT122" s="1">
        <f t="shared" si="76"/>
        <v>0</v>
      </c>
      <c r="AU122" s="1">
        <f t="shared" si="77"/>
        <v>0</v>
      </c>
      <c r="AV122">
        <f t="shared" si="78"/>
        <v>0</v>
      </c>
      <c r="AW122">
        <f t="shared" si="79"/>
        <v>0</v>
      </c>
      <c r="AX122">
        <f t="shared" si="80"/>
        <v>0</v>
      </c>
      <c r="AY122">
        <f t="shared" si="81"/>
        <v>0</v>
      </c>
      <c r="AZ122">
        <f t="shared" si="82"/>
        <v>0</v>
      </c>
      <c r="BA122">
        <f t="shared" si="83"/>
        <v>0</v>
      </c>
      <c r="BB122">
        <f t="shared" si="84"/>
        <v>0</v>
      </c>
      <c r="BC122">
        <f t="shared" si="85"/>
        <v>0</v>
      </c>
      <c r="BD122">
        <f t="shared" si="86"/>
        <v>0</v>
      </c>
    </row>
    <row r="123" spans="1:56" x14ac:dyDescent="0.25">
      <c r="A123" s="1">
        <v>106</v>
      </c>
      <c r="B123" s="2">
        <v>0</v>
      </c>
      <c r="C123" s="2">
        <v>0</v>
      </c>
      <c r="D123" s="2">
        <v>0</v>
      </c>
      <c r="E123" s="2">
        <v>0</v>
      </c>
      <c r="F123" s="1">
        <f t="shared" si="87"/>
        <v>0</v>
      </c>
      <c r="G123" s="1">
        <f t="shared" si="88"/>
        <v>0</v>
      </c>
      <c r="H123" s="1">
        <f t="shared" si="89"/>
        <v>0</v>
      </c>
      <c r="I123" s="1">
        <f t="shared" si="90"/>
        <v>0</v>
      </c>
      <c r="J123" s="1">
        <f t="shared" si="91"/>
        <v>0</v>
      </c>
      <c r="K123" s="1">
        <f t="shared" si="92"/>
        <v>0</v>
      </c>
      <c r="L123" s="1">
        <f t="shared" si="93"/>
        <v>0</v>
      </c>
      <c r="M123" s="1">
        <f t="shared" si="94"/>
        <v>0</v>
      </c>
      <c r="N123" s="1">
        <f t="shared" si="95"/>
        <v>0</v>
      </c>
      <c r="O123" s="1">
        <f t="shared" si="96"/>
        <v>-0.64772727272727271</v>
      </c>
      <c r="P123" s="1">
        <f t="shared" si="97"/>
        <v>-3.1477272727272729</v>
      </c>
      <c r="Q123" s="1">
        <f t="shared" si="98"/>
        <v>0</v>
      </c>
      <c r="R123" s="1">
        <f t="shared" si="53"/>
        <v>0</v>
      </c>
      <c r="S123" s="1">
        <f t="shared" si="99"/>
        <v>0</v>
      </c>
      <c r="T123" s="7">
        <f t="shared" si="100"/>
        <v>-0.64772727272727271</v>
      </c>
      <c r="U123" s="7">
        <f t="shared" si="101"/>
        <v>-3.1477272727272729</v>
      </c>
      <c r="V123" s="7">
        <f t="shared" si="102"/>
        <v>-0.64772727272727271</v>
      </c>
      <c r="W123" s="7">
        <f t="shared" si="103"/>
        <v>-3.1477272727272729</v>
      </c>
      <c r="X123" s="1">
        <f t="shared" si="54"/>
        <v>0</v>
      </c>
      <c r="Y123" s="1">
        <f t="shared" si="55"/>
        <v>0</v>
      </c>
      <c r="Z123">
        <f t="shared" si="56"/>
        <v>0</v>
      </c>
      <c r="AA123">
        <f t="shared" si="57"/>
        <v>0</v>
      </c>
      <c r="AB123">
        <f t="shared" si="58"/>
        <v>0</v>
      </c>
      <c r="AC123">
        <f t="shared" si="59"/>
        <v>0</v>
      </c>
      <c r="AD123">
        <f t="shared" si="60"/>
        <v>0</v>
      </c>
      <c r="AE123">
        <f t="shared" si="61"/>
        <v>0</v>
      </c>
      <c r="AF123">
        <f t="shared" si="62"/>
        <v>0</v>
      </c>
      <c r="AG123">
        <f t="shared" si="63"/>
        <v>0</v>
      </c>
      <c r="AH123">
        <f t="shared" si="64"/>
        <v>0</v>
      </c>
      <c r="AI123" s="1">
        <f t="shared" si="65"/>
        <v>0</v>
      </c>
      <c r="AJ123" s="1">
        <f t="shared" si="66"/>
        <v>0</v>
      </c>
      <c r="AK123">
        <f t="shared" si="67"/>
        <v>0</v>
      </c>
      <c r="AL123">
        <f t="shared" si="68"/>
        <v>0</v>
      </c>
      <c r="AM123">
        <f t="shared" si="69"/>
        <v>0</v>
      </c>
      <c r="AN123">
        <f t="shared" si="70"/>
        <v>0</v>
      </c>
      <c r="AO123">
        <f t="shared" si="71"/>
        <v>0</v>
      </c>
      <c r="AP123">
        <f t="shared" si="72"/>
        <v>0</v>
      </c>
      <c r="AQ123">
        <f t="shared" si="73"/>
        <v>0</v>
      </c>
      <c r="AR123">
        <f t="shared" si="74"/>
        <v>0</v>
      </c>
      <c r="AS123">
        <f t="shared" si="75"/>
        <v>0</v>
      </c>
      <c r="AT123" s="1">
        <f t="shared" si="76"/>
        <v>0</v>
      </c>
      <c r="AU123" s="1">
        <f t="shared" si="77"/>
        <v>0</v>
      </c>
      <c r="AV123">
        <f t="shared" si="78"/>
        <v>0</v>
      </c>
      <c r="AW123">
        <f t="shared" si="79"/>
        <v>0</v>
      </c>
      <c r="AX123">
        <f t="shared" si="80"/>
        <v>0</v>
      </c>
      <c r="AY123">
        <f t="shared" si="81"/>
        <v>0</v>
      </c>
      <c r="AZ123">
        <f t="shared" si="82"/>
        <v>0</v>
      </c>
      <c r="BA123">
        <f t="shared" si="83"/>
        <v>0</v>
      </c>
      <c r="BB123">
        <f t="shared" si="84"/>
        <v>0</v>
      </c>
      <c r="BC123">
        <f t="shared" si="85"/>
        <v>0</v>
      </c>
      <c r="BD123">
        <f t="shared" si="86"/>
        <v>0</v>
      </c>
    </row>
    <row r="124" spans="1:56" x14ac:dyDescent="0.25">
      <c r="A124" s="1">
        <v>107</v>
      </c>
      <c r="B124" s="2">
        <v>0</v>
      </c>
      <c r="C124" s="2">
        <v>0</v>
      </c>
      <c r="D124" s="2">
        <v>0</v>
      </c>
      <c r="E124" s="2">
        <v>0</v>
      </c>
      <c r="F124" s="1">
        <f t="shared" si="87"/>
        <v>0</v>
      </c>
      <c r="G124" s="1">
        <f t="shared" si="88"/>
        <v>0</v>
      </c>
      <c r="H124" s="1">
        <f t="shared" si="89"/>
        <v>0</v>
      </c>
      <c r="I124" s="1">
        <f t="shared" si="90"/>
        <v>0</v>
      </c>
      <c r="J124" s="1">
        <f t="shared" si="91"/>
        <v>0</v>
      </c>
      <c r="K124" s="1">
        <f t="shared" si="92"/>
        <v>0</v>
      </c>
      <c r="L124" s="1">
        <f t="shared" si="93"/>
        <v>0</v>
      </c>
      <c r="M124" s="1">
        <f t="shared" si="94"/>
        <v>0</v>
      </c>
      <c r="N124" s="1">
        <f t="shared" si="95"/>
        <v>0</v>
      </c>
      <c r="O124" s="1">
        <f t="shared" si="96"/>
        <v>-0.64772727272727271</v>
      </c>
      <c r="P124" s="1">
        <f t="shared" si="97"/>
        <v>-3.1477272727272729</v>
      </c>
      <c r="Q124" s="1">
        <f t="shared" si="98"/>
        <v>0</v>
      </c>
      <c r="R124" s="1">
        <f t="shared" si="53"/>
        <v>0</v>
      </c>
      <c r="S124" s="1">
        <f t="shared" si="99"/>
        <v>0</v>
      </c>
      <c r="T124" s="7">
        <f t="shared" si="100"/>
        <v>-0.64772727272727271</v>
      </c>
      <c r="U124" s="7">
        <f t="shared" si="101"/>
        <v>-3.1477272727272729</v>
      </c>
      <c r="V124" s="7">
        <f t="shared" si="102"/>
        <v>-0.64772727272727271</v>
      </c>
      <c r="W124" s="7">
        <f t="shared" si="103"/>
        <v>-3.1477272727272729</v>
      </c>
      <c r="X124" s="1">
        <f t="shared" si="54"/>
        <v>0</v>
      </c>
      <c r="Y124" s="1">
        <f t="shared" si="55"/>
        <v>0</v>
      </c>
      <c r="Z124">
        <f t="shared" si="56"/>
        <v>0</v>
      </c>
      <c r="AA124">
        <f t="shared" si="57"/>
        <v>0</v>
      </c>
      <c r="AB124">
        <f t="shared" si="58"/>
        <v>0</v>
      </c>
      <c r="AC124">
        <f t="shared" si="59"/>
        <v>0</v>
      </c>
      <c r="AD124">
        <f t="shared" si="60"/>
        <v>0</v>
      </c>
      <c r="AE124">
        <f t="shared" si="61"/>
        <v>0</v>
      </c>
      <c r="AF124">
        <f t="shared" si="62"/>
        <v>0</v>
      </c>
      <c r="AG124">
        <f t="shared" si="63"/>
        <v>0</v>
      </c>
      <c r="AH124">
        <f t="shared" si="64"/>
        <v>0</v>
      </c>
      <c r="AI124" s="1">
        <f t="shared" si="65"/>
        <v>0</v>
      </c>
      <c r="AJ124" s="1">
        <f t="shared" si="66"/>
        <v>0</v>
      </c>
      <c r="AK124">
        <f t="shared" si="67"/>
        <v>0</v>
      </c>
      <c r="AL124">
        <f t="shared" si="68"/>
        <v>0</v>
      </c>
      <c r="AM124">
        <f t="shared" si="69"/>
        <v>0</v>
      </c>
      <c r="AN124">
        <f t="shared" si="70"/>
        <v>0</v>
      </c>
      <c r="AO124">
        <f t="shared" si="71"/>
        <v>0</v>
      </c>
      <c r="AP124">
        <f t="shared" si="72"/>
        <v>0</v>
      </c>
      <c r="AQ124">
        <f t="shared" si="73"/>
        <v>0</v>
      </c>
      <c r="AR124">
        <f t="shared" si="74"/>
        <v>0</v>
      </c>
      <c r="AS124">
        <f t="shared" si="75"/>
        <v>0</v>
      </c>
      <c r="AT124" s="1">
        <f t="shared" si="76"/>
        <v>0</v>
      </c>
      <c r="AU124" s="1">
        <f t="shared" si="77"/>
        <v>0</v>
      </c>
      <c r="AV124">
        <f t="shared" si="78"/>
        <v>0</v>
      </c>
      <c r="AW124">
        <f t="shared" si="79"/>
        <v>0</v>
      </c>
      <c r="AX124">
        <f t="shared" si="80"/>
        <v>0</v>
      </c>
      <c r="AY124">
        <f t="shared" si="81"/>
        <v>0</v>
      </c>
      <c r="AZ124">
        <f t="shared" si="82"/>
        <v>0</v>
      </c>
      <c r="BA124">
        <f t="shared" si="83"/>
        <v>0</v>
      </c>
      <c r="BB124">
        <f t="shared" si="84"/>
        <v>0</v>
      </c>
      <c r="BC124">
        <f t="shared" si="85"/>
        <v>0</v>
      </c>
      <c r="BD124">
        <f t="shared" si="86"/>
        <v>0</v>
      </c>
    </row>
    <row r="125" spans="1:56" x14ac:dyDescent="0.25">
      <c r="A125" s="1">
        <v>108</v>
      </c>
      <c r="B125" s="2">
        <v>0</v>
      </c>
      <c r="C125" s="2">
        <v>0</v>
      </c>
      <c r="D125" s="2">
        <v>0</v>
      </c>
      <c r="E125" s="2">
        <v>0</v>
      </c>
      <c r="F125" s="1">
        <f t="shared" si="87"/>
        <v>0</v>
      </c>
      <c r="G125" s="1">
        <f t="shared" si="88"/>
        <v>0</v>
      </c>
      <c r="H125" s="1">
        <f t="shared" si="89"/>
        <v>0</v>
      </c>
      <c r="I125" s="1">
        <f t="shared" si="90"/>
        <v>0</v>
      </c>
      <c r="J125" s="1">
        <f t="shared" si="91"/>
        <v>0</v>
      </c>
      <c r="K125" s="1">
        <f t="shared" si="92"/>
        <v>0</v>
      </c>
      <c r="L125" s="1">
        <f t="shared" si="93"/>
        <v>0</v>
      </c>
      <c r="M125" s="1">
        <f t="shared" si="94"/>
        <v>0</v>
      </c>
      <c r="N125" s="1">
        <f t="shared" si="95"/>
        <v>0</v>
      </c>
      <c r="O125" s="1">
        <f t="shared" si="96"/>
        <v>-0.64772727272727271</v>
      </c>
      <c r="P125" s="1">
        <f t="shared" si="97"/>
        <v>-3.1477272727272729</v>
      </c>
      <c r="Q125" s="1">
        <f t="shared" si="98"/>
        <v>0</v>
      </c>
      <c r="R125" s="1">
        <f t="shared" si="53"/>
        <v>0</v>
      </c>
      <c r="S125" s="1">
        <f t="shared" si="99"/>
        <v>0</v>
      </c>
      <c r="T125" s="7">
        <f t="shared" si="100"/>
        <v>-0.64772727272727271</v>
      </c>
      <c r="U125" s="7">
        <f t="shared" si="101"/>
        <v>-3.1477272727272729</v>
      </c>
      <c r="V125" s="7">
        <f t="shared" si="102"/>
        <v>-0.64772727272727271</v>
      </c>
      <c r="W125" s="7">
        <f t="shared" si="103"/>
        <v>-3.1477272727272729</v>
      </c>
      <c r="X125" s="1">
        <f t="shared" si="54"/>
        <v>0</v>
      </c>
      <c r="Y125" s="1">
        <f t="shared" si="55"/>
        <v>0</v>
      </c>
      <c r="Z125">
        <f t="shared" si="56"/>
        <v>0</v>
      </c>
      <c r="AA125">
        <f t="shared" si="57"/>
        <v>0</v>
      </c>
      <c r="AB125">
        <f t="shared" si="58"/>
        <v>0</v>
      </c>
      <c r="AC125">
        <f t="shared" si="59"/>
        <v>0</v>
      </c>
      <c r="AD125">
        <f t="shared" si="60"/>
        <v>0</v>
      </c>
      <c r="AE125">
        <f t="shared" si="61"/>
        <v>0</v>
      </c>
      <c r="AF125">
        <f t="shared" si="62"/>
        <v>0</v>
      </c>
      <c r="AG125">
        <f t="shared" si="63"/>
        <v>0</v>
      </c>
      <c r="AH125">
        <f t="shared" si="64"/>
        <v>0</v>
      </c>
      <c r="AI125" s="1">
        <f t="shared" si="65"/>
        <v>0</v>
      </c>
      <c r="AJ125" s="1">
        <f t="shared" si="66"/>
        <v>0</v>
      </c>
      <c r="AK125">
        <f t="shared" si="67"/>
        <v>0</v>
      </c>
      <c r="AL125">
        <f t="shared" si="68"/>
        <v>0</v>
      </c>
      <c r="AM125">
        <f t="shared" si="69"/>
        <v>0</v>
      </c>
      <c r="AN125">
        <f t="shared" si="70"/>
        <v>0</v>
      </c>
      <c r="AO125">
        <f t="shared" si="71"/>
        <v>0</v>
      </c>
      <c r="AP125">
        <f t="shared" si="72"/>
        <v>0</v>
      </c>
      <c r="AQ125">
        <f t="shared" si="73"/>
        <v>0</v>
      </c>
      <c r="AR125">
        <f t="shared" si="74"/>
        <v>0</v>
      </c>
      <c r="AS125">
        <f t="shared" si="75"/>
        <v>0</v>
      </c>
      <c r="AT125" s="1">
        <f t="shared" si="76"/>
        <v>0</v>
      </c>
      <c r="AU125" s="1">
        <f t="shared" si="77"/>
        <v>0</v>
      </c>
      <c r="AV125">
        <f t="shared" si="78"/>
        <v>0</v>
      </c>
      <c r="AW125">
        <f t="shared" si="79"/>
        <v>0</v>
      </c>
      <c r="AX125">
        <f t="shared" si="80"/>
        <v>0</v>
      </c>
      <c r="AY125">
        <f t="shared" si="81"/>
        <v>0</v>
      </c>
      <c r="AZ125">
        <f t="shared" si="82"/>
        <v>0</v>
      </c>
      <c r="BA125">
        <f t="shared" si="83"/>
        <v>0</v>
      </c>
      <c r="BB125">
        <f t="shared" si="84"/>
        <v>0</v>
      </c>
      <c r="BC125">
        <f t="shared" si="85"/>
        <v>0</v>
      </c>
      <c r="BD125">
        <f t="shared" si="86"/>
        <v>0</v>
      </c>
    </row>
    <row r="126" spans="1:56" x14ac:dyDescent="0.25">
      <c r="A126" s="1">
        <v>109</v>
      </c>
      <c r="B126" s="2">
        <v>0</v>
      </c>
      <c r="C126" s="2">
        <v>0</v>
      </c>
      <c r="D126" s="2">
        <v>0</v>
      </c>
      <c r="E126" s="2">
        <v>0</v>
      </c>
      <c r="F126" s="1">
        <f t="shared" si="87"/>
        <v>0</v>
      </c>
      <c r="G126" s="1">
        <f t="shared" si="88"/>
        <v>0</v>
      </c>
      <c r="H126" s="1">
        <f t="shared" si="89"/>
        <v>0</v>
      </c>
      <c r="I126" s="1">
        <f t="shared" si="90"/>
        <v>0</v>
      </c>
      <c r="J126" s="1">
        <f t="shared" si="91"/>
        <v>0</v>
      </c>
      <c r="K126" s="1">
        <f t="shared" si="92"/>
        <v>0</v>
      </c>
      <c r="L126" s="1">
        <f t="shared" si="93"/>
        <v>0</v>
      </c>
      <c r="M126" s="1">
        <f t="shared" si="94"/>
        <v>0</v>
      </c>
      <c r="N126" s="1">
        <f t="shared" si="95"/>
        <v>0</v>
      </c>
      <c r="O126" s="1">
        <f t="shared" si="96"/>
        <v>-0.64772727272727271</v>
      </c>
      <c r="P126" s="1">
        <f t="shared" si="97"/>
        <v>-3.1477272727272729</v>
      </c>
      <c r="Q126" s="1">
        <f t="shared" si="98"/>
        <v>0</v>
      </c>
      <c r="R126" s="1">
        <f t="shared" si="53"/>
        <v>0</v>
      </c>
      <c r="S126" s="1">
        <f t="shared" si="99"/>
        <v>0</v>
      </c>
      <c r="T126" s="7">
        <f t="shared" si="100"/>
        <v>-0.64772727272727271</v>
      </c>
      <c r="U126" s="7">
        <f t="shared" si="101"/>
        <v>-3.1477272727272729</v>
      </c>
      <c r="V126" s="7">
        <f t="shared" si="102"/>
        <v>-0.64772727272727271</v>
      </c>
      <c r="W126" s="7">
        <f t="shared" si="103"/>
        <v>-3.1477272727272729</v>
      </c>
      <c r="X126" s="1">
        <f t="shared" si="54"/>
        <v>0</v>
      </c>
      <c r="Y126" s="1">
        <f t="shared" si="55"/>
        <v>0</v>
      </c>
      <c r="Z126">
        <f t="shared" si="56"/>
        <v>0</v>
      </c>
      <c r="AA126">
        <f t="shared" si="57"/>
        <v>0</v>
      </c>
      <c r="AB126">
        <f t="shared" si="58"/>
        <v>0</v>
      </c>
      <c r="AC126">
        <f t="shared" si="59"/>
        <v>0</v>
      </c>
      <c r="AD126">
        <f t="shared" si="60"/>
        <v>0</v>
      </c>
      <c r="AE126">
        <f t="shared" si="61"/>
        <v>0</v>
      </c>
      <c r="AF126">
        <f t="shared" si="62"/>
        <v>0</v>
      </c>
      <c r="AG126">
        <f t="shared" si="63"/>
        <v>0</v>
      </c>
      <c r="AH126">
        <f t="shared" si="64"/>
        <v>0</v>
      </c>
      <c r="AI126" s="1">
        <f t="shared" si="65"/>
        <v>0</v>
      </c>
      <c r="AJ126" s="1">
        <f t="shared" si="66"/>
        <v>0</v>
      </c>
      <c r="AK126">
        <f t="shared" si="67"/>
        <v>0</v>
      </c>
      <c r="AL126">
        <f t="shared" si="68"/>
        <v>0</v>
      </c>
      <c r="AM126">
        <f t="shared" si="69"/>
        <v>0</v>
      </c>
      <c r="AN126">
        <f t="shared" si="70"/>
        <v>0</v>
      </c>
      <c r="AO126">
        <f t="shared" si="71"/>
        <v>0</v>
      </c>
      <c r="AP126">
        <f t="shared" si="72"/>
        <v>0</v>
      </c>
      <c r="AQ126">
        <f t="shared" si="73"/>
        <v>0</v>
      </c>
      <c r="AR126">
        <f t="shared" si="74"/>
        <v>0</v>
      </c>
      <c r="AS126">
        <f t="shared" si="75"/>
        <v>0</v>
      </c>
      <c r="AT126" s="1">
        <f t="shared" si="76"/>
        <v>0</v>
      </c>
      <c r="AU126" s="1">
        <f t="shared" si="77"/>
        <v>0</v>
      </c>
      <c r="AV126">
        <f t="shared" si="78"/>
        <v>0</v>
      </c>
      <c r="AW126">
        <f t="shared" si="79"/>
        <v>0</v>
      </c>
      <c r="AX126">
        <f t="shared" si="80"/>
        <v>0</v>
      </c>
      <c r="AY126">
        <f t="shared" si="81"/>
        <v>0</v>
      </c>
      <c r="AZ126">
        <f t="shared" si="82"/>
        <v>0</v>
      </c>
      <c r="BA126">
        <f t="shared" si="83"/>
        <v>0</v>
      </c>
      <c r="BB126">
        <f t="shared" si="84"/>
        <v>0</v>
      </c>
      <c r="BC126">
        <f t="shared" si="85"/>
        <v>0</v>
      </c>
      <c r="BD126">
        <f t="shared" si="86"/>
        <v>0</v>
      </c>
    </row>
    <row r="127" spans="1:56" x14ac:dyDescent="0.25">
      <c r="A127" s="1">
        <v>110</v>
      </c>
      <c r="B127" s="2">
        <v>0</v>
      </c>
      <c r="C127" s="2">
        <v>0</v>
      </c>
      <c r="D127" s="2">
        <v>0</v>
      </c>
      <c r="E127" s="2">
        <v>0</v>
      </c>
      <c r="F127" s="1">
        <f t="shared" si="87"/>
        <v>0</v>
      </c>
      <c r="G127" s="1">
        <f t="shared" si="88"/>
        <v>0</v>
      </c>
      <c r="H127" s="1">
        <f t="shared" si="89"/>
        <v>0</v>
      </c>
      <c r="I127" s="1">
        <f t="shared" si="90"/>
        <v>0</v>
      </c>
      <c r="J127" s="1">
        <f t="shared" si="91"/>
        <v>0</v>
      </c>
      <c r="K127" s="1">
        <f t="shared" si="92"/>
        <v>0</v>
      </c>
      <c r="L127" s="1">
        <f t="shared" si="93"/>
        <v>0</v>
      </c>
      <c r="M127" s="1">
        <f t="shared" si="94"/>
        <v>0</v>
      </c>
      <c r="N127" s="1">
        <f t="shared" si="95"/>
        <v>0</v>
      </c>
      <c r="O127" s="1">
        <f t="shared" si="96"/>
        <v>-0.64772727272727271</v>
      </c>
      <c r="P127" s="1">
        <f t="shared" si="97"/>
        <v>-3.1477272727272729</v>
      </c>
      <c r="Q127" s="1">
        <f t="shared" si="98"/>
        <v>0</v>
      </c>
      <c r="R127" s="1">
        <f t="shared" si="53"/>
        <v>0</v>
      </c>
      <c r="S127" s="1">
        <f t="shared" si="99"/>
        <v>0</v>
      </c>
      <c r="T127" s="7">
        <f t="shared" si="100"/>
        <v>-0.64772727272727271</v>
      </c>
      <c r="U127" s="7">
        <f t="shared" si="101"/>
        <v>-3.1477272727272729</v>
      </c>
      <c r="V127" s="7">
        <f t="shared" si="102"/>
        <v>-0.64772727272727271</v>
      </c>
      <c r="W127" s="7">
        <f t="shared" si="103"/>
        <v>-3.1477272727272729</v>
      </c>
      <c r="X127" s="1">
        <f t="shared" si="54"/>
        <v>0</v>
      </c>
      <c r="Y127" s="1">
        <f t="shared" si="55"/>
        <v>0</v>
      </c>
      <c r="Z127">
        <f t="shared" si="56"/>
        <v>0</v>
      </c>
      <c r="AA127">
        <f t="shared" si="57"/>
        <v>0</v>
      </c>
      <c r="AB127">
        <f t="shared" si="58"/>
        <v>0</v>
      </c>
      <c r="AC127">
        <f t="shared" si="59"/>
        <v>0</v>
      </c>
      <c r="AD127">
        <f t="shared" si="60"/>
        <v>0</v>
      </c>
      <c r="AE127">
        <f t="shared" si="61"/>
        <v>0</v>
      </c>
      <c r="AF127">
        <f t="shared" si="62"/>
        <v>0</v>
      </c>
      <c r="AG127">
        <f t="shared" si="63"/>
        <v>0</v>
      </c>
      <c r="AH127">
        <f t="shared" si="64"/>
        <v>0</v>
      </c>
      <c r="AI127" s="1">
        <f t="shared" si="65"/>
        <v>0</v>
      </c>
      <c r="AJ127" s="1">
        <f t="shared" si="66"/>
        <v>0</v>
      </c>
      <c r="AK127">
        <f t="shared" si="67"/>
        <v>0</v>
      </c>
      <c r="AL127">
        <f t="shared" si="68"/>
        <v>0</v>
      </c>
      <c r="AM127">
        <f t="shared" si="69"/>
        <v>0</v>
      </c>
      <c r="AN127">
        <f t="shared" si="70"/>
        <v>0</v>
      </c>
      <c r="AO127">
        <f t="shared" si="71"/>
        <v>0</v>
      </c>
      <c r="AP127">
        <f t="shared" si="72"/>
        <v>0</v>
      </c>
      <c r="AQ127">
        <f t="shared" si="73"/>
        <v>0</v>
      </c>
      <c r="AR127">
        <f t="shared" si="74"/>
        <v>0</v>
      </c>
      <c r="AS127">
        <f t="shared" si="75"/>
        <v>0</v>
      </c>
      <c r="AT127" s="1">
        <f t="shared" si="76"/>
        <v>0</v>
      </c>
      <c r="AU127" s="1">
        <f t="shared" si="77"/>
        <v>0</v>
      </c>
      <c r="AV127">
        <f t="shared" si="78"/>
        <v>0</v>
      </c>
      <c r="AW127">
        <f t="shared" si="79"/>
        <v>0</v>
      </c>
      <c r="AX127">
        <f t="shared" si="80"/>
        <v>0</v>
      </c>
      <c r="AY127">
        <f t="shared" si="81"/>
        <v>0</v>
      </c>
      <c r="AZ127">
        <f t="shared" si="82"/>
        <v>0</v>
      </c>
      <c r="BA127">
        <f t="shared" si="83"/>
        <v>0</v>
      </c>
      <c r="BB127">
        <f t="shared" si="84"/>
        <v>0</v>
      </c>
      <c r="BC127">
        <f t="shared" si="85"/>
        <v>0</v>
      </c>
      <c r="BD127">
        <f t="shared" si="86"/>
        <v>0</v>
      </c>
    </row>
    <row r="128" spans="1:56" x14ac:dyDescent="0.25">
      <c r="A128" s="1">
        <v>111</v>
      </c>
      <c r="B128" s="2">
        <v>0</v>
      </c>
      <c r="C128" s="2">
        <v>0</v>
      </c>
      <c r="D128" s="2">
        <v>0</v>
      </c>
      <c r="E128" s="2">
        <v>0</v>
      </c>
      <c r="F128" s="1">
        <f t="shared" si="87"/>
        <v>0</v>
      </c>
      <c r="G128" s="1">
        <f t="shared" si="88"/>
        <v>0</v>
      </c>
      <c r="H128" s="1">
        <f t="shared" si="89"/>
        <v>0</v>
      </c>
      <c r="I128" s="1">
        <f t="shared" si="90"/>
        <v>0</v>
      </c>
      <c r="J128" s="1">
        <f t="shared" si="91"/>
        <v>0</v>
      </c>
      <c r="K128" s="1">
        <f t="shared" si="92"/>
        <v>0</v>
      </c>
      <c r="L128" s="1">
        <f t="shared" si="93"/>
        <v>0</v>
      </c>
      <c r="M128" s="1">
        <f t="shared" si="94"/>
        <v>0</v>
      </c>
      <c r="N128" s="1">
        <f t="shared" si="95"/>
        <v>0</v>
      </c>
      <c r="O128" s="1">
        <f t="shared" si="96"/>
        <v>-0.64772727272727271</v>
      </c>
      <c r="P128" s="1">
        <f t="shared" si="97"/>
        <v>-3.1477272727272729</v>
      </c>
      <c r="Q128" s="1">
        <f t="shared" si="98"/>
        <v>0</v>
      </c>
      <c r="R128" s="1">
        <f t="shared" si="53"/>
        <v>0</v>
      </c>
      <c r="S128" s="1">
        <f t="shared" si="99"/>
        <v>0</v>
      </c>
      <c r="T128" s="7">
        <f t="shared" si="100"/>
        <v>-0.64772727272727271</v>
      </c>
      <c r="U128" s="7">
        <f t="shared" si="101"/>
        <v>-3.1477272727272729</v>
      </c>
      <c r="V128" s="7">
        <f t="shared" si="102"/>
        <v>-0.64772727272727271</v>
      </c>
      <c r="W128" s="7">
        <f t="shared" si="103"/>
        <v>-3.1477272727272729</v>
      </c>
      <c r="X128" s="1">
        <f t="shared" si="54"/>
        <v>0</v>
      </c>
      <c r="Y128" s="1">
        <f t="shared" si="55"/>
        <v>0</v>
      </c>
      <c r="Z128">
        <f t="shared" si="56"/>
        <v>0</v>
      </c>
      <c r="AA128">
        <f t="shared" si="57"/>
        <v>0</v>
      </c>
      <c r="AB128">
        <f t="shared" si="58"/>
        <v>0</v>
      </c>
      <c r="AC128">
        <f t="shared" si="59"/>
        <v>0</v>
      </c>
      <c r="AD128">
        <f t="shared" si="60"/>
        <v>0</v>
      </c>
      <c r="AE128">
        <f t="shared" si="61"/>
        <v>0</v>
      </c>
      <c r="AF128">
        <f t="shared" si="62"/>
        <v>0</v>
      </c>
      <c r="AG128">
        <f t="shared" si="63"/>
        <v>0</v>
      </c>
      <c r="AH128">
        <f t="shared" si="64"/>
        <v>0</v>
      </c>
      <c r="AI128" s="1">
        <f t="shared" si="65"/>
        <v>0</v>
      </c>
      <c r="AJ128" s="1">
        <f t="shared" si="66"/>
        <v>0</v>
      </c>
      <c r="AK128">
        <f t="shared" si="67"/>
        <v>0</v>
      </c>
      <c r="AL128">
        <f t="shared" si="68"/>
        <v>0</v>
      </c>
      <c r="AM128">
        <f t="shared" si="69"/>
        <v>0</v>
      </c>
      <c r="AN128">
        <f t="shared" si="70"/>
        <v>0</v>
      </c>
      <c r="AO128">
        <f t="shared" si="71"/>
        <v>0</v>
      </c>
      <c r="AP128">
        <f t="shared" si="72"/>
        <v>0</v>
      </c>
      <c r="AQ128">
        <f t="shared" si="73"/>
        <v>0</v>
      </c>
      <c r="AR128">
        <f t="shared" si="74"/>
        <v>0</v>
      </c>
      <c r="AS128">
        <f t="shared" si="75"/>
        <v>0</v>
      </c>
      <c r="AT128" s="1">
        <f t="shared" si="76"/>
        <v>0</v>
      </c>
      <c r="AU128" s="1">
        <f t="shared" si="77"/>
        <v>0</v>
      </c>
      <c r="AV128">
        <f t="shared" si="78"/>
        <v>0</v>
      </c>
      <c r="AW128">
        <f t="shared" si="79"/>
        <v>0</v>
      </c>
      <c r="AX128">
        <f t="shared" si="80"/>
        <v>0</v>
      </c>
      <c r="AY128">
        <f t="shared" si="81"/>
        <v>0</v>
      </c>
      <c r="AZ128">
        <f t="shared" si="82"/>
        <v>0</v>
      </c>
      <c r="BA128">
        <f t="shared" si="83"/>
        <v>0</v>
      </c>
      <c r="BB128">
        <f t="shared" si="84"/>
        <v>0</v>
      </c>
      <c r="BC128">
        <f t="shared" si="85"/>
        <v>0</v>
      </c>
      <c r="BD128">
        <f t="shared" si="86"/>
        <v>0</v>
      </c>
    </row>
    <row r="129" spans="1:56" x14ac:dyDescent="0.25">
      <c r="A129" s="1">
        <v>112</v>
      </c>
      <c r="B129" s="2">
        <v>0</v>
      </c>
      <c r="C129" s="2">
        <v>0</v>
      </c>
      <c r="D129" s="2">
        <v>0</v>
      </c>
      <c r="E129" s="2">
        <v>0</v>
      </c>
      <c r="F129" s="1">
        <f t="shared" si="87"/>
        <v>0</v>
      </c>
      <c r="G129" s="1">
        <f t="shared" si="88"/>
        <v>0</v>
      </c>
      <c r="H129" s="1">
        <f t="shared" si="89"/>
        <v>0</v>
      </c>
      <c r="I129" s="1">
        <f t="shared" si="90"/>
        <v>0</v>
      </c>
      <c r="J129" s="1">
        <f t="shared" si="91"/>
        <v>0</v>
      </c>
      <c r="K129" s="1">
        <f t="shared" si="92"/>
        <v>0</v>
      </c>
      <c r="L129" s="1">
        <f t="shared" si="93"/>
        <v>0</v>
      </c>
      <c r="M129" s="1">
        <f t="shared" si="94"/>
        <v>0</v>
      </c>
      <c r="N129" s="1">
        <f t="shared" si="95"/>
        <v>0</v>
      </c>
      <c r="O129" s="1">
        <f t="shared" si="96"/>
        <v>-0.64772727272727271</v>
      </c>
      <c r="P129" s="1">
        <f t="shared" si="97"/>
        <v>-3.1477272727272729</v>
      </c>
      <c r="Q129" s="1">
        <f t="shared" si="98"/>
        <v>0</v>
      </c>
      <c r="R129" s="1">
        <f t="shared" si="53"/>
        <v>0</v>
      </c>
      <c r="S129" s="1">
        <f t="shared" si="99"/>
        <v>0</v>
      </c>
      <c r="T129" s="7">
        <f t="shared" si="100"/>
        <v>-0.64772727272727271</v>
      </c>
      <c r="U129" s="7">
        <f t="shared" si="101"/>
        <v>-3.1477272727272729</v>
      </c>
      <c r="V129" s="7">
        <f t="shared" si="102"/>
        <v>-0.64772727272727271</v>
      </c>
      <c r="W129" s="7">
        <f t="shared" si="103"/>
        <v>-3.1477272727272729</v>
      </c>
      <c r="X129" s="1">
        <f t="shared" si="54"/>
        <v>0</v>
      </c>
      <c r="Y129" s="1">
        <f t="shared" si="55"/>
        <v>0</v>
      </c>
      <c r="Z129">
        <f t="shared" si="56"/>
        <v>0</v>
      </c>
      <c r="AA129">
        <f t="shared" si="57"/>
        <v>0</v>
      </c>
      <c r="AB129">
        <f t="shared" si="58"/>
        <v>0</v>
      </c>
      <c r="AC129">
        <f t="shared" si="59"/>
        <v>0</v>
      </c>
      <c r="AD129">
        <f t="shared" si="60"/>
        <v>0</v>
      </c>
      <c r="AE129">
        <f t="shared" si="61"/>
        <v>0</v>
      </c>
      <c r="AF129">
        <f t="shared" si="62"/>
        <v>0</v>
      </c>
      <c r="AG129">
        <f t="shared" si="63"/>
        <v>0</v>
      </c>
      <c r="AH129">
        <f t="shared" si="64"/>
        <v>0</v>
      </c>
      <c r="AI129" s="1">
        <f t="shared" si="65"/>
        <v>0</v>
      </c>
      <c r="AJ129" s="1">
        <f t="shared" si="66"/>
        <v>0</v>
      </c>
      <c r="AK129">
        <f t="shared" si="67"/>
        <v>0</v>
      </c>
      <c r="AL129">
        <f t="shared" si="68"/>
        <v>0</v>
      </c>
      <c r="AM129">
        <f t="shared" si="69"/>
        <v>0</v>
      </c>
      <c r="AN129">
        <f t="shared" si="70"/>
        <v>0</v>
      </c>
      <c r="AO129">
        <f t="shared" si="71"/>
        <v>0</v>
      </c>
      <c r="AP129">
        <f t="shared" si="72"/>
        <v>0</v>
      </c>
      <c r="AQ129">
        <f t="shared" si="73"/>
        <v>0</v>
      </c>
      <c r="AR129">
        <f t="shared" si="74"/>
        <v>0</v>
      </c>
      <c r="AS129">
        <f t="shared" si="75"/>
        <v>0</v>
      </c>
      <c r="AT129" s="1">
        <f t="shared" si="76"/>
        <v>0</v>
      </c>
      <c r="AU129" s="1">
        <f t="shared" si="77"/>
        <v>0</v>
      </c>
      <c r="AV129">
        <f t="shared" si="78"/>
        <v>0</v>
      </c>
      <c r="AW129">
        <f t="shared" si="79"/>
        <v>0</v>
      </c>
      <c r="AX129">
        <f t="shared" si="80"/>
        <v>0</v>
      </c>
      <c r="AY129">
        <f t="shared" si="81"/>
        <v>0</v>
      </c>
      <c r="AZ129">
        <f t="shared" si="82"/>
        <v>0</v>
      </c>
      <c r="BA129">
        <f t="shared" si="83"/>
        <v>0</v>
      </c>
      <c r="BB129">
        <f t="shared" si="84"/>
        <v>0</v>
      </c>
      <c r="BC129">
        <f t="shared" si="85"/>
        <v>0</v>
      </c>
      <c r="BD129">
        <f t="shared" si="86"/>
        <v>0</v>
      </c>
    </row>
    <row r="130" spans="1:56" x14ac:dyDescent="0.25">
      <c r="A130" s="1">
        <v>113</v>
      </c>
      <c r="B130" s="2">
        <v>0</v>
      </c>
      <c r="C130" s="2">
        <v>0</v>
      </c>
      <c r="D130" s="2">
        <v>0</v>
      </c>
      <c r="E130" s="2">
        <v>0</v>
      </c>
      <c r="F130" s="1">
        <f t="shared" si="87"/>
        <v>0</v>
      </c>
      <c r="G130" s="1">
        <f t="shared" si="88"/>
        <v>0</v>
      </c>
      <c r="H130" s="1">
        <f t="shared" si="89"/>
        <v>0</v>
      </c>
      <c r="I130" s="1">
        <f t="shared" si="90"/>
        <v>0</v>
      </c>
      <c r="J130" s="1">
        <f t="shared" si="91"/>
        <v>0</v>
      </c>
      <c r="K130" s="1">
        <f t="shared" si="92"/>
        <v>0</v>
      </c>
      <c r="L130" s="1">
        <f t="shared" si="93"/>
        <v>0</v>
      </c>
      <c r="M130" s="1">
        <f t="shared" si="94"/>
        <v>0</v>
      </c>
      <c r="N130" s="1">
        <f t="shared" si="95"/>
        <v>0</v>
      </c>
      <c r="O130" s="1">
        <f t="shared" si="96"/>
        <v>-0.64772727272727271</v>
      </c>
      <c r="P130" s="1">
        <f t="shared" si="97"/>
        <v>-3.1477272727272729</v>
      </c>
      <c r="Q130" s="1">
        <f t="shared" si="98"/>
        <v>0</v>
      </c>
      <c r="R130" s="1">
        <f t="shared" si="53"/>
        <v>0</v>
      </c>
      <c r="S130" s="1">
        <f t="shared" si="99"/>
        <v>0</v>
      </c>
      <c r="T130" s="7">
        <f t="shared" si="100"/>
        <v>-0.64772727272727271</v>
      </c>
      <c r="U130" s="7">
        <f t="shared" si="101"/>
        <v>-3.1477272727272729</v>
      </c>
      <c r="V130" s="7">
        <f t="shared" si="102"/>
        <v>-0.64772727272727271</v>
      </c>
      <c r="W130" s="7">
        <f t="shared" si="103"/>
        <v>-3.1477272727272729</v>
      </c>
      <c r="X130" s="1">
        <f t="shared" si="54"/>
        <v>0</v>
      </c>
      <c r="Y130" s="1">
        <f t="shared" si="55"/>
        <v>0</v>
      </c>
      <c r="Z130">
        <f t="shared" si="56"/>
        <v>0</v>
      </c>
      <c r="AA130">
        <f t="shared" si="57"/>
        <v>0</v>
      </c>
      <c r="AB130">
        <f t="shared" si="58"/>
        <v>0</v>
      </c>
      <c r="AC130">
        <f t="shared" si="59"/>
        <v>0</v>
      </c>
      <c r="AD130">
        <f t="shared" si="60"/>
        <v>0</v>
      </c>
      <c r="AE130">
        <f t="shared" si="61"/>
        <v>0</v>
      </c>
      <c r="AF130">
        <f t="shared" si="62"/>
        <v>0</v>
      </c>
      <c r="AG130">
        <f t="shared" si="63"/>
        <v>0</v>
      </c>
      <c r="AH130">
        <f t="shared" si="64"/>
        <v>0</v>
      </c>
      <c r="AI130" s="1">
        <f t="shared" si="65"/>
        <v>0</v>
      </c>
      <c r="AJ130" s="1">
        <f t="shared" si="66"/>
        <v>0</v>
      </c>
      <c r="AK130">
        <f t="shared" si="67"/>
        <v>0</v>
      </c>
      <c r="AL130">
        <f t="shared" si="68"/>
        <v>0</v>
      </c>
      <c r="AM130">
        <f t="shared" si="69"/>
        <v>0</v>
      </c>
      <c r="AN130">
        <f t="shared" si="70"/>
        <v>0</v>
      </c>
      <c r="AO130">
        <f t="shared" si="71"/>
        <v>0</v>
      </c>
      <c r="AP130">
        <f t="shared" si="72"/>
        <v>0</v>
      </c>
      <c r="AQ130">
        <f t="shared" si="73"/>
        <v>0</v>
      </c>
      <c r="AR130">
        <f t="shared" si="74"/>
        <v>0</v>
      </c>
      <c r="AS130">
        <f t="shared" si="75"/>
        <v>0</v>
      </c>
      <c r="AT130" s="1">
        <f t="shared" si="76"/>
        <v>0</v>
      </c>
      <c r="AU130" s="1">
        <f t="shared" si="77"/>
        <v>0</v>
      </c>
      <c r="AV130">
        <f t="shared" si="78"/>
        <v>0</v>
      </c>
      <c r="AW130">
        <f t="shared" si="79"/>
        <v>0</v>
      </c>
      <c r="AX130">
        <f t="shared" si="80"/>
        <v>0</v>
      </c>
      <c r="AY130">
        <f t="shared" si="81"/>
        <v>0</v>
      </c>
      <c r="AZ130">
        <f t="shared" si="82"/>
        <v>0</v>
      </c>
      <c r="BA130">
        <f t="shared" si="83"/>
        <v>0</v>
      </c>
      <c r="BB130">
        <f t="shared" si="84"/>
        <v>0</v>
      </c>
      <c r="BC130">
        <f t="shared" si="85"/>
        <v>0</v>
      </c>
      <c r="BD130">
        <f t="shared" si="86"/>
        <v>0</v>
      </c>
    </row>
    <row r="131" spans="1:56" x14ac:dyDescent="0.25">
      <c r="A131" s="1">
        <v>114</v>
      </c>
      <c r="B131" s="2">
        <v>0</v>
      </c>
      <c r="C131" s="2">
        <v>0</v>
      </c>
      <c r="D131" s="2">
        <v>0</v>
      </c>
      <c r="E131" s="2">
        <v>0</v>
      </c>
      <c r="F131" s="1">
        <f t="shared" si="87"/>
        <v>0</v>
      </c>
      <c r="G131" s="1">
        <f t="shared" si="88"/>
        <v>0</v>
      </c>
      <c r="H131" s="1">
        <f t="shared" si="89"/>
        <v>0</v>
      </c>
      <c r="I131" s="1">
        <f t="shared" si="90"/>
        <v>0</v>
      </c>
      <c r="J131" s="1">
        <f t="shared" si="91"/>
        <v>0</v>
      </c>
      <c r="K131" s="1">
        <f t="shared" si="92"/>
        <v>0</v>
      </c>
      <c r="L131" s="1">
        <f t="shared" si="93"/>
        <v>0</v>
      </c>
      <c r="M131" s="1">
        <f t="shared" si="94"/>
        <v>0</v>
      </c>
      <c r="N131" s="1">
        <f t="shared" si="95"/>
        <v>0</v>
      </c>
      <c r="O131" s="1">
        <f t="shared" si="96"/>
        <v>-0.64772727272727271</v>
      </c>
      <c r="P131" s="1">
        <f t="shared" si="97"/>
        <v>-3.1477272727272729</v>
      </c>
      <c r="Q131" s="1">
        <f t="shared" si="98"/>
        <v>0</v>
      </c>
      <c r="R131" s="1">
        <f t="shared" si="53"/>
        <v>0</v>
      </c>
      <c r="S131" s="1">
        <f t="shared" si="99"/>
        <v>0</v>
      </c>
      <c r="T131" s="7">
        <f t="shared" si="100"/>
        <v>-0.64772727272727271</v>
      </c>
      <c r="U131" s="7">
        <f t="shared" si="101"/>
        <v>-3.1477272727272729</v>
      </c>
      <c r="V131" s="7">
        <f t="shared" si="102"/>
        <v>-0.64772727272727271</v>
      </c>
      <c r="W131" s="7">
        <f t="shared" si="103"/>
        <v>-3.1477272727272729</v>
      </c>
      <c r="X131" s="1">
        <f t="shared" si="54"/>
        <v>0</v>
      </c>
      <c r="Y131" s="1">
        <f t="shared" si="55"/>
        <v>0</v>
      </c>
      <c r="Z131">
        <f t="shared" si="56"/>
        <v>0</v>
      </c>
      <c r="AA131">
        <f t="shared" si="57"/>
        <v>0</v>
      </c>
      <c r="AB131">
        <f t="shared" si="58"/>
        <v>0</v>
      </c>
      <c r="AC131">
        <f t="shared" si="59"/>
        <v>0</v>
      </c>
      <c r="AD131">
        <f t="shared" si="60"/>
        <v>0</v>
      </c>
      <c r="AE131">
        <f t="shared" si="61"/>
        <v>0</v>
      </c>
      <c r="AF131">
        <f t="shared" si="62"/>
        <v>0</v>
      </c>
      <c r="AG131">
        <f t="shared" si="63"/>
        <v>0</v>
      </c>
      <c r="AH131">
        <f t="shared" si="64"/>
        <v>0</v>
      </c>
      <c r="AI131" s="1">
        <f t="shared" si="65"/>
        <v>0</v>
      </c>
      <c r="AJ131" s="1">
        <f t="shared" si="66"/>
        <v>0</v>
      </c>
      <c r="AK131">
        <f t="shared" si="67"/>
        <v>0</v>
      </c>
      <c r="AL131">
        <f t="shared" si="68"/>
        <v>0</v>
      </c>
      <c r="AM131">
        <f t="shared" si="69"/>
        <v>0</v>
      </c>
      <c r="AN131">
        <f t="shared" si="70"/>
        <v>0</v>
      </c>
      <c r="AO131">
        <f t="shared" si="71"/>
        <v>0</v>
      </c>
      <c r="AP131">
        <f t="shared" si="72"/>
        <v>0</v>
      </c>
      <c r="AQ131">
        <f t="shared" si="73"/>
        <v>0</v>
      </c>
      <c r="AR131">
        <f t="shared" si="74"/>
        <v>0</v>
      </c>
      <c r="AS131">
        <f t="shared" si="75"/>
        <v>0</v>
      </c>
      <c r="AT131" s="1">
        <f t="shared" si="76"/>
        <v>0</v>
      </c>
      <c r="AU131" s="1">
        <f t="shared" si="77"/>
        <v>0</v>
      </c>
      <c r="AV131">
        <f t="shared" si="78"/>
        <v>0</v>
      </c>
      <c r="AW131">
        <f t="shared" si="79"/>
        <v>0</v>
      </c>
      <c r="AX131">
        <f t="shared" si="80"/>
        <v>0</v>
      </c>
      <c r="AY131">
        <f t="shared" si="81"/>
        <v>0</v>
      </c>
      <c r="AZ131">
        <f t="shared" si="82"/>
        <v>0</v>
      </c>
      <c r="BA131">
        <f t="shared" si="83"/>
        <v>0</v>
      </c>
      <c r="BB131">
        <f t="shared" si="84"/>
        <v>0</v>
      </c>
      <c r="BC131">
        <f t="shared" si="85"/>
        <v>0</v>
      </c>
      <c r="BD131">
        <f t="shared" si="86"/>
        <v>0</v>
      </c>
    </row>
    <row r="132" spans="1:56" x14ac:dyDescent="0.25">
      <c r="A132" s="1">
        <v>115</v>
      </c>
      <c r="B132" s="2">
        <v>0</v>
      </c>
      <c r="C132" s="2">
        <v>0</v>
      </c>
      <c r="D132" s="2">
        <v>0</v>
      </c>
      <c r="E132" s="2">
        <v>0</v>
      </c>
      <c r="F132" s="1">
        <f t="shared" si="87"/>
        <v>0</v>
      </c>
      <c r="G132" s="1">
        <f t="shared" si="88"/>
        <v>0</v>
      </c>
      <c r="H132" s="1">
        <f t="shared" si="89"/>
        <v>0</v>
      </c>
      <c r="I132" s="1">
        <f t="shared" si="90"/>
        <v>0</v>
      </c>
      <c r="J132" s="1">
        <f t="shared" si="91"/>
        <v>0</v>
      </c>
      <c r="K132" s="1">
        <f t="shared" si="92"/>
        <v>0</v>
      </c>
      <c r="L132" s="1">
        <f t="shared" si="93"/>
        <v>0</v>
      </c>
      <c r="M132" s="1">
        <f t="shared" si="94"/>
        <v>0</v>
      </c>
      <c r="N132" s="1">
        <f t="shared" si="95"/>
        <v>0</v>
      </c>
      <c r="O132" s="1">
        <f t="shared" si="96"/>
        <v>-0.64772727272727271</v>
      </c>
      <c r="P132" s="1">
        <f t="shared" si="97"/>
        <v>-3.1477272727272729</v>
      </c>
      <c r="Q132" s="1">
        <f t="shared" si="98"/>
        <v>0</v>
      </c>
      <c r="R132" s="1">
        <f t="shared" si="53"/>
        <v>0</v>
      </c>
      <c r="S132" s="1">
        <f t="shared" si="99"/>
        <v>0</v>
      </c>
      <c r="T132" s="7">
        <f t="shared" si="100"/>
        <v>-0.64772727272727271</v>
      </c>
      <c r="U132" s="7">
        <f t="shared" si="101"/>
        <v>-3.1477272727272729</v>
      </c>
      <c r="V132" s="7">
        <f t="shared" si="102"/>
        <v>-0.64772727272727271</v>
      </c>
      <c r="W132" s="7">
        <f t="shared" si="103"/>
        <v>-3.1477272727272729</v>
      </c>
      <c r="X132" s="1">
        <f t="shared" si="54"/>
        <v>0</v>
      </c>
      <c r="Y132" s="1">
        <f t="shared" si="55"/>
        <v>0</v>
      </c>
      <c r="Z132">
        <f t="shared" si="56"/>
        <v>0</v>
      </c>
      <c r="AA132">
        <f t="shared" si="57"/>
        <v>0</v>
      </c>
      <c r="AB132">
        <f t="shared" si="58"/>
        <v>0</v>
      </c>
      <c r="AC132">
        <f t="shared" si="59"/>
        <v>0</v>
      </c>
      <c r="AD132">
        <f t="shared" si="60"/>
        <v>0</v>
      </c>
      <c r="AE132">
        <f t="shared" si="61"/>
        <v>0</v>
      </c>
      <c r="AF132">
        <f t="shared" si="62"/>
        <v>0</v>
      </c>
      <c r="AG132">
        <f t="shared" si="63"/>
        <v>0</v>
      </c>
      <c r="AH132">
        <f t="shared" si="64"/>
        <v>0</v>
      </c>
      <c r="AI132" s="1">
        <f t="shared" si="65"/>
        <v>0</v>
      </c>
      <c r="AJ132" s="1">
        <f t="shared" si="66"/>
        <v>0</v>
      </c>
      <c r="AK132">
        <f t="shared" si="67"/>
        <v>0</v>
      </c>
      <c r="AL132">
        <f t="shared" si="68"/>
        <v>0</v>
      </c>
      <c r="AM132">
        <f t="shared" si="69"/>
        <v>0</v>
      </c>
      <c r="AN132">
        <f t="shared" si="70"/>
        <v>0</v>
      </c>
      <c r="AO132">
        <f t="shared" si="71"/>
        <v>0</v>
      </c>
      <c r="AP132">
        <f t="shared" si="72"/>
        <v>0</v>
      </c>
      <c r="AQ132">
        <f t="shared" si="73"/>
        <v>0</v>
      </c>
      <c r="AR132">
        <f t="shared" si="74"/>
        <v>0</v>
      </c>
      <c r="AS132">
        <f t="shared" si="75"/>
        <v>0</v>
      </c>
      <c r="AT132" s="1">
        <f t="shared" si="76"/>
        <v>0</v>
      </c>
      <c r="AU132" s="1">
        <f t="shared" si="77"/>
        <v>0</v>
      </c>
      <c r="AV132">
        <f t="shared" si="78"/>
        <v>0</v>
      </c>
      <c r="AW132">
        <f t="shared" si="79"/>
        <v>0</v>
      </c>
      <c r="AX132">
        <f t="shared" si="80"/>
        <v>0</v>
      </c>
      <c r="AY132">
        <f t="shared" si="81"/>
        <v>0</v>
      </c>
      <c r="AZ132">
        <f t="shared" si="82"/>
        <v>0</v>
      </c>
      <c r="BA132">
        <f t="shared" si="83"/>
        <v>0</v>
      </c>
      <c r="BB132">
        <f t="shared" si="84"/>
        <v>0</v>
      </c>
      <c r="BC132">
        <f t="shared" si="85"/>
        <v>0</v>
      </c>
      <c r="BD132">
        <f t="shared" si="86"/>
        <v>0</v>
      </c>
    </row>
    <row r="133" spans="1:56" x14ac:dyDescent="0.25">
      <c r="A133" s="1">
        <v>116</v>
      </c>
      <c r="B133" s="2">
        <v>0</v>
      </c>
      <c r="C133" s="2">
        <v>0</v>
      </c>
      <c r="D133" s="2">
        <v>0</v>
      </c>
      <c r="E133" s="2">
        <v>0</v>
      </c>
      <c r="F133" s="1">
        <f t="shared" si="87"/>
        <v>0</v>
      </c>
      <c r="G133" s="1">
        <f t="shared" si="88"/>
        <v>0</v>
      </c>
      <c r="H133" s="1">
        <f t="shared" si="89"/>
        <v>0</v>
      </c>
      <c r="I133" s="1">
        <f t="shared" si="90"/>
        <v>0</v>
      </c>
      <c r="J133" s="1">
        <f t="shared" si="91"/>
        <v>0</v>
      </c>
      <c r="K133" s="1">
        <f t="shared" si="92"/>
        <v>0</v>
      </c>
      <c r="L133" s="1">
        <f t="shared" si="93"/>
        <v>0</v>
      </c>
      <c r="M133" s="1">
        <f t="shared" si="94"/>
        <v>0</v>
      </c>
      <c r="N133" s="1">
        <f t="shared" si="95"/>
        <v>0</v>
      </c>
      <c r="O133" s="1">
        <f t="shared" si="96"/>
        <v>-0.64772727272727271</v>
      </c>
      <c r="P133" s="1">
        <f t="shared" si="97"/>
        <v>-3.1477272727272729</v>
      </c>
      <c r="Q133" s="1">
        <f t="shared" si="98"/>
        <v>0</v>
      </c>
      <c r="R133" s="1">
        <f t="shared" si="53"/>
        <v>0</v>
      </c>
      <c r="S133" s="1">
        <f t="shared" si="99"/>
        <v>0</v>
      </c>
      <c r="T133" s="7">
        <f t="shared" si="100"/>
        <v>-0.64772727272727271</v>
      </c>
      <c r="U133" s="7">
        <f t="shared" si="101"/>
        <v>-3.1477272727272729</v>
      </c>
      <c r="V133" s="7">
        <f t="shared" si="102"/>
        <v>-0.64772727272727271</v>
      </c>
      <c r="W133" s="7">
        <f t="shared" si="103"/>
        <v>-3.1477272727272729</v>
      </c>
      <c r="X133" s="1">
        <f t="shared" si="54"/>
        <v>0</v>
      </c>
      <c r="Y133" s="1">
        <f t="shared" si="55"/>
        <v>0</v>
      </c>
      <c r="Z133">
        <f t="shared" si="56"/>
        <v>0</v>
      </c>
      <c r="AA133">
        <f t="shared" si="57"/>
        <v>0</v>
      </c>
      <c r="AB133">
        <f t="shared" si="58"/>
        <v>0</v>
      </c>
      <c r="AC133">
        <f t="shared" si="59"/>
        <v>0</v>
      </c>
      <c r="AD133">
        <f t="shared" si="60"/>
        <v>0</v>
      </c>
      <c r="AE133">
        <f t="shared" si="61"/>
        <v>0</v>
      </c>
      <c r="AF133">
        <f t="shared" si="62"/>
        <v>0</v>
      </c>
      <c r="AG133">
        <f t="shared" si="63"/>
        <v>0</v>
      </c>
      <c r="AH133">
        <f t="shared" si="64"/>
        <v>0</v>
      </c>
      <c r="AI133" s="1">
        <f t="shared" si="65"/>
        <v>0</v>
      </c>
      <c r="AJ133" s="1">
        <f t="shared" si="66"/>
        <v>0</v>
      </c>
      <c r="AK133">
        <f t="shared" si="67"/>
        <v>0</v>
      </c>
      <c r="AL133">
        <f t="shared" si="68"/>
        <v>0</v>
      </c>
      <c r="AM133">
        <f t="shared" si="69"/>
        <v>0</v>
      </c>
      <c r="AN133">
        <f t="shared" si="70"/>
        <v>0</v>
      </c>
      <c r="AO133">
        <f t="shared" si="71"/>
        <v>0</v>
      </c>
      <c r="AP133">
        <f t="shared" si="72"/>
        <v>0</v>
      </c>
      <c r="AQ133">
        <f t="shared" si="73"/>
        <v>0</v>
      </c>
      <c r="AR133">
        <f t="shared" si="74"/>
        <v>0</v>
      </c>
      <c r="AS133">
        <f t="shared" si="75"/>
        <v>0</v>
      </c>
      <c r="AT133" s="1">
        <f t="shared" si="76"/>
        <v>0</v>
      </c>
      <c r="AU133" s="1">
        <f t="shared" si="77"/>
        <v>0</v>
      </c>
      <c r="AV133">
        <f t="shared" si="78"/>
        <v>0</v>
      </c>
      <c r="AW133">
        <f t="shared" si="79"/>
        <v>0</v>
      </c>
      <c r="AX133">
        <f t="shared" si="80"/>
        <v>0</v>
      </c>
      <c r="AY133">
        <f t="shared" si="81"/>
        <v>0</v>
      </c>
      <c r="AZ133">
        <f t="shared" si="82"/>
        <v>0</v>
      </c>
      <c r="BA133">
        <f t="shared" si="83"/>
        <v>0</v>
      </c>
      <c r="BB133">
        <f t="shared" si="84"/>
        <v>0</v>
      </c>
      <c r="BC133">
        <f t="shared" si="85"/>
        <v>0</v>
      </c>
      <c r="BD133">
        <f t="shared" si="86"/>
        <v>0</v>
      </c>
    </row>
    <row r="134" spans="1:56" x14ac:dyDescent="0.25">
      <c r="A134" s="1">
        <v>117</v>
      </c>
      <c r="B134" s="2">
        <v>0</v>
      </c>
      <c r="C134" s="2">
        <v>0</v>
      </c>
      <c r="D134" s="2">
        <v>0</v>
      </c>
      <c r="E134" s="2">
        <v>0</v>
      </c>
      <c r="F134" s="1">
        <f t="shared" si="87"/>
        <v>0</v>
      </c>
      <c r="G134" s="1">
        <f t="shared" si="88"/>
        <v>0</v>
      </c>
      <c r="H134" s="1">
        <f t="shared" si="89"/>
        <v>0</v>
      </c>
      <c r="I134" s="1">
        <f t="shared" si="90"/>
        <v>0</v>
      </c>
      <c r="J134" s="1">
        <f t="shared" si="91"/>
        <v>0</v>
      </c>
      <c r="K134" s="1">
        <f t="shared" si="92"/>
        <v>0</v>
      </c>
      <c r="L134" s="1">
        <f t="shared" si="93"/>
        <v>0</v>
      </c>
      <c r="M134" s="1">
        <f t="shared" si="94"/>
        <v>0</v>
      </c>
      <c r="N134" s="1">
        <f t="shared" si="95"/>
        <v>0</v>
      </c>
      <c r="O134" s="1">
        <f t="shared" si="96"/>
        <v>-0.64772727272727271</v>
      </c>
      <c r="P134" s="1">
        <f t="shared" si="97"/>
        <v>-3.1477272727272729</v>
      </c>
      <c r="Q134" s="1">
        <f t="shared" si="98"/>
        <v>0</v>
      </c>
      <c r="R134" s="1">
        <f t="shared" si="53"/>
        <v>0</v>
      </c>
      <c r="S134" s="1">
        <f t="shared" si="99"/>
        <v>0</v>
      </c>
      <c r="T134" s="7">
        <f t="shared" si="100"/>
        <v>-0.64772727272727271</v>
      </c>
      <c r="U134" s="7">
        <f t="shared" si="101"/>
        <v>-3.1477272727272729</v>
      </c>
      <c r="V134" s="7">
        <f t="shared" si="102"/>
        <v>-0.64772727272727271</v>
      </c>
      <c r="W134" s="7">
        <f t="shared" si="103"/>
        <v>-3.1477272727272729</v>
      </c>
      <c r="X134" s="1">
        <f t="shared" si="54"/>
        <v>0</v>
      </c>
      <c r="Y134" s="1">
        <f t="shared" si="55"/>
        <v>0</v>
      </c>
      <c r="Z134">
        <f t="shared" si="56"/>
        <v>0</v>
      </c>
      <c r="AA134">
        <f t="shared" si="57"/>
        <v>0</v>
      </c>
      <c r="AB134">
        <f t="shared" si="58"/>
        <v>0</v>
      </c>
      <c r="AC134">
        <f t="shared" si="59"/>
        <v>0</v>
      </c>
      <c r="AD134">
        <f t="shared" si="60"/>
        <v>0</v>
      </c>
      <c r="AE134">
        <f t="shared" si="61"/>
        <v>0</v>
      </c>
      <c r="AF134">
        <f t="shared" si="62"/>
        <v>0</v>
      </c>
      <c r="AG134">
        <f t="shared" si="63"/>
        <v>0</v>
      </c>
      <c r="AH134">
        <f t="shared" si="64"/>
        <v>0</v>
      </c>
      <c r="AI134" s="1">
        <f t="shared" si="65"/>
        <v>0</v>
      </c>
      <c r="AJ134" s="1">
        <f t="shared" si="66"/>
        <v>0</v>
      </c>
      <c r="AK134">
        <f t="shared" si="67"/>
        <v>0</v>
      </c>
      <c r="AL134">
        <f t="shared" si="68"/>
        <v>0</v>
      </c>
      <c r="AM134">
        <f t="shared" si="69"/>
        <v>0</v>
      </c>
      <c r="AN134">
        <f t="shared" si="70"/>
        <v>0</v>
      </c>
      <c r="AO134">
        <f t="shared" si="71"/>
        <v>0</v>
      </c>
      <c r="AP134">
        <f t="shared" si="72"/>
        <v>0</v>
      </c>
      <c r="AQ134">
        <f t="shared" si="73"/>
        <v>0</v>
      </c>
      <c r="AR134">
        <f t="shared" si="74"/>
        <v>0</v>
      </c>
      <c r="AS134">
        <f t="shared" si="75"/>
        <v>0</v>
      </c>
      <c r="AT134" s="1">
        <f t="shared" si="76"/>
        <v>0</v>
      </c>
      <c r="AU134" s="1">
        <f t="shared" si="77"/>
        <v>0</v>
      </c>
      <c r="AV134">
        <f t="shared" si="78"/>
        <v>0</v>
      </c>
      <c r="AW134">
        <f t="shared" si="79"/>
        <v>0</v>
      </c>
      <c r="AX134">
        <f t="shared" si="80"/>
        <v>0</v>
      </c>
      <c r="AY134">
        <f t="shared" si="81"/>
        <v>0</v>
      </c>
      <c r="AZ134">
        <f t="shared" si="82"/>
        <v>0</v>
      </c>
      <c r="BA134">
        <f t="shared" si="83"/>
        <v>0</v>
      </c>
      <c r="BB134">
        <f t="shared" si="84"/>
        <v>0</v>
      </c>
      <c r="BC134">
        <f t="shared" si="85"/>
        <v>0</v>
      </c>
      <c r="BD134">
        <f t="shared" si="86"/>
        <v>0</v>
      </c>
    </row>
    <row r="135" spans="1:56" x14ac:dyDescent="0.25">
      <c r="A135" s="1">
        <v>118</v>
      </c>
      <c r="B135" s="2">
        <v>0</v>
      </c>
      <c r="C135" s="2">
        <v>0</v>
      </c>
      <c r="D135" s="2">
        <v>0</v>
      </c>
      <c r="E135" s="2">
        <v>0</v>
      </c>
      <c r="F135" s="1">
        <f t="shared" si="87"/>
        <v>0</v>
      </c>
      <c r="G135" s="1">
        <f t="shared" si="88"/>
        <v>0</v>
      </c>
      <c r="H135" s="1">
        <f t="shared" si="89"/>
        <v>0</v>
      </c>
      <c r="I135" s="1">
        <f t="shared" si="90"/>
        <v>0</v>
      </c>
      <c r="J135" s="1">
        <f t="shared" si="91"/>
        <v>0</v>
      </c>
      <c r="K135" s="1">
        <f t="shared" si="92"/>
        <v>0</v>
      </c>
      <c r="L135" s="1">
        <f t="shared" si="93"/>
        <v>0</v>
      </c>
      <c r="M135" s="1">
        <f t="shared" si="94"/>
        <v>0</v>
      </c>
      <c r="N135" s="1">
        <f t="shared" si="95"/>
        <v>0</v>
      </c>
      <c r="O135" s="1">
        <f t="shared" si="96"/>
        <v>-0.64772727272727271</v>
      </c>
      <c r="P135" s="1">
        <f t="shared" si="97"/>
        <v>-3.1477272727272729</v>
      </c>
      <c r="Q135" s="1">
        <f t="shared" si="98"/>
        <v>0</v>
      </c>
      <c r="R135" s="1">
        <f t="shared" si="53"/>
        <v>0</v>
      </c>
      <c r="S135" s="1">
        <f t="shared" si="99"/>
        <v>0</v>
      </c>
      <c r="T135" s="7">
        <f t="shared" si="100"/>
        <v>-0.64772727272727271</v>
      </c>
      <c r="U135" s="7">
        <f t="shared" si="101"/>
        <v>-3.1477272727272729</v>
      </c>
      <c r="V135" s="7">
        <f t="shared" si="102"/>
        <v>-0.64772727272727271</v>
      </c>
      <c r="W135" s="7">
        <f t="shared" si="103"/>
        <v>-3.1477272727272729</v>
      </c>
      <c r="X135" s="1">
        <f t="shared" si="54"/>
        <v>0</v>
      </c>
      <c r="Y135" s="1">
        <f t="shared" si="55"/>
        <v>0</v>
      </c>
      <c r="Z135">
        <f t="shared" si="56"/>
        <v>0</v>
      </c>
      <c r="AA135">
        <f t="shared" si="57"/>
        <v>0</v>
      </c>
      <c r="AB135">
        <f t="shared" si="58"/>
        <v>0</v>
      </c>
      <c r="AC135">
        <f t="shared" si="59"/>
        <v>0</v>
      </c>
      <c r="AD135">
        <f t="shared" si="60"/>
        <v>0</v>
      </c>
      <c r="AE135">
        <f t="shared" si="61"/>
        <v>0</v>
      </c>
      <c r="AF135">
        <f t="shared" si="62"/>
        <v>0</v>
      </c>
      <c r="AG135">
        <f t="shared" si="63"/>
        <v>0</v>
      </c>
      <c r="AH135">
        <f t="shared" si="64"/>
        <v>0</v>
      </c>
      <c r="AI135" s="1">
        <f t="shared" si="65"/>
        <v>0</v>
      </c>
      <c r="AJ135" s="1">
        <f t="shared" si="66"/>
        <v>0</v>
      </c>
      <c r="AK135">
        <f t="shared" si="67"/>
        <v>0</v>
      </c>
      <c r="AL135">
        <f t="shared" si="68"/>
        <v>0</v>
      </c>
      <c r="AM135">
        <f t="shared" si="69"/>
        <v>0</v>
      </c>
      <c r="AN135">
        <f t="shared" si="70"/>
        <v>0</v>
      </c>
      <c r="AO135">
        <f t="shared" si="71"/>
        <v>0</v>
      </c>
      <c r="AP135">
        <f t="shared" si="72"/>
        <v>0</v>
      </c>
      <c r="AQ135">
        <f t="shared" si="73"/>
        <v>0</v>
      </c>
      <c r="AR135">
        <f t="shared" si="74"/>
        <v>0</v>
      </c>
      <c r="AS135">
        <f t="shared" si="75"/>
        <v>0</v>
      </c>
      <c r="AT135" s="1">
        <f t="shared" si="76"/>
        <v>0</v>
      </c>
      <c r="AU135" s="1">
        <f t="shared" si="77"/>
        <v>0</v>
      </c>
      <c r="AV135">
        <f t="shared" si="78"/>
        <v>0</v>
      </c>
      <c r="AW135">
        <f t="shared" si="79"/>
        <v>0</v>
      </c>
      <c r="AX135">
        <f t="shared" si="80"/>
        <v>0</v>
      </c>
      <c r="AY135">
        <f t="shared" si="81"/>
        <v>0</v>
      </c>
      <c r="AZ135">
        <f t="shared" si="82"/>
        <v>0</v>
      </c>
      <c r="BA135">
        <f t="shared" si="83"/>
        <v>0</v>
      </c>
      <c r="BB135">
        <f t="shared" si="84"/>
        <v>0</v>
      </c>
      <c r="BC135">
        <f t="shared" si="85"/>
        <v>0</v>
      </c>
      <c r="BD135">
        <f t="shared" si="86"/>
        <v>0</v>
      </c>
    </row>
    <row r="136" spans="1:56" x14ac:dyDescent="0.25">
      <c r="A136" s="1">
        <v>119</v>
      </c>
      <c r="B136" s="2">
        <v>0</v>
      </c>
      <c r="C136" s="2">
        <v>0</v>
      </c>
      <c r="D136" s="2">
        <v>0</v>
      </c>
      <c r="E136" s="2">
        <v>0</v>
      </c>
      <c r="F136" s="1">
        <f t="shared" si="87"/>
        <v>0</v>
      </c>
      <c r="G136" s="1">
        <f t="shared" si="88"/>
        <v>0</v>
      </c>
      <c r="H136" s="1">
        <f t="shared" si="89"/>
        <v>0</v>
      </c>
      <c r="I136" s="1">
        <f t="shared" si="90"/>
        <v>0</v>
      </c>
      <c r="J136" s="1">
        <f t="shared" si="91"/>
        <v>0</v>
      </c>
      <c r="K136" s="1">
        <f t="shared" si="92"/>
        <v>0</v>
      </c>
      <c r="L136" s="1">
        <f t="shared" si="93"/>
        <v>0</v>
      </c>
      <c r="M136" s="1">
        <f t="shared" si="94"/>
        <v>0</v>
      </c>
      <c r="N136" s="1">
        <f t="shared" si="95"/>
        <v>0</v>
      </c>
      <c r="O136" s="1">
        <f t="shared" si="96"/>
        <v>-0.64772727272727271</v>
      </c>
      <c r="P136" s="1">
        <f t="shared" si="97"/>
        <v>-3.1477272727272729</v>
      </c>
      <c r="Q136" s="1">
        <f t="shared" si="98"/>
        <v>0</v>
      </c>
      <c r="R136" s="1">
        <f t="shared" si="53"/>
        <v>0</v>
      </c>
      <c r="S136" s="1">
        <f t="shared" si="99"/>
        <v>0</v>
      </c>
      <c r="T136" s="7">
        <f t="shared" si="100"/>
        <v>-0.64772727272727271</v>
      </c>
      <c r="U136" s="7">
        <f t="shared" si="101"/>
        <v>-3.1477272727272729</v>
      </c>
      <c r="V136" s="7">
        <f t="shared" si="102"/>
        <v>-0.64772727272727271</v>
      </c>
      <c r="W136" s="7">
        <f t="shared" si="103"/>
        <v>-3.1477272727272729</v>
      </c>
      <c r="X136" s="1">
        <f t="shared" si="54"/>
        <v>0</v>
      </c>
      <c r="Y136" s="1">
        <f t="shared" si="55"/>
        <v>0</v>
      </c>
      <c r="Z136">
        <f t="shared" si="56"/>
        <v>0</v>
      </c>
      <c r="AA136">
        <f t="shared" si="57"/>
        <v>0</v>
      </c>
      <c r="AB136">
        <f t="shared" si="58"/>
        <v>0</v>
      </c>
      <c r="AC136">
        <f t="shared" si="59"/>
        <v>0</v>
      </c>
      <c r="AD136">
        <f t="shared" si="60"/>
        <v>0</v>
      </c>
      <c r="AE136">
        <f t="shared" si="61"/>
        <v>0</v>
      </c>
      <c r="AF136">
        <f t="shared" si="62"/>
        <v>0</v>
      </c>
      <c r="AG136">
        <f t="shared" si="63"/>
        <v>0</v>
      </c>
      <c r="AH136">
        <f t="shared" si="64"/>
        <v>0</v>
      </c>
      <c r="AI136" s="1">
        <f t="shared" si="65"/>
        <v>0</v>
      </c>
      <c r="AJ136" s="1">
        <f t="shared" si="66"/>
        <v>0</v>
      </c>
      <c r="AK136">
        <f t="shared" si="67"/>
        <v>0</v>
      </c>
      <c r="AL136">
        <f t="shared" si="68"/>
        <v>0</v>
      </c>
      <c r="AM136">
        <f t="shared" si="69"/>
        <v>0</v>
      </c>
      <c r="AN136">
        <f t="shared" si="70"/>
        <v>0</v>
      </c>
      <c r="AO136">
        <f t="shared" si="71"/>
        <v>0</v>
      </c>
      <c r="AP136">
        <f t="shared" si="72"/>
        <v>0</v>
      </c>
      <c r="AQ136">
        <f t="shared" si="73"/>
        <v>0</v>
      </c>
      <c r="AR136">
        <f t="shared" si="74"/>
        <v>0</v>
      </c>
      <c r="AS136">
        <f t="shared" si="75"/>
        <v>0</v>
      </c>
      <c r="AT136" s="1">
        <f t="shared" si="76"/>
        <v>0</v>
      </c>
      <c r="AU136" s="1">
        <f t="shared" si="77"/>
        <v>0</v>
      </c>
      <c r="AV136">
        <f t="shared" si="78"/>
        <v>0</v>
      </c>
      <c r="AW136">
        <f t="shared" si="79"/>
        <v>0</v>
      </c>
      <c r="AX136">
        <f t="shared" si="80"/>
        <v>0</v>
      </c>
      <c r="AY136">
        <f t="shared" si="81"/>
        <v>0</v>
      </c>
      <c r="AZ136">
        <f t="shared" si="82"/>
        <v>0</v>
      </c>
      <c r="BA136">
        <f t="shared" si="83"/>
        <v>0</v>
      </c>
      <c r="BB136">
        <f t="shared" si="84"/>
        <v>0</v>
      </c>
      <c r="BC136">
        <f t="shared" si="85"/>
        <v>0</v>
      </c>
      <c r="BD136">
        <f t="shared" si="86"/>
        <v>0</v>
      </c>
    </row>
    <row r="137" spans="1:56" x14ac:dyDescent="0.25">
      <c r="A137" s="1">
        <v>120</v>
      </c>
      <c r="B137" s="2">
        <v>0</v>
      </c>
      <c r="C137" s="2">
        <v>0</v>
      </c>
      <c r="D137" s="2">
        <v>0</v>
      </c>
      <c r="E137" s="2">
        <v>0</v>
      </c>
      <c r="F137" s="1">
        <f t="shared" si="87"/>
        <v>0</v>
      </c>
      <c r="G137" s="1">
        <f t="shared" si="88"/>
        <v>0</v>
      </c>
      <c r="H137" s="1">
        <f t="shared" si="89"/>
        <v>0</v>
      </c>
      <c r="I137" s="1">
        <f t="shared" si="90"/>
        <v>0</v>
      </c>
      <c r="J137" s="1">
        <f t="shared" si="91"/>
        <v>0</v>
      </c>
      <c r="K137" s="1">
        <f t="shared" si="92"/>
        <v>0</v>
      </c>
      <c r="L137" s="1">
        <f t="shared" si="93"/>
        <v>0</v>
      </c>
      <c r="M137" s="1">
        <f t="shared" si="94"/>
        <v>0</v>
      </c>
      <c r="N137" s="1">
        <f t="shared" si="95"/>
        <v>0</v>
      </c>
      <c r="O137" s="1">
        <f t="shared" si="96"/>
        <v>-0.64772727272727271</v>
      </c>
      <c r="P137" s="1">
        <f t="shared" si="97"/>
        <v>-3.1477272727272729</v>
      </c>
      <c r="Q137" s="1">
        <f t="shared" si="98"/>
        <v>0</v>
      </c>
      <c r="R137" s="1">
        <f t="shared" si="53"/>
        <v>0</v>
      </c>
      <c r="S137" s="1">
        <f t="shared" si="99"/>
        <v>0</v>
      </c>
      <c r="T137" s="7">
        <f t="shared" si="100"/>
        <v>-0.64772727272727271</v>
      </c>
      <c r="U137" s="7">
        <f t="shared" si="101"/>
        <v>-3.1477272727272729</v>
      </c>
      <c r="V137" s="7">
        <f t="shared" si="102"/>
        <v>-0.64772727272727271</v>
      </c>
      <c r="W137" s="7">
        <f t="shared" si="103"/>
        <v>-3.1477272727272729</v>
      </c>
      <c r="X137" s="1">
        <f t="shared" si="54"/>
        <v>0</v>
      </c>
      <c r="Y137" s="1">
        <f t="shared" si="55"/>
        <v>0</v>
      </c>
      <c r="Z137">
        <f t="shared" si="56"/>
        <v>0</v>
      </c>
      <c r="AA137">
        <f t="shared" si="57"/>
        <v>0</v>
      </c>
      <c r="AB137">
        <f t="shared" si="58"/>
        <v>0</v>
      </c>
      <c r="AC137">
        <f t="shared" si="59"/>
        <v>0</v>
      </c>
      <c r="AD137">
        <f t="shared" si="60"/>
        <v>0</v>
      </c>
      <c r="AE137">
        <f t="shared" si="61"/>
        <v>0</v>
      </c>
      <c r="AF137">
        <f t="shared" si="62"/>
        <v>0</v>
      </c>
      <c r="AG137">
        <f t="shared" si="63"/>
        <v>0</v>
      </c>
      <c r="AH137">
        <f t="shared" si="64"/>
        <v>0</v>
      </c>
      <c r="AI137" s="1">
        <f t="shared" si="65"/>
        <v>0</v>
      </c>
      <c r="AJ137" s="1">
        <f t="shared" si="66"/>
        <v>0</v>
      </c>
      <c r="AK137">
        <f t="shared" si="67"/>
        <v>0</v>
      </c>
      <c r="AL137">
        <f t="shared" si="68"/>
        <v>0</v>
      </c>
      <c r="AM137">
        <f t="shared" si="69"/>
        <v>0</v>
      </c>
      <c r="AN137">
        <f t="shared" si="70"/>
        <v>0</v>
      </c>
      <c r="AO137">
        <f t="shared" si="71"/>
        <v>0</v>
      </c>
      <c r="AP137">
        <f t="shared" si="72"/>
        <v>0</v>
      </c>
      <c r="AQ137">
        <f t="shared" si="73"/>
        <v>0</v>
      </c>
      <c r="AR137">
        <f t="shared" si="74"/>
        <v>0</v>
      </c>
      <c r="AS137">
        <f t="shared" si="75"/>
        <v>0</v>
      </c>
      <c r="AT137" s="1">
        <f t="shared" si="76"/>
        <v>0</v>
      </c>
      <c r="AU137" s="1">
        <f t="shared" si="77"/>
        <v>0</v>
      </c>
      <c r="AV137">
        <f t="shared" si="78"/>
        <v>0</v>
      </c>
      <c r="AW137">
        <f t="shared" si="79"/>
        <v>0</v>
      </c>
      <c r="AX137">
        <f t="shared" si="80"/>
        <v>0</v>
      </c>
      <c r="AY137">
        <f t="shared" si="81"/>
        <v>0</v>
      </c>
      <c r="AZ137">
        <f t="shared" si="82"/>
        <v>0</v>
      </c>
      <c r="BA137">
        <f t="shared" si="83"/>
        <v>0</v>
      </c>
      <c r="BB137">
        <f t="shared" si="84"/>
        <v>0</v>
      </c>
      <c r="BC137">
        <f t="shared" si="85"/>
        <v>0</v>
      </c>
      <c r="BD137">
        <f t="shared" si="86"/>
        <v>0</v>
      </c>
    </row>
    <row r="138" spans="1:56" x14ac:dyDescent="0.25">
      <c r="A138" s="1">
        <v>121</v>
      </c>
      <c r="B138" s="2">
        <v>0</v>
      </c>
      <c r="C138" s="2">
        <v>0</v>
      </c>
      <c r="D138" s="2">
        <v>0</v>
      </c>
      <c r="E138" s="2">
        <v>0</v>
      </c>
      <c r="F138" s="1">
        <f t="shared" si="87"/>
        <v>0</v>
      </c>
      <c r="G138" s="1">
        <f t="shared" si="88"/>
        <v>0</v>
      </c>
      <c r="H138" s="1">
        <f t="shared" si="89"/>
        <v>0</v>
      </c>
      <c r="I138" s="1">
        <f t="shared" si="90"/>
        <v>0</v>
      </c>
      <c r="J138" s="1">
        <f t="shared" si="91"/>
        <v>0</v>
      </c>
      <c r="K138" s="1">
        <f t="shared" si="92"/>
        <v>0</v>
      </c>
      <c r="L138" s="1">
        <f t="shared" si="93"/>
        <v>0</v>
      </c>
      <c r="M138" s="1">
        <f t="shared" si="94"/>
        <v>0</v>
      </c>
      <c r="N138" s="1">
        <f t="shared" si="95"/>
        <v>0</v>
      </c>
      <c r="O138" s="1">
        <f t="shared" si="96"/>
        <v>-0.64772727272727271</v>
      </c>
      <c r="P138" s="1">
        <f t="shared" si="97"/>
        <v>-3.1477272727272729</v>
      </c>
      <c r="Q138" s="1">
        <f t="shared" si="98"/>
        <v>0</v>
      </c>
      <c r="R138" s="1">
        <f t="shared" si="53"/>
        <v>0</v>
      </c>
      <c r="S138" s="1">
        <f t="shared" si="99"/>
        <v>0</v>
      </c>
      <c r="T138" s="7">
        <f t="shared" si="100"/>
        <v>-0.64772727272727271</v>
      </c>
      <c r="U138" s="7">
        <f t="shared" si="101"/>
        <v>-3.1477272727272729</v>
      </c>
      <c r="V138" s="7">
        <f t="shared" si="102"/>
        <v>-0.64772727272727271</v>
      </c>
      <c r="W138" s="7">
        <f t="shared" si="103"/>
        <v>-3.1477272727272729</v>
      </c>
      <c r="X138" s="1">
        <f t="shared" si="54"/>
        <v>0</v>
      </c>
      <c r="Y138" s="1">
        <f t="shared" si="55"/>
        <v>0</v>
      </c>
      <c r="Z138">
        <f t="shared" si="56"/>
        <v>0</v>
      </c>
      <c r="AA138">
        <f t="shared" si="57"/>
        <v>0</v>
      </c>
      <c r="AB138">
        <f t="shared" si="58"/>
        <v>0</v>
      </c>
      <c r="AC138">
        <f t="shared" si="59"/>
        <v>0</v>
      </c>
      <c r="AD138">
        <f t="shared" si="60"/>
        <v>0</v>
      </c>
      <c r="AE138">
        <f t="shared" si="61"/>
        <v>0</v>
      </c>
      <c r="AF138">
        <f t="shared" si="62"/>
        <v>0</v>
      </c>
      <c r="AG138">
        <f t="shared" si="63"/>
        <v>0</v>
      </c>
      <c r="AH138">
        <f t="shared" si="64"/>
        <v>0</v>
      </c>
      <c r="AI138" s="1">
        <f t="shared" si="65"/>
        <v>0</v>
      </c>
      <c r="AJ138" s="1">
        <f t="shared" si="66"/>
        <v>0</v>
      </c>
      <c r="AK138">
        <f t="shared" si="67"/>
        <v>0</v>
      </c>
      <c r="AL138">
        <f t="shared" si="68"/>
        <v>0</v>
      </c>
      <c r="AM138">
        <f t="shared" si="69"/>
        <v>0</v>
      </c>
      <c r="AN138">
        <f t="shared" si="70"/>
        <v>0</v>
      </c>
      <c r="AO138">
        <f t="shared" si="71"/>
        <v>0</v>
      </c>
      <c r="AP138">
        <f t="shared" si="72"/>
        <v>0</v>
      </c>
      <c r="AQ138">
        <f t="shared" si="73"/>
        <v>0</v>
      </c>
      <c r="AR138">
        <f t="shared" si="74"/>
        <v>0</v>
      </c>
      <c r="AS138">
        <f t="shared" si="75"/>
        <v>0</v>
      </c>
      <c r="AT138" s="1">
        <f t="shared" si="76"/>
        <v>0</v>
      </c>
      <c r="AU138" s="1">
        <f t="shared" si="77"/>
        <v>0</v>
      </c>
      <c r="AV138">
        <f t="shared" si="78"/>
        <v>0</v>
      </c>
      <c r="AW138">
        <f t="shared" si="79"/>
        <v>0</v>
      </c>
      <c r="AX138">
        <f t="shared" si="80"/>
        <v>0</v>
      </c>
      <c r="AY138">
        <f t="shared" si="81"/>
        <v>0</v>
      </c>
      <c r="AZ138">
        <f t="shared" si="82"/>
        <v>0</v>
      </c>
      <c r="BA138">
        <f t="shared" si="83"/>
        <v>0</v>
      </c>
      <c r="BB138">
        <f t="shared" si="84"/>
        <v>0</v>
      </c>
      <c r="BC138">
        <f t="shared" si="85"/>
        <v>0</v>
      </c>
      <c r="BD138">
        <f t="shared" si="86"/>
        <v>0</v>
      </c>
    </row>
    <row r="139" spans="1:56" x14ac:dyDescent="0.25">
      <c r="A139" s="1">
        <v>122</v>
      </c>
      <c r="B139" s="2">
        <v>0</v>
      </c>
      <c r="C139" s="2">
        <v>0</v>
      </c>
      <c r="D139" s="2">
        <v>0</v>
      </c>
      <c r="E139" s="2">
        <v>0</v>
      </c>
      <c r="F139" s="1">
        <f t="shared" si="87"/>
        <v>0</v>
      </c>
      <c r="G139" s="1">
        <f t="shared" si="88"/>
        <v>0</v>
      </c>
      <c r="H139" s="1">
        <f t="shared" si="89"/>
        <v>0</v>
      </c>
      <c r="I139" s="1">
        <f t="shared" si="90"/>
        <v>0</v>
      </c>
      <c r="J139" s="1">
        <f t="shared" si="91"/>
        <v>0</v>
      </c>
      <c r="K139" s="1">
        <f t="shared" si="92"/>
        <v>0</v>
      </c>
      <c r="L139" s="1">
        <f t="shared" si="93"/>
        <v>0</v>
      </c>
      <c r="M139" s="1">
        <f t="shared" si="94"/>
        <v>0</v>
      </c>
      <c r="N139" s="1">
        <f t="shared" si="95"/>
        <v>0</v>
      </c>
      <c r="O139" s="1">
        <f t="shared" si="96"/>
        <v>-0.64772727272727271</v>
      </c>
      <c r="P139" s="1">
        <f t="shared" si="97"/>
        <v>-3.1477272727272729</v>
      </c>
      <c r="Q139" s="1">
        <f t="shared" si="98"/>
        <v>0</v>
      </c>
      <c r="R139" s="1">
        <f t="shared" si="53"/>
        <v>0</v>
      </c>
      <c r="S139" s="1">
        <f t="shared" si="99"/>
        <v>0</v>
      </c>
      <c r="T139" s="7">
        <f t="shared" si="100"/>
        <v>-0.64772727272727271</v>
      </c>
      <c r="U139" s="7">
        <f t="shared" si="101"/>
        <v>-3.1477272727272729</v>
      </c>
      <c r="V139" s="7">
        <f t="shared" si="102"/>
        <v>-0.64772727272727271</v>
      </c>
      <c r="W139" s="7">
        <f t="shared" si="103"/>
        <v>-3.1477272727272729</v>
      </c>
      <c r="X139" s="1">
        <f t="shared" si="54"/>
        <v>0</v>
      </c>
      <c r="Y139" s="1">
        <f t="shared" si="55"/>
        <v>0</v>
      </c>
      <c r="Z139">
        <f t="shared" si="56"/>
        <v>0</v>
      </c>
      <c r="AA139">
        <f t="shared" si="57"/>
        <v>0</v>
      </c>
      <c r="AB139">
        <f t="shared" si="58"/>
        <v>0</v>
      </c>
      <c r="AC139">
        <f t="shared" si="59"/>
        <v>0</v>
      </c>
      <c r="AD139">
        <f t="shared" si="60"/>
        <v>0</v>
      </c>
      <c r="AE139">
        <f t="shared" si="61"/>
        <v>0</v>
      </c>
      <c r="AF139">
        <f t="shared" si="62"/>
        <v>0</v>
      </c>
      <c r="AG139">
        <f t="shared" si="63"/>
        <v>0</v>
      </c>
      <c r="AH139">
        <f t="shared" si="64"/>
        <v>0</v>
      </c>
      <c r="AI139" s="1">
        <f t="shared" si="65"/>
        <v>0</v>
      </c>
      <c r="AJ139" s="1">
        <f t="shared" si="66"/>
        <v>0</v>
      </c>
      <c r="AK139">
        <f t="shared" si="67"/>
        <v>0</v>
      </c>
      <c r="AL139">
        <f t="shared" si="68"/>
        <v>0</v>
      </c>
      <c r="AM139">
        <f t="shared" si="69"/>
        <v>0</v>
      </c>
      <c r="AN139">
        <f t="shared" si="70"/>
        <v>0</v>
      </c>
      <c r="AO139">
        <f t="shared" si="71"/>
        <v>0</v>
      </c>
      <c r="AP139">
        <f t="shared" si="72"/>
        <v>0</v>
      </c>
      <c r="AQ139">
        <f t="shared" si="73"/>
        <v>0</v>
      </c>
      <c r="AR139">
        <f t="shared" si="74"/>
        <v>0</v>
      </c>
      <c r="AS139">
        <f t="shared" si="75"/>
        <v>0</v>
      </c>
      <c r="AT139" s="1">
        <f t="shared" si="76"/>
        <v>0</v>
      </c>
      <c r="AU139" s="1">
        <f t="shared" si="77"/>
        <v>0</v>
      </c>
      <c r="AV139">
        <f t="shared" si="78"/>
        <v>0</v>
      </c>
      <c r="AW139">
        <f t="shared" si="79"/>
        <v>0</v>
      </c>
      <c r="AX139">
        <f t="shared" si="80"/>
        <v>0</v>
      </c>
      <c r="AY139">
        <f t="shared" si="81"/>
        <v>0</v>
      </c>
      <c r="AZ139">
        <f t="shared" si="82"/>
        <v>0</v>
      </c>
      <c r="BA139">
        <f t="shared" si="83"/>
        <v>0</v>
      </c>
      <c r="BB139">
        <f t="shared" si="84"/>
        <v>0</v>
      </c>
      <c r="BC139">
        <f t="shared" si="85"/>
        <v>0</v>
      </c>
      <c r="BD139">
        <f t="shared" si="86"/>
        <v>0</v>
      </c>
    </row>
    <row r="140" spans="1:56" x14ac:dyDescent="0.25">
      <c r="A140" s="1">
        <v>123</v>
      </c>
      <c r="B140" s="2">
        <v>0</v>
      </c>
      <c r="C140" s="2">
        <v>0</v>
      </c>
      <c r="D140" s="2">
        <v>0</v>
      </c>
      <c r="E140" s="2">
        <v>0</v>
      </c>
      <c r="F140" s="1">
        <f t="shared" si="87"/>
        <v>0</v>
      </c>
      <c r="G140" s="1">
        <f t="shared" si="88"/>
        <v>0</v>
      </c>
      <c r="H140" s="1">
        <f t="shared" si="89"/>
        <v>0</v>
      </c>
      <c r="I140" s="1">
        <f t="shared" si="90"/>
        <v>0</v>
      </c>
      <c r="J140" s="1">
        <f t="shared" si="91"/>
        <v>0</v>
      </c>
      <c r="K140" s="1">
        <f t="shared" si="92"/>
        <v>0</v>
      </c>
      <c r="L140" s="1">
        <f t="shared" si="93"/>
        <v>0</v>
      </c>
      <c r="M140" s="1">
        <f t="shared" si="94"/>
        <v>0</v>
      </c>
      <c r="N140" s="1">
        <f t="shared" si="95"/>
        <v>0</v>
      </c>
      <c r="O140" s="1">
        <f t="shared" si="96"/>
        <v>-0.64772727272727271</v>
      </c>
      <c r="P140" s="1">
        <f t="shared" si="97"/>
        <v>-3.1477272727272729</v>
      </c>
      <c r="Q140" s="1">
        <f t="shared" si="98"/>
        <v>0</v>
      </c>
      <c r="R140" s="1">
        <f t="shared" si="53"/>
        <v>0</v>
      </c>
      <c r="S140" s="1">
        <f t="shared" si="99"/>
        <v>0</v>
      </c>
      <c r="T140" s="7">
        <f t="shared" si="100"/>
        <v>-0.64772727272727271</v>
      </c>
      <c r="U140" s="7">
        <f t="shared" si="101"/>
        <v>-3.1477272727272729</v>
      </c>
      <c r="V140" s="7">
        <f t="shared" si="102"/>
        <v>-0.64772727272727271</v>
      </c>
      <c r="W140" s="7">
        <f t="shared" si="103"/>
        <v>-3.1477272727272729</v>
      </c>
      <c r="X140" s="1">
        <f t="shared" si="54"/>
        <v>0</v>
      </c>
      <c r="Y140" s="1">
        <f t="shared" si="55"/>
        <v>0</v>
      </c>
      <c r="Z140">
        <f t="shared" si="56"/>
        <v>0</v>
      </c>
      <c r="AA140">
        <f t="shared" si="57"/>
        <v>0</v>
      </c>
      <c r="AB140">
        <f t="shared" si="58"/>
        <v>0</v>
      </c>
      <c r="AC140">
        <f t="shared" si="59"/>
        <v>0</v>
      </c>
      <c r="AD140">
        <f t="shared" si="60"/>
        <v>0</v>
      </c>
      <c r="AE140">
        <f t="shared" si="61"/>
        <v>0</v>
      </c>
      <c r="AF140">
        <f t="shared" si="62"/>
        <v>0</v>
      </c>
      <c r="AG140">
        <f t="shared" si="63"/>
        <v>0</v>
      </c>
      <c r="AH140">
        <f t="shared" si="64"/>
        <v>0</v>
      </c>
      <c r="AI140" s="1">
        <f t="shared" si="65"/>
        <v>0</v>
      </c>
      <c r="AJ140" s="1">
        <f t="shared" si="66"/>
        <v>0</v>
      </c>
      <c r="AK140">
        <f t="shared" si="67"/>
        <v>0</v>
      </c>
      <c r="AL140">
        <f t="shared" si="68"/>
        <v>0</v>
      </c>
      <c r="AM140">
        <f t="shared" si="69"/>
        <v>0</v>
      </c>
      <c r="AN140">
        <f t="shared" si="70"/>
        <v>0</v>
      </c>
      <c r="AO140">
        <f t="shared" si="71"/>
        <v>0</v>
      </c>
      <c r="AP140">
        <f t="shared" si="72"/>
        <v>0</v>
      </c>
      <c r="AQ140">
        <f t="shared" si="73"/>
        <v>0</v>
      </c>
      <c r="AR140">
        <f t="shared" si="74"/>
        <v>0</v>
      </c>
      <c r="AS140">
        <f t="shared" si="75"/>
        <v>0</v>
      </c>
      <c r="AT140" s="1">
        <f t="shared" si="76"/>
        <v>0</v>
      </c>
      <c r="AU140" s="1">
        <f t="shared" si="77"/>
        <v>0</v>
      </c>
      <c r="AV140">
        <f t="shared" si="78"/>
        <v>0</v>
      </c>
      <c r="AW140">
        <f t="shared" si="79"/>
        <v>0</v>
      </c>
      <c r="AX140">
        <f t="shared" si="80"/>
        <v>0</v>
      </c>
      <c r="AY140">
        <f t="shared" si="81"/>
        <v>0</v>
      </c>
      <c r="AZ140">
        <f t="shared" si="82"/>
        <v>0</v>
      </c>
      <c r="BA140">
        <f t="shared" si="83"/>
        <v>0</v>
      </c>
      <c r="BB140">
        <f t="shared" si="84"/>
        <v>0</v>
      </c>
      <c r="BC140">
        <f t="shared" si="85"/>
        <v>0</v>
      </c>
      <c r="BD140">
        <f t="shared" si="86"/>
        <v>0</v>
      </c>
    </row>
    <row r="141" spans="1:56" x14ac:dyDescent="0.25">
      <c r="A141" s="1">
        <v>124</v>
      </c>
      <c r="B141" s="2">
        <v>0</v>
      </c>
      <c r="C141" s="2">
        <v>0</v>
      </c>
      <c r="D141" s="2">
        <v>0</v>
      </c>
      <c r="E141" s="2">
        <v>0</v>
      </c>
      <c r="F141" s="1">
        <f t="shared" si="87"/>
        <v>0</v>
      </c>
      <c r="G141" s="1">
        <f t="shared" si="88"/>
        <v>0</v>
      </c>
      <c r="H141" s="1">
        <f t="shared" si="89"/>
        <v>0</v>
      </c>
      <c r="I141" s="1">
        <f t="shared" si="90"/>
        <v>0</v>
      </c>
      <c r="J141" s="1">
        <f t="shared" si="91"/>
        <v>0</v>
      </c>
      <c r="K141" s="1">
        <f t="shared" si="92"/>
        <v>0</v>
      </c>
      <c r="L141" s="1">
        <f t="shared" si="93"/>
        <v>0</v>
      </c>
      <c r="M141" s="1">
        <f t="shared" si="94"/>
        <v>0</v>
      </c>
      <c r="N141" s="1">
        <f t="shared" si="95"/>
        <v>0</v>
      </c>
      <c r="O141" s="1">
        <f t="shared" si="96"/>
        <v>-0.64772727272727271</v>
      </c>
      <c r="P141" s="1">
        <f t="shared" si="97"/>
        <v>-3.1477272727272729</v>
      </c>
      <c r="Q141" s="1">
        <f t="shared" si="98"/>
        <v>0</v>
      </c>
      <c r="R141" s="1">
        <f t="shared" si="53"/>
        <v>0</v>
      </c>
      <c r="S141" s="1">
        <f t="shared" si="99"/>
        <v>0</v>
      </c>
      <c r="T141" s="7">
        <f t="shared" si="100"/>
        <v>-0.64772727272727271</v>
      </c>
      <c r="U141" s="7">
        <f t="shared" si="101"/>
        <v>-3.1477272727272729</v>
      </c>
      <c r="V141" s="7">
        <f t="shared" si="102"/>
        <v>-0.64772727272727271</v>
      </c>
      <c r="W141" s="7">
        <f t="shared" si="103"/>
        <v>-3.1477272727272729</v>
      </c>
      <c r="X141" s="1">
        <f t="shared" si="54"/>
        <v>0</v>
      </c>
      <c r="Y141" s="1">
        <f t="shared" si="55"/>
        <v>0</v>
      </c>
      <c r="Z141">
        <f t="shared" si="56"/>
        <v>0</v>
      </c>
      <c r="AA141">
        <f t="shared" si="57"/>
        <v>0</v>
      </c>
      <c r="AB141">
        <f t="shared" si="58"/>
        <v>0</v>
      </c>
      <c r="AC141">
        <f t="shared" si="59"/>
        <v>0</v>
      </c>
      <c r="AD141">
        <f t="shared" si="60"/>
        <v>0</v>
      </c>
      <c r="AE141">
        <f t="shared" si="61"/>
        <v>0</v>
      </c>
      <c r="AF141">
        <f t="shared" si="62"/>
        <v>0</v>
      </c>
      <c r="AG141">
        <f t="shared" si="63"/>
        <v>0</v>
      </c>
      <c r="AH141">
        <f t="shared" si="64"/>
        <v>0</v>
      </c>
      <c r="AI141" s="1">
        <f t="shared" si="65"/>
        <v>0</v>
      </c>
      <c r="AJ141" s="1">
        <f t="shared" si="66"/>
        <v>0</v>
      </c>
      <c r="AK141">
        <f t="shared" si="67"/>
        <v>0</v>
      </c>
      <c r="AL141">
        <f t="shared" si="68"/>
        <v>0</v>
      </c>
      <c r="AM141">
        <f t="shared" si="69"/>
        <v>0</v>
      </c>
      <c r="AN141">
        <f t="shared" si="70"/>
        <v>0</v>
      </c>
      <c r="AO141">
        <f t="shared" si="71"/>
        <v>0</v>
      </c>
      <c r="AP141">
        <f t="shared" si="72"/>
        <v>0</v>
      </c>
      <c r="AQ141">
        <f t="shared" si="73"/>
        <v>0</v>
      </c>
      <c r="AR141">
        <f t="shared" si="74"/>
        <v>0</v>
      </c>
      <c r="AS141">
        <f t="shared" si="75"/>
        <v>0</v>
      </c>
      <c r="AT141" s="1">
        <f t="shared" si="76"/>
        <v>0</v>
      </c>
      <c r="AU141" s="1">
        <f t="shared" si="77"/>
        <v>0</v>
      </c>
      <c r="AV141">
        <f t="shared" si="78"/>
        <v>0</v>
      </c>
      <c r="AW141">
        <f t="shared" si="79"/>
        <v>0</v>
      </c>
      <c r="AX141">
        <f t="shared" si="80"/>
        <v>0</v>
      </c>
      <c r="AY141">
        <f t="shared" si="81"/>
        <v>0</v>
      </c>
      <c r="AZ141">
        <f t="shared" si="82"/>
        <v>0</v>
      </c>
      <c r="BA141">
        <f t="shared" si="83"/>
        <v>0</v>
      </c>
      <c r="BB141">
        <f t="shared" si="84"/>
        <v>0</v>
      </c>
      <c r="BC141">
        <f t="shared" si="85"/>
        <v>0</v>
      </c>
      <c r="BD141">
        <f t="shared" si="86"/>
        <v>0</v>
      </c>
    </row>
    <row r="142" spans="1:56" x14ac:dyDescent="0.25">
      <c r="A142" s="1">
        <v>125</v>
      </c>
      <c r="B142" s="2">
        <v>0</v>
      </c>
      <c r="C142" s="2">
        <v>0</v>
      </c>
      <c r="D142" s="2">
        <v>0</v>
      </c>
      <c r="E142" s="2">
        <v>0</v>
      </c>
      <c r="F142" s="1">
        <f t="shared" si="87"/>
        <v>0</v>
      </c>
      <c r="G142" s="1">
        <f t="shared" si="88"/>
        <v>0</v>
      </c>
      <c r="H142" s="1">
        <f t="shared" si="89"/>
        <v>0</v>
      </c>
      <c r="I142" s="1">
        <f t="shared" si="90"/>
        <v>0</v>
      </c>
      <c r="J142" s="1">
        <f t="shared" si="91"/>
        <v>0</v>
      </c>
      <c r="K142" s="1">
        <f t="shared" si="92"/>
        <v>0</v>
      </c>
      <c r="L142" s="1">
        <f t="shared" si="93"/>
        <v>0</v>
      </c>
      <c r="M142" s="1">
        <f t="shared" si="94"/>
        <v>0</v>
      </c>
      <c r="N142" s="1">
        <f t="shared" si="95"/>
        <v>0</v>
      </c>
      <c r="O142" s="1">
        <f t="shared" si="96"/>
        <v>-0.64772727272727271</v>
      </c>
      <c r="P142" s="1">
        <f t="shared" si="97"/>
        <v>-3.1477272727272729</v>
      </c>
      <c r="Q142" s="1">
        <f t="shared" si="98"/>
        <v>0</v>
      </c>
      <c r="R142" s="1">
        <f t="shared" si="53"/>
        <v>0</v>
      </c>
      <c r="S142" s="1">
        <f t="shared" si="99"/>
        <v>0</v>
      </c>
      <c r="T142" s="7">
        <f t="shared" si="100"/>
        <v>-0.64772727272727271</v>
      </c>
      <c r="U142" s="7">
        <f t="shared" si="101"/>
        <v>-3.1477272727272729</v>
      </c>
      <c r="V142" s="7">
        <f t="shared" si="102"/>
        <v>-0.64772727272727271</v>
      </c>
      <c r="W142" s="7">
        <f t="shared" si="103"/>
        <v>-3.1477272727272729</v>
      </c>
      <c r="X142" s="1">
        <f t="shared" si="54"/>
        <v>0</v>
      </c>
      <c r="Y142" s="1">
        <f t="shared" si="55"/>
        <v>0</v>
      </c>
      <c r="Z142">
        <f t="shared" si="56"/>
        <v>0</v>
      </c>
      <c r="AA142">
        <f t="shared" si="57"/>
        <v>0</v>
      </c>
      <c r="AB142">
        <f t="shared" si="58"/>
        <v>0</v>
      </c>
      <c r="AC142">
        <f t="shared" si="59"/>
        <v>0</v>
      </c>
      <c r="AD142">
        <f t="shared" si="60"/>
        <v>0</v>
      </c>
      <c r="AE142">
        <f t="shared" si="61"/>
        <v>0</v>
      </c>
      <c r="AF142">
        <f t="shared" si="62"/>
        <v>0</v>
      </c>
      <c r="AG142">
        <f t="shared" si="63"/>
        <v>0</v>
      </c>
      <c r="AH142">
        <f t="shared" si="64"/>
        <v>0</v>
      </c>
      <c r="AI142" s="1">
        <f t="shared" si="65"/>
        <v>0</v>
      </c>
      <c r="AJ142" s="1">
        <f t="shared" si="66"/>
        <v>0</v>
      </c>
      <c r="AK142">
        <f t="shared" si="67"/>
        <v>0</v>
      </c>
      <c r="AL142">
        <f t="shared" si="68"/>
        <v>0</v>
      </c>
      <c r="AM142">
        <f t="shared" si="69"/>
        <v>0</v>
      </c>
      <c r="AN142">
        <f t="shared" si="70"/>
        <v>0</v>
      </c>
      <c r="AO142">
        <f t="shared" si="71"/>
        <v>0</v>
      </c>
      <c r="AP142">
        <f t="shared" si="72"/>
        <v>0</v>
      </c>
      <c r="AQ142">
        <f t="shared" si="73"/>
        <v>0</v>
      </c>
      <c r="AR142">
        <f t="shared" si="74"/>
        <v>0</v>
      </c>
      <c r="AS142">
        <f t="shared" si="75"/>
        <v>0</v>
      </c>
      <c r="AT142" s="1">
        <f t="shared" si="76"/>
        <v>0</v>
      </c>
      <c r="AU142" s="1">
        <f t="shared" si="77"/>
        <v>0</v>
      </c>
      <c r="AV142">
        <f t="shared" si="78"/>
        <v>0</v>
      </c>
      <c r="AW142">
        <f t="shared" si="79"/>
        <v>0</v>
      </c>
      <c r="AX142">
        <f t="shared" si="80"/>
        <v>0</v>
      </c>
      <c r="AY142">
        <f t="shared" si="81"/>
        <v>0</v>
      </c>
      <c r="AZ142">
        <f t="shared" si="82"/>
        <v>0</v>
      </c>
      <c r="BA142">
        <f t="shared" si="83"/>
        <v>0</v>
      </c>
      <c r="BB142">
        <f t="shared" si="84"/>
        <v>0</v>
      </c>
      <c r="BC142">
        <f t="shared" si="85"/>
        <v>0</v>
      </c>
      <c r="BD142">
        <f t="shared" si="86"/>
        <v>0</v>
      </c>
    </row>
    <row r="143" spans="1:56" x14ac:dyDescent="0.25">
      <c r="A143" s="1">
        <v>126</v>
      </c>
      <c r="B143" s="2">
        <v>0</v>
      </c>
      <c r="C143" s="2">
        <v>0</v>
      </c>
      <c r="D143" s="2">
        <v>0</v>
      </c>
      <c r="E143" s="2">
        <v>0</v>
      </c>
      <c r="F143" s="1">
        <f t="shared" si="87"/>
        <v>0</v>
      </c>
      <c r="G143" s="1">
        <f t="shared" si="88"/>
        <v>0</v>
      </c>
      <c r="H143" s="1">
        <f t="shared" si="89"/>
        <v>0</v>
      </c>
      <c r="I143" s="1">
        <f t="shared" si="90"/>
        <v>0</v>
      </c>
      <c r="J143" s="1">
        <f t="shared" si="91"/>
        <v>0</v>
      </c>
      <c r="K143" s="1">
        <f t="shared" si="92"/>
        <v>0</v>
      </c>
      <c r="L143" s="1">
        <f t="shared" si="93"/>
        <v>0</v>
      </c>
      <c r="M143" s="1">
        <f t="shared" si="94"/>
        <v>0</v>
      </c>
      <c r="N143" s="1">
        <f t="shared" si="95"/>
        <v>0</v>
      </c>
      <c r="O143" s="1">
        <f t="shared" si="96"/>
        <v>-0.64772727272727271</v>
      </c>
      <c r="P143" s="1">
        <f t="shared" si="97"/>
        <v>-3.1477272727272729</v>
      </c>
      <c r="Q143" s="1">
        <f t="shared" si="98"/>
        <v>0</v>
      </c>
      <c r="R143" s="1">
        <f t="shared" si="53"/>
        <v>0</v>
      </c>
      <c r="S143" s="1">
        <f t="shared" si="99"/>
        <v>0</v>
      </c>
      <c r="T143" s="7">
        <f t="shared" si="100"/>
        <v>-0.64772727272727271</v>
      </c>
      <c r="U143" s="7">
        <f t="shared" si="101"/>
        <v>-3.1477272727272729</v>
      </c>
      <c r="V143" s="7">
        <f t="shared" si="102"/>
        <v>-0.64772727272727271</v>
      </c>
      <c r="W143" s="7">
        <f t="shared" si="103"/>
        <v>-3.1477272727272729</v>
      </c>
      <c r="X143" s="1">
        <f t="shared" si="54"/>
        <v>0</v>
      </c>
      <c r="Y143" s="1">
        <f t="shared" si="55"/>
        <v>0</v>
      </c>
      <c r="Z143">
        <f t="shared" si="56"/>
        <v>0</v>
      </c>
      <c r="AA143">
        <f t="shared" si="57"/>
        <v>0</v>
      </c>
      <c r="AB143">
        <f t="shared" si="58"/>
        <v>0</v>
      </c>
      <c r="AC143">
        <f t="shared" si="59"/>
        <v>0</v>
      </c>
      <c r="AD143">
        <f t="shared" si="60"/>
        <v>0</v>
      </c>
      <c r="AE143">
        <f t="shared" si="61"/>
        <v>0</v>
      </c>
      <c r="AF143">
        <f t="shared" si="62"/>
        <v>0</v>
      </c>
      <c r="AG143">
        <f t="shared" si="63"/>
        <v>0</v>
      </c>
      <c r="AH143">
        <f t="shared" si="64"/>
        <v>0</v>
      </c>
      <c r="AI143" s="1">
        <f t="shared" si="65"/>
        <v>0</v>
      </c>
      <c r="AJ143" s="1">
        <f t="shared" si="66"/>
        <v>0</v>
      </c>
      <c r="AK143">
        <f t="shared" si="67"/>
        <v>0</v>
      </c>
      <c r="AL143">
        <f t="shared" si="68"/>
        <v>0</v>
      </c>
      <c r="AM143">
        <f t="shared" si="69"/>
        <v>0</v>
      </c>
      <c r="AN143">
        <f t="shared" si="70"/>
        <v>0</v>
      </c>
      <c r="AO143">
        <f t="shared" si="71"/>
        <v>0</v>
      </c>
      <c r="AP143">
        <f t="shared" si="72"/>
        <v>0</v>
      </c>
      <c r="AQ143">
        <f t="shared" si="73"/>
        <v>0</v>
      </c>
      <c r="AR143">
        <f t="shared" si="74"/>
        <v>0</v>
      </c>
      <c r="AS143">
        <f t="shared" si="75"/>
        <v>0</v>
      </c>
      <c r="AT143" s="1">
        <f t="shared" si="76"/>
        <v>0</v>
      </c>
      <c r="AU143" s="1">
        <f t="shared" si="77"/>
        <v>0</v>
      </c>
      <c r="AV143">
        <f t="shared" si="78"/>
        <v>0</v>
      </c>
      <c r="AW143">
        <f t="shared" si="79"/>
        <v>0</v>
      </c>
      <c r="AX143">
        <f t="shared" si="80"/>
        <v>0</v>
      </c>
      <c r="AY143">
        <f t="shared" si="81"/>
        <v>0</v>
      </c>
      <c r="AZ143">
        <f t="shared" si="82"/>
        <v>0</v>
      </c>
      <c r="BA143">
        <f t="shared" si="83"/>
        <v>0</v>
      </c>
      <c r="BB143">
        <f t="shared" si="84"/>
        <v>0</v>
      </c>
      <c r="BC143">
        <f t="shared" si="85"/>
        <v>0</v>
      </c>
      <c r="BD143">
        <f t="shared" si="86"/>
        <v>0</v>
      </c>
    </row>
    <row r="144" spans="1:56" x14ac:dyDescent="0.25">
      <c r="A144" s="1">
        <v>127</v>
      </c>
      <c r="B144" s="2">
        <v>0</v>
      </c>
      <c r="C144" s="2">
        <v>0</v>
      </c>
      <c r="D144" s="2">
        <v>0</v>
      </c>
      <c r="E144" s="2">
        <v>0</v>
      </c>
      <c r="F144" s="1">
        <f t="shared" si="87"/>
        <v>0</v>
      </c>
      <c r="G144" s="1">
        <f t="shared" si="88"/>
        <v>0</v>
      </c>
      <c r="H144" s="1">
        <f t="shared" si="89"/>
        <v>0</v>
      </c>
      <c r="I144" s="1">
        <f t="shared" si="90"/>
        <v>0</v>
      </c>
      <c r="J144" s="1">
        <f t="shared" si="91"/>
        <v>0</v>
      </c>
      <c r="K144" s="1">
        <f t="shared" si="92"/>
        <v>0</v>
      </c>
      <c r="L144" s="1">
        <f t="shared" si="93"/>
        <v>0</v>
      </c>
      <c r="M144" s="1">
        <f t="shared" si="94"/>
        <v>0</v>
      </c>
      <c r="N144" s="1">
        <f t="shared" si="95"/>
        <v>0</v>
      </c>
      <c r="O144" s="1">
        <f t="shared" si="96"/>
        <v>-0.64772727272727271</v>
      </c>
      <c r="P144" s="1">
        <f t="shared" si="97"/>
        <v>-3.1477272727272729</v>
      </c>
      <c r="Q144" s="1">
        <f t="shared" si="98"/>
        <v>0</v>
      </c>
      <c r="R144" s="1">
        <f t="shared" si="53"/>
        <v>0</v>
      </c>
      <c r="S144" s="1">
        <f t="shared" si="99"/>
        <v>0</v>
      </c>
      <c r="T144" s="7">
        <f t="shared" si="100"/>
        <v>-0.64772727272727271</v>
      </c>
      <c r="U144" s="7">
        <f t="shared" si="101"/>
        <v>-3.1477272727272729</v>
      </c>
      <c r="V144" s="7">
        <f t="shared" si="102"/>
        <v>-0.64772727272727271</v>
      </c>
      <c r="W144" s="7">
        <f t="shared" si="103"/>
        <v>-3.1477272727272729</v>
      </c>
      <c r="X144" s="1">
        <f t="shared" si="54"/>
        <v>0</v>
      </c>
      <c r="Y144" s="1">
        <f t="shared" si="55"/>
        <v>0</v>
      </c>
      <c r="Z144">
        <f t="shared" si="56"/>
        <v>0</v>
      </c>
      <c r="AA144">
        <f t="shared" si="57"/>
        <v>0</v>
      </c>
      <c r="AB144">
        <f t="shared" si="58"/>
        <v>0</v>
      </c>
      <c r="AC144">
        <f t="shared" si="59"/>
        <v>0</v>
      </c>
      <c r="AD144">
        <f t="shared" si="60"/>
        <v>0</v>
      </c>
      <c r="AE144">
        <f t="shared" si="61"/>
        <v>0</v>
      </c>
      <c r="AF144">
        <f t="shared" si="62"/>
        <v>0</v>
      </c>
      <c r="AG144">
        <f t="shared" si="63"/>
        <v>0</v>
      </c>
      <c r="AH144">
        <f t="shared" si="64"/>
        <v>0</v>
      </c>
      <c r="AI144" s="1">
        <f t="shared" si="65"/>
        <v>0</v>
      </c>
      <c r="AJ144" s="1">
        <f t="shared" si="66"/>
        <v>0</v>
      </c>
      <c r="AK144">
        <f t="shared" si="67"/>
        <v>0</v>
      </c>
      <c r="AL144">
        <f t="shared" si="68"/>
        <v>0</v>
      </c>
      <c r="AM144">
        <f t="shared" si="69"/>
        <v>0</v>
      </c>
      <c r="AN144">
        <f t="shared" si="70"/>
        <v>0</v>
      </c>
      <c r="AO144">
        <f t="shared" si="71"/>
        <v>0</v>
      </c>
      <c r="AP144">
        <f t="shared" si="72"/>
        <v>0</v>
      </c>
      <c r="AQ144">
        <f t="shared" si="73"/>
        <v>0</v>
      </c>
      <c r="AR144">
        <f t="shared" si="74"/>
        <v>0</v>
      </c>
      <c r="AS144">
        <f t="shared" si="75"/>
        <v>0</v>
      </c>
      <c r="AT144" s="1">
        <f t="shared" si="76"/>
        <v>0</v>
      </c>
      <c r="AU144" s="1">
        <f t="shared" si="77"/>
        <v>0</v>
      </c>
      <c r="AV144">
        <f t="shared" si="78"/>
        <v>0</v>
      </c>
      <c r="AW144">
        <f t="shared" si="79"/>
        <v>0</v>
      </c>
      <c r="AX144">
        <f t="shared" si="80"/>
        <v>0</v>
      </c>
      <c r="AY144">
        <f t="shared" si="81"/>
        <v>0</v>
      </c>
      <c r="AZ144">
        <f t="shared" si="82"/>
        <v>0</v>
      </c>
      <c r="BA144">
        <f t="shared" si="83"/>
        <v>0</v>
      </c>
      <c r="BB144">
        <f t="shared" si="84"/>
        <v>0</v>
      </c>
      <c r="BC144">
        <f t="shared" si="85"/>
        <v>0</v>
      </c>
      <c r="BD144">
        <f t="shared" si="86"/>
        <v>0</v>
      </c>
    </row>
    <row r="145" spans="1:56" x14ac:dyDescent="0.25">
      <c r="A145" s="1">
        <v>128</v>
      </c>
      <c r="B145" s="2">
        <v>0</v>
      </c>
      <c r="C145" s="2">
        <v>0</v>
      </c>
      <c r="D145" s="2">
        <v>0</v>
      </c>
      <c r="E145" s="2">
        <v>0</v>
      </c>
      <c r="F145" s="1">
        <f t="shared" si="87"/>
        <v>0</v>
      </c>
      <c r="G145" s="1">
        <f t="shared" si="88"/>
        <v>0</v>
      </c>
      <c r="H145" s="1">
        <f t="shared" si="89"/>
        <v>0</v>
      </c>
      <c r="I145" s="1">
        <f t="shared" si="90"/>
        <v>0</v>
      </c>
      <c r="J145" s="1">
        <f t="shared" si="91"/>
        <v>0</v>
      </c>
      <c r="K145" s="1">
        <f t="shared" si="92"/>
        <v>0</v>
      </c>
      <c r="L145" s="1">
        <f t="shared" si="93"/>
        <v>0</v>
      </c>
      <c r="M145" s="1">
        <f t="shared" si="94"/>
        <v>0</v>
      </c>
      <c r="N145" s="1">
        <f t="shared" si="95"/>
        <v>0</v>
      </c>
      <c r="O145" s="1">
        <f t="shared" si="96"/>
        <v>-0.64772727272727271</v>
      </c>
      <c r="P145" s="1">
        <f t="shared" si="97"/>
        <v>-3.1477272727272729</v>
      </c>
      <c r="Q145" s="1">
        <f t="shared" si="98"/>
        <v>0</v>
      </c>
      <c r="R145" s="1">
        <f t="shared" si="53"/>
        <v>0</v>
      </c>
      <c r="S145" s="1">
        <f t="shared" si="99"/>
        <v>0</v>
      </c>
      <c r="T145" s="7">
        <f t="shared" si="100"/>
        <v>-0.64772727272727271</v>
      </c>
      <c r="U145" s="7">
        <f t="shared" si="101"/>
        <v>-3.1477272727272729</v>
      </c>
      <c r="V145" s="7">
        <f t="shared" si="102"/>
        <v>-0.64772727272727271</v>
      </c>
      <c r="W145" s="7">
        <f t="shared" si="103"/>
        <v>-3.1477272727272729</v>
      </c>
      <c r="X145" s="1">
        <f t="shared" si="54"/>
        <v>0</v>
      </c>
      <c r="Y145" s="1">
        <f t="shared" si="55"/>
        <v>0</v>
      </c>
      <c r="Z145">
        <f t="shared" si="56"/>
        <v>0</v>
      </c>
      <c r="AA145">
        <f t="shared" si="57"/>
        <v>0</v>
      </c>
      <c r="AB145">
        <f t="shared" si="58"/>
        <v>0</v>
      </c>
      <c r="AC145">
        <f t="shared" si="59"/>
        <v>0</v>
      </c>
      <c r="AD145">
        <f t="shared" si="60"/>
        <v>0</v>
      </c>
      <c r="AE145">
        <f t="shared" si="61"/>
        <v>0</v>
      </c>
      <c r="AF145">
        <f t="shared" si="62"/>
        <v>0</v>
      </c>
      <c r="AG145">
        <f t="shared" si="63"/>
        <v>0</v>
      </c>
      <c r="AH145">
        <f t="shared" si="64"/>
        <v>0</v>
      </c>
      <c r="AI145" s="1">
        <f t="shared" si="65"/>
        <v>0</v>
      </c>
      <c r="AJ145" s="1">
        <f t="shared" si="66"/>
        <v>0</v>
      </c>
      <c r="AK145">
        <f t="shared" si="67"/>
        <v>0</v>
      </c>
      <c r="AL145">
        <f t="shared" si="68"/>
        <v>0</v>
      </c>
      <c r="AM145">
        <f t="shared" si="69"/>
        <v>0</v>
      </c>
      <c r="AN145">
        <f t="shared" si="70"/>
        <v>0</v>
      </c>
      <c r="AO145">
        <f t="shared" si="71"/>
        <v>0</v>
      </c>
      <c r="AP145">
        <f t="shared" si="72"/>
        <v>0</v>
      </c>
      <c r="AQ145">
        <f t="shared" si="73"/>
        <v>0</v>
      </c>
      <c r="AR145">
        <f t="shared" si="74"/>
        <v>0</v>
      </c>
      <c r="AS145">
        <f t="shared" si="75"/>
        <v>0</v>
      </c>
      <c r="AT145" s="1">
        <f t="shared" si="76"/>
        <v>0</v>
      </c>
      <c r="AU145" s="1">
        <f t="shared" si="77"/>
        <v>0</v>
      </c>
      <c r="AV145">
        <f t="shared" si="78"/>
        <v>0</v>
      </c>
      <c r="AW145">
        <f t="shared" si="79"/>
        <v>0</v>
      </c>
      <c r="AX145">
        <f t="shared" si="80"/>
        <v>0</v>
      </c>
      <c r="AY145">
        <f t="shared" si="81"/>
        <v>0</v>
      </c>
      <c r="AZ145">
        <f t="shared" si="82"/>
        <v>0</v>
      </c>
      <c r="BA145">
        <f t="shared" si="83"/>
        <v>0</v>
      </c>
      <c r="BB145">
        <f t="shared" si="84"/>
        <v>0</v>
      </c>
      <c r="BC145">
        <f t="shared" si="85"/>
        <v>0</v>
      </c>
      <c r="BD145">
        <f t="shared" si="86"/>
        <v>0</v>
      </c>
    </row>
    <row r="146" spans="1:56" x14ac:dyDescent="0.25">
      <c r="A146" s="1">
        <v>129</v>
      </c>
      <c r="B146" s="2">
        <v>0</v>
      </c>
      <c r="C146" s="2">
        <v>0</v>
      </c>
      <c r="D146" s="2">
        <v>0</v>
      </c>
      <c r="E146" s="2">
        <v>0</v>
      </c>
      <c r="F146" s="1">
        <f t="shared" si="87"/>
        <v>0</v>
      </c>
      <c r="G146" s="1">
        <f t="shared" si="88"/>
        <v>0</v>
      </c>
      <c r="H146" s="1">
        <f t="shared" si="89"/>
        <v>0</v>
      </c>
      <c r="I146" s="1">
        <f t="shared" si="90"/>
        <v>0</v>
      </c>
      <c r="J146" s="1">
        <f t="shared" si="91"/>
        <v>0</v>
      </c>
      <c r="K146" s="1">
        <f t="shared" si="92"/>
        <v>0</v>
      </c>
      <c r="L146" s="1">
        <f t="shared" si="93"/>
        <v>0</v>
      </c>
      <c r="M146" s="1">
        <f t="shared" si="94"/>
        <v>0</v>
      </c>
      <c r="N146" s="1">
        <f t="shared" si="95"/>
        <v>0</v>
      </c>
      <c r="O146" s="1">
        <f t="shared" si="96"/>
        <v>-0.64772727272727271</v>
      </c>
      <c r="P146" s="1">
        <f t="shared" si="97"/>
        <v>-3.1477272727272729</v>
      </c>
      <c r="Q146" s="1">
        <f t="shared" si="98"/>
        <v>0</v>
      </c>
      <c r="R146" s="1">
        <f t="shared" si="53"/>
        <v>0</v>
      </c>
      <c r="S146" s="1">
        <f t="shared" si="99"/>
        <v>0</v>
      </c>
      <c r="T146" s="7">
        <f t="shared" si="100"/>
        <v>-0.64772727272727271</v>
      </c>
      <c r="U146" s="7">
        <f t="shared" si="101"/>
        <v>-3.1477272727272729</v>
      </c>
      <c r="V146" s="7">
        <f t="shared" si="102"/>
        <v>-0.64772727272727271</v>
      </c>
      <c r="W146" s="7">
        <f t="shared" si="103"/>
        <v>-3.1477272727272729</v>
      </c>
      <c r="X146" s="1">
        <f t="shared" si="54"/>
        <v>0</v>
      </c>
      <c r="Y146" s="1">
        <f t="shared" si="55"/>
        <v>0</v>
      </c>
      <c r="Z146">
        <f t="shared" si="56"/>
        <v>0</v>
      </c>
      <c r="AA146">
        <f t="shared" si="57"/>
        <v>0</v>
      </c>
      <c r="AB146">
        <f t="shared" si="58"/>
        <v>0</v>
      </c>
      <c r="AC146">
        <f t="shared" si="59"/>
        <v>0</v>
      </c>
      <c r="AD146">
        <f t="shared" si="60"/>
        <v>0</v>
      </c>
      <c r="AE146">
        <f t="shared" si="61"/>
        <v>0</v>
      </c>
      <c r="AF146">
        <f t="shared" si="62"/>
        <v>0</v>
      </c>
      <c r="AG146">
        <f t="shared" si="63"/>
        <v>0</v>
      </c>
      <c r="AH146">
        <f t="shared" si="64"/>
        <v>0</v>
      </c>
      <c r="AI146" s="1">
        <f t="shared" si="65"/>
        <v>0</v>
      </c>
      <c r="AJ146" s="1">
        <f t="shared" si="66"/>
        <v>0</v>
      </c>
      <c r="AK146">
        <f t="shared" si="67"/>
        <v>0</v>
      </c>
      <c r="AL146">
        <f t="shared" si="68"/>
        <v>0</v>
      </c>
      <c r="AM146">
        <f t="shared" si="69"/>
        <v>0</v>
      </c>
      <c r="AN146">
        <f t="shared" si="70"/>
        <v>0</v>
      </c>
      <c r="AO146">
        <f t="shared" si="71"/>
        <v>0</v>
      </c>
      <c r="AP146">
        <f t="shared" si="72"/>
        <v>0</v>
      </c>
      <c r="AQ146">
        <f t="shared" si="73"/>
        <v>0</v>
      </c>
      <c r="AR146">
        <f t="shared" si="74"/>
        <v>0</v>
      </c>
      <c r="AS146">
        <f t="shared" si="75"/>
        <v>0</v>
      </c>
      <c r="AT146" s="1">
        <f t="shared" si="76"/>
        <v>0</v>
      </c>
      <c r="AU146" s="1">
        <f t="shared" si="77"/>
        <v>0</v>
      </c>
      <c r="AV146">
        <f t="shared" si="78"/>
        <v>0</v>
      </c>
      <c r="AW146">
        <f t="shared" si="79"/>
        <v>0</v>
      </c>
      <c r="AX146">
        <f t="shared" si="80"/>
        <v>0</v>
      </c>
      <c r="AY146">
        <f t="shared" si="81"/>
        <v>0</v>
      </c>
      <c r="AZ146">
        <f t="shared" si="82"/>
        <v>0</v>
      </c>
      <c r="BA146">
        <f t="shared" si="83"/>
        <v>0</v>
      </c>
      <c r="BB146">
        <f t="shared" si="84"/>
        <v>0</v>
      </c>
      <c r="BC146">
        <f t="shared" si="85"/>
        <v>0</v>
      </c>
      <c r="BD146">
        <f t="shared" si="86"/>
        <v>0</v>
      </c>
    </row>
    <row r="147" spans="1:56" x14ac:dyDescent="0.25">
      <c r="A147" s="1">
        <v>130</v>
      </c>
      <c r="B147" s="2">
        <v>0</v>
      </c>
      <c r="C147" s="2">
        <v>0</v>
      </c>
      <c r="D147" s="2">
        <v>0</v>
      </c>
      <c r="E147" s="2">
        <v>0</v>
      </c>
      <c r="F147" s="1">
        <f t="shared" si="87"/>
        <v>0</v>
      </c>
      <c r="G147" s="1">
        <f t="shared" si="88"/>
        <v>0</v>
      </c>
      <c r="H147" s="1">
        <f t="shared" si="89"/>
        <v>0</v>
      </c>
      <c r="I147" s="1">
        <f t="shared" si="90"/>
        <v>0</v>
      </c>
      <c r="J147" s="1">
        <f t="shared" si="91"/>
        <v>0</v>
      </c>
      <c r="K147" s="1">
        <f t="shared" si="92"/>
        <v>0</v>
      </c>
      <c r="L147" s="1">
        <f t="shared" si="93"/>
        <v>0</v>
      </c>
      <c r="M147" s="1">
        <f t="shared" si="94"/>
        <v>0</v>
      </c>
      <c r="N147" s="1">
        <f t="shared" si="95"/>
        <v>0</v>
      </c>
      <c r="O147" s="1">
        <f t="shared" si="96"/>
        <v>-0.64772727272727271</v>
      </c>
      <c r="P147" s="1">
        <f t="shared" si="97"/>
        <v>-3.1477272727272729</v>
      </c>
      <c r="Q147" s="1">
        <f t="shared" si="98"/>
        <v>0</v>
      </c>
      <c r="R147" s="1">
        <f t="shared" ref="R147:R198" si="104">L147+(J147*O147*O147)</f>
        <v>0</v>
      </c>
      <c r="S147" s="1">
        <f t="shared" si="99"/>
        <v>0</v>
      </c>
      <c r="T147" s="7">
        <f t="shared" si="100"/>
        <v>-0.64772727272727271</v>
      </c>
      <c r="U147" s="7">
        <f t="shared" si="101"/>
        <v>-3.1477272727272729</v>
      </c>
      <c r="V147" s="7">
        <f t="shared" si="102"/>
        <v>-0.64772727272727271</v>
      </c>
      <c r="W147" s="7">
        <f t="shared" si="103"/>
        <v>-3.1477272727272729</v>
      </c>
      <c r="X147" s="1">
        <f t="shared" ref="X147:X198" si="105">IF(J147=0,0,(U147*$H$8*$K$8)/$K$11)</f>
        <v>0</v>
      </c>
      <c r="Y147" s="1">
        <f t="shared" ref="Y147:Y198" si="106">IF(J147=0,0,(U147*$H$9*$K$9)/$K$11)</f>
        <v>0</v>
      </c>
      <c r="Z147">
        <f t="shared" ref="Z147:Z198" si="107">IF(J147=0,0,(-1*T147*$H$8*$K$9)/$K$11)</f>
        <v>0</v>
      </c>
      <c r="AA147">
        <f t="shared" ref="AA147:AA198" si="108">IF(J147=0,0,(-1*T147*$H$9*$K$7)/$K$11)</f>
        <v>0</v>
      </c>
      <c r="AB147">
        <f t="shared" ref="AB147:AB198" si="109">X147+Y147+Z147+AA147</f>
        <v>0</v>
      </c>
      <c r="AC147">
        <f t="shared" ref="AC147:AC198" si="110">AB147+$N$6</f>
        <v>0</v>
      </c>
      <c r="AD147">
        <f t="shared" ref="AD147:AD198" si="111">IF(J147=0,0,(-1*U147*$H$10)/$K$10)</f>
        <v>0</v>
      </c>
      <c r="AE147">
        <f t="shared" ref="AE147:AE198" si="112">AD147+$N$4</f>
        <v>0</v>
      </c>
      <c r="AF147">
        <f t="shared" ref="AF147:AF198" si="113">IF(J147=0,0,(T147*$H$10)/$K$10)</f>
        <v>0</v>
      </c>
      <c r="AG147">
        <f t="shared" ref="AG147:AG198" si="114">AF147+$N$5</f>
        <v>0</v>
      </c>
      <c r="AH147">
        <f t="shared" ref="AH147:AH198" si="115">SQRT((AC147*AC147)+(AE147*AE147)+(AG147*AG147))</f>
        <v>0</v>
      </c>
      <c r="AI147" s="1">
        <f t="shared" ref="AI147:AI198" si="116">IF(J147=0,0,(W147*$H$8*$K$8)/$K$11)</f>
        <v>0</v>
      </c>
      <c r="AJ147" s="1">
        <f t="shared" ref="AJ147:AJ198" si="117">IF(J147=0,0,(W147*$H$9*$K$9)/$K$11)</f>
        <v>0</v>
      </c>
      <c r="AK147">
        <f t="shared" ref="AK147:AK198" si="118">IF(J147=0,0,(-1*V147*$H$8*$K$9)/$K$11)</f>
        <v>0</v>
      </c>
      <c r="AL147">
        <f t="shared" ref="AL147:AL198" si="119">IF(J147=0,0,(-1*V147*$H$9*$K$7)/$K$11)</f>
        <v>0</v>
      </c>
      <c r="AM147">
        <f t="shared" ref="AM147:AM198" si="120">AI147+AJ147+AK147+AL147</f>
        <v>0</v>
      </c>
      <c r="AN147">
        <f t="shared" ref="AN147:AN198" si="121">AM147+$N$6</f>
        <v>0</v>
      </c>
      <c r="AO147">
        <f t="shared" ref="AO147:AO198" si="122">IF(J147=0,0,(-1*W147*$H$10)/$K$10)</f>
        <v>0</v>
      </c>
      <c r="AP147">
        <f t="shared" ref="AP147:AP198" si="123">AO147+$N$4</f>
        <v>0</v>
      </c>
      <c r="AQ147">
        <f t="shared" ref="AQ147:AQ198" si="124">IF(J147=0,0,(V147*$H$10)/$K$10)</f>
        <v>0</v>
      </c>
      <c r="AR147">
        <f t="shared" ref="AR147:AR198" si="125">AQ147+$N$5</f>
        <v>0</v>
      </c>
      <c r="AS147">
        <f t="shared" ref="AS147:AS198" si="126">SQRT((AN147*AN147)+(AP147*AP147)+(AR147*AR147))</f>
        <v>0</v>
      </c>
      <c r="AT147" s="1">
        <f t="shared" ref="AT147:AT198" si="127">IF(J147=0,0,(P147*$H$8*$K$8)/$K$11)</f>
        <v>0</v>
      </c>
      <c r="AU147" s="1">
        <f t="shared" ref="AU147:AU198" si="128">IF(J147=0,0,(P147*$H$9*$K$9)/$K$11)</f>
        <v>0</v>
      </c>
      <c r="AV147">
        <f t="shared" ref="AV147:AV198" si="129">IF(J147=0,0,(-1*O147*$H$8*$K$9)/$K$11)</f>
        <v>0</v>
      </c>
      <c r="AW147">
        <f t="shared" ref="AW147:AW198" si="130">IF(J147=0,0,(-1*O147*$H$9*$K$7)/$K$11)</f>
        <v>0</v>
      </c>
      <c r="AX147">
        <f t="shared" ref="AX147:AX198" si="131">AT147+AU147+AV147+AW147</f>
        <v>0</v>
      </c>
      <c r="AY147">
        <f t="shared" ref="AY147:AY198" si="132">AX147+$N$6</f>
        <v>0</v>
      </c>
      <c r="AZ147">
        <f t="shared" ref="AZ147:AZ198" si="133">IF(J147=0,0,(-1*P147*$H$10)/$K$10)</f>
        <v>0</v>
      </c>
      <c r="BA147">
        <f t="shared" ref="BA147:BA198" si="134">AZ147+$N$4</f>
        <v>0</v>
      </c>
      <c r="BB147">
        <f t="shared" ref="BB147:BB198" si="135">IF(J147=0,0,(O147*$H$10)/$K$10)</f>
        <v>0</v>
      </c>
      <c r="BC147">
        <f t="shared" ref="BC147:BC198" si="136">BB147+$N$5</f>
        <v>0</v>
      </c>
      <c r="BD147">
        <f t="shared" ref="BD147:BD198" si="137">SQRT((AY147*AY147)+(BA147*BA147)+(BC147*BC147))</f>
        <v>0</v>
      </c>
    </row>
    <row r="148" spans="1:56" x14ac:dyDescent="0.25">
      <c r="A148" s="1">
        <v>131</v>
      </c>
      <c r="B148" s="2">
        <v>0</v>
      </c>
      <c r="C148" s="2">
        <v>0</v>
      </c>
      <c r="D148" s="2">
        <v>0</v>
      </c>
      <c r="E148" s="2">
        <v>0</v>
      </c>
      <c r="F148" s="1">
        <f t="shared" ref="F148:F198" si="138">(B148+D148)/2</f>
        <v>0</v>
      </c>
      <c r="G148" s="1">
        <f t="shared" ref="G148:G198" si="139">(C148+E148)/2</f>
        <v>0</v>
      </c>
      <c r="H148" s="1">
        <f t="shared" ref="H148:H198" si="140">D148-B148</f>
        <v>0</v>
      </c>
      <c r="I148" s="1">
        <f t="shared" ref="I148:I198" si="141">E148-C148</f>
        <v>0</v>
      </c>
      <c r="J148" s="1">
        <f t="shared" ref="J148:J198" si="142">SQRT((H148*H148)+(I148*I148))</f>
        <v>0</v>
      </c>
      <c r="K148" s="1">
        <f t="shared" ref="K148:K198" si="143">(J148*I148*I148)/12</f>
        <v>0</v>
      </c>
      <c r="L148" s="1">
        <f t="shared" ref="L148:L198" si="144">(J148*H148*H148)/12</f>
        <v>0</v>
      </c>
      <c r="M148" s="1">
        <f t="shared" ref="M148:M198" si="145">J148*F148</f>
        <v>0</v>
      </c>
      <c r="N148" s="1">
        <f t="shared" ref="N148:N198" si="146">J148*G148</f>
        <v>0</v>
      </c>
      <c r="O148" s="1">
        <f t="shared" ref="O148:O198" si="147">F148-$K$5</f>
        <v>-0.64772727272727271</v>
      </c>
      <c r="P148" s="1">
        <f t="shared" ref="P148:P198" si="148">G148-$K$6</f>
        <v>-3.1477272727272729</v>
      </c>
      <c r="Q148" s="1">
        <f t="shared" ref="Q148:Q198" si="149">K148+(J148*P148*P148)</f>
        <v>0</v>
      </c>
      <c r="R148" s="1">
        <f t="shared" si="104"/>
        <v>0</v>
      </c>
      <c r="S148" s="1">
        <f t="shared" ref="S148:S198" si="150">J148*O148*P148</f>
        <v>0</v>
      </c>
      <c r="T148" s="7">
        <f t="shared" ref="T148:T198" si="151">B148-$K$5</f>
        <v>-0.64772727272727271</v>
      </c>
      <c r="U148" s="7">
        <f t="shared" ref="U148:U198" si="152">C148-$K$6</f>
        <v>-3.1477272727272729</v>
      </c>
      <c r="V148" s="7">
        <f t="shared" ref="V148:V198" si="153">D148-$K$5</f>
        <v>-0.64772727272727271</v>
      </c>
      <c r="W148" s="7">
        <f t="shared" ref="W148:W198" si="154">E148-$K$6</f>
        <v>-3.1477272727272729</v>
      </c>
      <c r="X148" s="1">
        <f t="shared" si="105"/>
        <v>0</v>
      </c>
      <c r="Y148" s="1">
        <f t="shared" si="106"/>
        <v>0</v>
      </c>
      <c r="Z148">
        <f t="shared" si="107"/>
        <v>0</v>
      </c>
      <c r="AA148">
        <f t="shared" si="108"/>
        <v>0</v>
      </c>
      <c r="AB148">
        <f t="shared" si="109"/>
        <v>0</v>
      </c>
      <c r="AC148">
        <f t="shared" si="110"/>
        <v>0</v>
      </c>
      <c r="AD148">
        <f t="shared" si="111"/>
        <v>0</v>
      </c>
      <c r="AE148">
        <f t="shared" si="112"/>
        <v>0</v>
      </c>
      <c r="AF148">
        <f t="shared" si="113"/>
        <v>0</v>
      </c>
      <c r="AG148">
        <f t="shared" si="114"/>
        <v>0</v>
      </c>
      <c r="AH148">
        <f t="shared" si="115"/>
        <v>0</v>
      </c>
      <c r="AI148" s="1">
        <f t="shared" si="116"/>
        <v>0</v>
      </c>
      <c r="AJ148" s="1">
        <f t="shared" si="117"/>
        <v>0</v>
      </c>
      <c r="AK148">
        <f t="shared" si="118"/>
        <v>0</v>
      </c>
      <c r="AL148">
        <f t="shared" si="119"/>
        <v>0</v>
      </c>
      <c r="AM148">
        <f t="shared" si="120"/>
        <v>0</v>
      </c>
      <c r="AN148">
        <f t="shared" si="121"/>
        <v>0</v>
      </c>
      <c r="AO148">
        <f t="shared" si="122"/>
        <v>0</v>
      </c>
      <c r="AP148">
        <f t="shared" si="123"/>
        <v>0</v>
      </c>
      <c r="AQ148">
        <f t="shared" si="124"/>
        <v>0</v>
      </c>
      <c r="AR148">
        <f t="shared" si="125"/>
        <v>0</v>
      </c>
      <c r="AS148">
        <f t="shared" si="126"/>
        <v>0</v>
      </c>
      <c r="AT148" s="1">
        <f t="shared" si="127"/>
        <v>0</v>
      </c>
      <c r="AU148" s="1">
        <f t="shared" si="128"/>
        <v>0</v>
      </c>
      <c r="AV148">
        <f t="shared" si="129"/>
        <v>0</v>
      </c>
      <c r="AW148">
        <f t="shared" si="130"/>
        <v>0</v>
      </c>
      <c r="AX148">
        <f t="shared" si="131"/>
        <v>0</v>
      </c>
      <c r="AY148">
        <f t="shared" si="132"/>
        <v>0</v>
      </c>
      <c r="AZ148">
        <f t="shared" si="133"/>
        <v>0</v>
      </c>
      <c r="BA148">
        <f t="shared" si="134"/>
        <v>0</v>
      </c>
      <c r="BB148">
        <f t="shared" si="135"/>
        <v>0</v>
      </c>
      <c r="BC148">
        <f t="shared" si="136"/>
        <v>0</v>
      </c>
      <c r="BD148">
        <f t="shared" si="137"/>
        <v>0</v>
      </c>
    </row>
    <row r="149" spans="1:56" x14ac:dyDescent="0.25">
      <c r="A149" s="1">
        <v>132</v>
      </c>
      <c r="B149" s="2">
        <v>0</v>
      </c>
      <c r="C149" s="2">
        <v>0</v>
      </c>
      <c r="D149" s="2">
        <v>0</v>
      </c>
      <c r="E149" s="2">
        <v>0</v>
      </c>
      <c r="F149" s="1">
        <f t="shared" si="138"/>
        <v>0</v>
      </c>
      <c r="G149" s="1">
        <f t="shared" si="139"/>
        <v>0</v>
      </c>
      <c r="H149" s="1">
        <f t="shared" si="140"/>
        <v>0</v>
      </c>
      <c r="I149" s="1">
        <f t="shared" si="141"/>
        <v>0</v>
      </c>
      <c r="J149" s="1">
        <f t="shared" si="142"/>
        <v>0</v>
      </c>
      <c r="K149" s="1">
        <f t="shared" si="143"/>
        <v>0</v>
      </c>
      <c r="L149" s="1">
        <f t="shared" si="144"/>
        <v>0</v>
      </c>
      <c r="M149" s="1">
        <f t="shared" si="145"/>
        <v>0</v>
      </c>
      <c r="N149" s="1">
        <f t="shared" si="146"/>
        <v>0</v>
      </c>
      <c r="O149" s="1">
        <f t="shared" si="147"/>
        <v>-0.64772727272727271</v>
      </c>
      <c r="P149" s="1">
        <f t="shared" si="148"/>
        <v>-3.1477272727272729</v>
      </c>
      <c r="Q149" s="1">
        <f t="shared" si="149"/>
        <v>0</v>
      </c>
      <c r="R149" s="1">
        <f t="shared" si="104"/>
        <v>0</v>
      </c>
      <c r="S149" s="1">
        <f t="shared" si="150"/>
        <v>0</v>
      </c>
      <c r="T149" s="7">
        <f t="shared" si="151"/>
        <v>-0.64772727272727271</v>
      </c>
      <c r="U149" s="7">
        <f t="shared" si="152"/>
        <v>-3.1477272727272729</v>
      </c>
      <c r="V149" s="7">
        <f t="shared" si="153"/>
        <v>-0.64772727272727271</v>
      </c>
      <c r="W149" s="7">
        <f t="shared" si="154"/>
        <v>-3.1477272727272729</v>
      </c>
      <c r="X149" s="1">
        <f t="shared" si="105"/>
        <v>0</v>
      </c>
      <c r="Y149" s="1">
        <f t="shared" si="106"/>
        <v>0</v>
      </c>
      <c r="Z149">
        <f t="shared" si="107"/>
        <v>0</v>
      </c>
      <c r="AA149">
        <f t="shared" si="108"/>
        <v>0</v>
      </c>
      <c r="AB149">
        <f t="shared" si="109"/>
        <v>0</v>
      </c>
      <c r="AC149">
        <f t="shared" si="110"/>
        <v>0</v>
      </c>
      <c r="AD149">
        <f t="shared" si="111"/>
        <v>0</v>
      </c>
      <c r="AE149">
        <f t="shared" si="112"/>
        <v>0</v>
      </c>
      <c r="AF149">
        <f t="shared" si="113"/>
        <v>0</v>
      </c>
      <c r="AG149">
        <f t="shared" si="114"/>
        <v>0</v>
      </c>
      <c r="AH149">
        <f t="shared" si="115"/>
        <v>0</v>
      </c>
      <c r="AI149" s="1">
        <f t="shared" si="116"/>
        <v>0</v>
      </c>
      <c r="AJ149" s="1">
        <f t="shared" si="117"/>
        <v>0</v>
      </c>
      <c r="AK149">
        <f t="shared" si="118"/>
        <v>0</v>
      </c>
      <c r="AL149">
        <f t="shared" si="119"/>
        <v>0</v>
      </c>
      <c r="AM149">
        <f t="shared" si="120"/>
        <v>0</v>
      </c>
      <c r="AN149">
        <f t="shared" si="121"/>
        <v>0</v>
      </c>
      <c r="AO149">
        <f t="shared" si="122"/>
        <v>0</v>
      </c>
      <c r="AP149">
        <f t="shared" si="123"/>
        <v>0</v>
      </c>
      <c r="AQ149">
        <f t="shared" si="124"/>
        <v>0</v>
      </c>
      <c r="AR149">
        <f t="shared" si="125"/>
        <v>0</v>
      </c>
      <c r="AS149">
        <f t="shared" si="126"/>
        <v>0</v>
      </c>
      <c r="AT149" s="1">
        <f t="shared" si="127"/>
        <v>0</v>
      </c>
      <c r="AU149" s="1">
        <f t="shared" si="128"/>
        <v>0</v>
      </c>
      <c r="AV149">
        <f t="shared" si="129"/>
        <v>0</v>
      </c>
      <c r="AW149">
        <f t="shared" si="130"/>
        <v>0</v>
      </c>
      <c r="AX149">
        <f t="shared" si="131"/>
        <v>0</v>
      </c>
      <c r="AY149">
        <f t="shared" si="132"/>
        <v>0</v>
      </c>
      <c r="AZ149">
        <f t="shared" si="133"/>
        <v>0</v>
      </c>
      <c r="BA149">
        <f t="shared" si="134"/>
        <v>0</v>
      </c>
      <c r="BB149">
        <f t="shared" si="135"/>
        <v>0</v>
      </c>
      <c r="BC149">
        <f t="shared" si="136"/>
        <v>0</v>
      </c>
      <c r="BD149">
        <f t="shared" si="137"/>
        <v>0</v>
      </c>
    </row>
    <row r="150" spans="1:56" x14ac:dyDescent="0.25">
      <c r="A150" s="1">
        <v>133</v>
      </c>
      <c r="B150" s="2">
        <v>0</v>
      </c>
      <c r="C150" s="2">
        <v>0</v>
      </c>
      <c r="D150" s="2">
        <v>0</v>
      </c>
      <c r="E150" s="2">
        <v>0</v>
      </c>
      <c r="F150" s="1">
        <f t="shared" si="138"/>
        <v>0</v>
      </c>
      <c r="G150" s="1">
        <f t="shared" si="139"/>
        <v>0</v>
      </c>
      <c r="H150" s="1">
        <f t="shared" si="140"/>
        <v>0</v>
      </c>
      <c r="I150" s="1">
        <f t="shared" si="141"/>
        <v>0</v>
      </c>
      <c r="J150" s="1">
        <f t="shared" si="142"/>
        <v>0</v>
      </c>
      <c r="K150" s="1">
        <f t="shared" si="143"/>
        <v>0</v>
      </c>
      <c r="L150" s="1">
        <f t="shared" si="144"/>
        <v>0</v>
      </c>
      <c r="M150" s="1">
        <f t="shared" si="145"/>
        <v>0</v>
      </c>
      <c r="N150" s="1">
        <f t="shared" si="146"/>
        <v>0</v>
      </c>
      <c r="O150" s="1">
        <f t="shared" si="147"/>
        <v>-0.64772727272727271</v>
      </c>
      <c r="P150" s="1">
        <f t="shared" si="148"/>
        <v>-3.1477272727272729</v>
      </c>
      <c r="Q150" s="1">
        <f t="shared" si="149"/>
        <v>0</v>
      </c>
      <c r="R150" s="1">
        <f t="shared" si="104"/>
        <v>0</v>
      </c>
      <c r="S150" s="1">
        <f t="shared" si="150"/>
        <v>0</v>
      </c>
      <c r="T150" s="7">
        <f t="shared" si="151"/>
        <v>-0.64772727272727271</v>
      </c>
      <c r="U150" s="7">
        <f t="shared" si="152"/>
        <v>-3.1477272727272729</v>
      </c>
      <c r="V150" s="7">
        <f t="shared" si="153"/>
        <v>-0.64772727272727271</v>
      </c>
      <c r="W150" s="7">
        <f t="shared" si="154"/>
        <v>-3.1477272727272729</v>
      </c>
      <c r="X150" s="1">
        <f t="shared" si="105"/>
        <v>0</v>
      </c>
      <c r="Y150" s="1">
        <f t="shared" si="106"/>
        <v>0</v>
      </c>
      <c r="Z150">
        <f t="shared" si="107"/>
        <v>0</v>
      </c>
      <c r="AA150">
        <f t="shared" si="108"/>
        <v>0</v>
      </c>
      <c r="AB150">
        <f t="shared" si="109"/>
        <v>0</v>
      </c>
      <c r="AC150">
        <f t="shared" si="110"/>
        <v>0</v>
      </c>
      <c r="AD150">
        <f t="shared" si="111"/>
        <v>0</v>
      </c>
      <c r="AE150">
        <f t="shared" si="112"/>
        <v>0</v>
      </c>
      <c r="AF150">
        <f t="shared" si="113"/>
        <v>0</v>
      </c>
      <c r="AG150">
        <f t="shared" si="114"/>
        <v>0</v>
      </c>
      <c r="AH150">
        <f t="shared" si="115"/>
        <v>0</v>
      </c>
      <c r="AI150" s="1">
        <f t="shared" si="116"/>
        <v>0</v>
      </c>
      <c r="AJ150" s="1">
        <f t="shared" si="117"/>
        <v>0</v>
      </c>
      <c r="AK150">
        <f t="shared" si="118"/>
        <v>0</v>
      </c>
      <c r="AL150">
        <f t="shared" si="119"/>
        <v>0</v>
      </c>
      <c r="AM150">
        <f t="shared" si="120"/>
        <v>0</v>
      </c>
      <c r="AN150">
        <f t="shared" si="121"/>
        <v>0</v>
      </c>
      <c r="AO150">
        <f t="shared" si="122"/>
        <v>0</v>
      </c>
      <c r="AP150">
        <f t="shared" si="123"/>
        <v>0</v>
      </c>
      <c r="AQ150">
        <f t="shared" si="124"/>
        <v>0</v>
      </c>
      <c r="AR150">
        <f t="shared" si="125"/>
        <v>0</v>
      </c>
      <c r="AS150">
        <f t="shared" si="126"/>
        <v>0</v>
      </c>
      <c r="AT150" s="1">
        <f t="shared" si="127"/>
        <v>0</v>
      </c>
      <c r="AU150" s="1">
        <f t="shared" si="128"/>
        <v>0</v>
      </c>
      <c r="AV150">
        <f t="shared" si="129"/>
        <v>0</v>
      </c>
      <c r="AW150">
        <f t="shared" si="130"/>
        <v>0</v>
      </c>
      <c r="AX150">
        <f t="shared" si="131"/>
        <v>0</v>
      </c>
      <c r="AY150">
        <f t="shared" si="132"/>
        <v>0</v>
      </c>
      <c r="AZ150">
        <f t="shared" si="133"/>
        <v>0</v>
      </c>
      <c r="BA150">
        <f t="shared" si="134"/>
        <v>0</v>
      </c>
      <c r="BB150">
        <f t="shared" si="135"/>
        <v>0</v>
      </c>
      <c r="BC150">
        <f t="shared" si="136"/>
        <v>0</v>
      </c>
      <c r="BD150">
        <f t="shared" si="137"/>
        <v>0</v>
      </c>
    </row>
    <row r="151" spans="1:56" x14ac:dyDescent="0.25">
      <c r="A151" s="1">
        <v>134</v>
      </c>
      <c r="B151" s="2">
        <v>0</v>
      </c>
      <c r="C151" s="2">
        <v>0</v>
      </c>
      <c r="D151" s="2">
        <v>0</v>
      </c>
      <c r="E151" s="2">
        <v>0</v>
      </c>
      <c r="F151" s="1">
        <f t="shared" si="138"/>
        <v>0</v>
      </c>
      <c r="G151" s="1">
        <f t="shared" si="139"/>
        <v>0</v>
      </c>
      <c r="H151" s="1">
        <f t="shared" si="140"/>
        <v>0</v>
      </c>
      <c r="I151" s="1">
        <f t="shared" si="141"/>
        <v>0</v>
      </c>
      <c r="J151" s="1">
        <f t="shared" si="142"/>
        <v>0</v>
      </c>
      <c r="K151" s="1">
        <f t="shared" si="143"/>
        <v>0</v>
      </c>
      <c r="L151" s="1">
        <f t="shared" si="144"/>
        <v>0</v>
      </c>
      <c r="M151" s="1">
        <f t="shared" si="145"/>
        <v>0</v>
      </c>
      <c r="N151" s="1">
        <f t="shared" si="146"/>
        <v>0</v>
      </c>
      <c r="O151" s="1">
        <f t="shared" si="147"/>
        <v>-0.64772727272727271</v>
      </c>
      <c r="P151" s="1">
        <f t="shared" si="148"/>
        <v>-3.1477272727272729</v>
      </c>
      <c r="Q151" s="1">
        <f t="shared" si="149"/>
        <v>0</v>
      </c>
      <c r="R151" s="1">
        <f t="shared" si="104"/>
        <v>0</v>
      </c>
      <c r="S151" s="1">
        <f t="shared" si="150"/>
        <v>0</v>
      </c>
      <c r="T151" s="7">
        <f t="shared" si="151"/>
        <v>-0.64772727272727271</v>
      </c>
      <c r="U151" s="7">
        <f t="shared" si="152"/>
        <v>-3.1477272727272729</v>
      </c>
      <c r="V151" s="7">
        <f t="shared" si="153"/>
        <v>-0.64772727272727271</v>
      </c>
      <c r="W151" s="7">
        <f t="shared" si="154"/>
        <v>-3.1477272727272729</v>
      </c>
      <c r="X151" s="1">
        <f t="shared" si="105"/>
        <v>0</v>
      </c>
      <c r="Y151" s="1">
        <f t="shared" si="106"/>
        <v>0</v>
      </c>
      <c r="Z151">
        <f t="shared" si="107"/>
        <v>0</v>
      </c>
      <c r="AA151">
        <f t="shared" si="108"/>
        <v>0</v>
      </c>
      <c r="AB151">
        <f t="shared" si="109"/>
        <v>0</v>
      </c>
      <c r="AC151">
        <f t="shared" si="110"/>
        <v>0</v>
      </c>
      <c r="AD151">
        <f t="shared" si="111"/>
        <v>0</v>
      </c>
      <c r="AE151">
        <f t="shared" si="112"/>
        <v>0</v>
      </c>
      <c r="AF151">
        <f t="shared" si="113"/>
        <v>0</v>
      </c>
      <c r="AG151">
        <f t="shared" si="114"/>
        <v>0</v>
      </c>
      <c r="AH151">
        <f t="shared" si="115"/>
        <v>0</v>
      </c>
      <c r="AI151" s="1">
        <f t="shared" si="116"/>
        <v>0</v>
      </c>
      <c r="AJ151" s="1">
        <f t="shared" si="117"/>
        <v>0</v>
      </c>
      <c r="AK151">
        <f t="shared" si="118"/>
        <v>0</v>
      </c>
      <c r="AL151">
        <f t="shared" si="119"/>
        <v>0</v>
      </c>
      <c r="AM151">
        <f t="shared" si="120"/>
        <v>0</v>
      </c>
      <c r="AN151">
        <f t="shared" si="121"/>
        <v>0</v>
      </c>
      <c r="AO151">
        <f t="shared" si="122"/>
        <v>0</v>
      </c>
      <c r="AP151">
        <f t="shared" si="123"/>
        <v>0</v>
      </c>
      <c r="AQ151">
        <f t="shared" si="124"/>
        <v>0</v>
      </c>
      <c r="AR151">
        <f t="shared" si="125"/>
        <v>0</v>
      </c>
      <c r="AS151">
        <f t="shared" si="126"/>
        <v>0</v>
      </c>
      <c r="AT151" s="1">
        <f t="shared" si="127"/>
        <v>0</v>
      </c>
      <c r="AU151" s="1">
        <f t="shared" si="128"/>
        <v>0</v>
      </c>
      <c r="AV151">
        <f t="shared" si="129"/>
        <v>0</v>
      </c>
      <c r="AW151">
        <f t="shared" si="130"/>
        <v>0</v>
      </c>
      <c r="AX151">
        <f t="shared" si="131"/>
        <v>0</v>
      </c>
      <c r="AY151">
        <f t="shared" si="132"/>
        <v>0</v>
      </c>
      <c r="AZ151">
        <f t="shared" si="133"/>
        <v>0</v>
      </c>
      <c r="BA151">
        <f t="shared" si="134"/>
        <v>0</v>
      </c>
      <c r="BB151">
        <f t="shared" si="135"/>
        <v>0</v>
      </c>
      <c r="BC151">
        <f t="shared" si="136"/>
        <v>0</v>
      </c>
      <c r="BD151">
        <f t="shared" si="137"/>
        <v>0</v>
      </c>
    </row>
    <row r="152" spans="1:56" x14ac:dyDescent="0.25">
      <c r="A152" s="1">
        <v>135</v>
      </c>
      <c r="B152" s="2">
        <v>0</v>
      </c>
      <c r="C152" s="2">
        <v>0</v>
      </c>
      <c r="D152" s="2">
        <v>0</v>
      </c>
      <c r="E152" s="2">
        <v>0</v>
      </c>
      <c r="F152" s="1">
        <f t="shared" si="138"/>
        <v>0</v>
      </c>
      <c r="G152" s="1">
        <f t="shared" si="139"/>
        <v>0</v>
      </c>
      <c r="H152" s="1">
        <f t="shared" si="140"/>
        <v>0</v>
      </c>
      <c r="I152" s="1">
        <f t="shared" si="141"/>
        <v>0</v>
      </c>
      <c r="J152" s="1">
        <f t="shared" si="142"/>
        <v>0</v>
      </c>
      <c r="K152" s="1">
        <f t="shared" si="143"/>
        <v>0</v>
      </c>
      <c r="L152" s="1">
        <f t="shared" si="144"/>
        <v>0</v>
      </c>
      <c r="M152" s="1">
        <f t="shared" si="145"/>
        <v>0</v>
      </c>
      <c r="N152" s="1">
        <f t="shared" si="146"/>
        <v>0</v>
      </c>
      <c r="O152" s="1">
        <f t="shared" si="147"/>
        <v>-0.64772727272727271</v>
      </c>
      <c r="P152" s="1">
        <f t="shared" si="148"/>
        <v>-3.1477272727272729</v>
      </c>
      <c r="Q152" s="1">
        <f t="shared" si="149"/>
        <v>0</v>
      </c>
      <c r="R152" s="1">
        <f t="shared" si="104"/>
        <v>0</v>
      </c>
      <c r="S152" s="1">
        <f t="shared" si="150"/>
        <v>0</v>
      </c>
      <c r="T152" s="7">
        <f t="shared" si="151"/>
        <v>-0.64772727272727271</v>
      </c>
      <c r="U152" s="7">
        <f t="shared" si="152"/>
        <v>-3.1477272727272729</v>
      </c>
      <c r="V152" s="7">
        <f t="shared" si="153"/>
        <v>-0.64772727272727271</v>
      </c>
      <c r="W152" s="7">
        <f t="shared" si="154"/>
        <v>-3.1477272727272729</v>
      </c>
      <c r="X152" s="1">
        <f t="shared" si="105"/>
        <v>0</v>
      </c>
      <c r="Y152" s="1">
        <f t="shared" si="106"/>
        <v>0</v>
      </c>
      <c r="Z152">
        <f t="shared" si="107"/>
        <v>0</v>
      </c>
      <c r="AA152">
        <f t="shared" si="108"/>
        <v>0</v>
      </c>
      <c r="AB152">
        <f t="shared" si="109"/>
        <v>0</v>
      </c>
      <c r="AC152">
        <f t="shared" si="110"/>
        <v>0</v>
      </c>
      <c r="AD152">
        <f t="shared" si="111"/>
        <v>0</v>
      </c>
      <c r="AE152">
        <f t="shared" si="112"/>
        <v>0</v>
      </c>
      <c r="AF152">
        <f t="shared" si="113"/>
        <v>0</v>
      </c>
      <c r="AG152">
        <f t="shared" si="114"/>
        <v>0</v>
      </c>
      <c r="AH152">
        <f t="shared" si="115"/>
        <v>0</v>
      </c>
      <c r="AI152" s="1">
        <f t="shared" si="116"/>
        <v>0</v>
      </c>
      <c r="AJ152" s="1">
        <f t="shared" si="117"/>
        <v>0</v>
      </c>
      <c r="AK152">
        <f t="shared" si="118"/>
        <v>0</v>
      </c>
      <c r="AL152">
        <f t="shared" si="119"/>
        <v>0</v>
      </c>
      <c r="AM152">
        <f t="shared" si="120"/>
        <v>0</v>
      </c>
      <c r="AN152">
        <f t="shared" si="121"/>
        <v>0</v>
      </c>
      <c r="AO152">
        <f t="shared" si="122"/>
        <v>0</v>
      </c>
      <c r="AP152">
        <f t="shared" si="123"/>
        <v>0</v>
      </c>
      <c r="AQ152">
        <f t="shared" si="124"/>
        <v>0</v>
      </c>
      <c r="AR152">
        <f t="shared" si="125"/>
        <v>0</v>
      </c>
      <c r="AS152">
        <f t="shared" si="126"/>
        <v>0</v>
      </c>
      <c r="AT152" s="1">
        <f t="shared" si="127"/>
        <v>0</v>
      </c>
      <c r="AU152" s="1">
        <f t="shared" si="128"/>
        <v>0</v>
      </c>
      <c r="AV152">
        <f t="shared" si="129"/>
        <v>0</v>
      </c>
      <c r="AW152">
        <f t="shared" si="130"/>
        <v>0</v>
      </c>
      <c r="AX152">
        <f t="shared" si="131"/>
        <v>0</v>
      </c>
      <c r="AY152">
        <f t="shared" si="132"/>
        <v>0</v>
      </c>
      <c r="AZ152">
        <f t="shared" si="133"/>
        <v>0</v>
      </c>
      <c r="BA152">
        <f t="shared" si="134"/>
        <v>0</v>
      </c>
      <c r="BB152">
        <f t="shared" si="135"/>
        <v>0</v>
      </c>
      <c r="BC152">
        <f t="shared" si="136"/>
        <v>0</v>
      </c>
      <c r="BD152">
        <f t="shared" si="137"/>
        <v>0</v>
      </c>
    </row>
    <row r="153" spans="1:56" x14ac:dyDescent="0.25">
      <c r="A153" s="1">
        <v>136</v>
      </c>
      <c r="B153" s="2">
        <v>0</v>
      </c>
      <c r="C153" s="2">
        <v>0</v>
      </c>
      <c r="D153" s="2">
        <v>0</v>
      </c>
      <c r="E153" s="2">
        <v>0</v>
      </c>
      <c r="F153" s="1">
        <f t="shared" si="138"/>
        <v>0</v>
      </c>
      <c r="G153" s="1">
        <f t="shared" si="139"/>
        <v>0</v>
      </c>
      <c r="H153" s="1">
        <f t="shared" si="140"/>
        <v>0</v>
      </c>
      <c r="I153" s="1">
        <f t="shared" si="141"/>
        <v>0</v>
      </c>
      <c r="J153" s="1">
        <f t="shared" si="142"/>
        <v>0</v>
      </c>
      <c r="K153" s="1">
        <f t="shared" si="143"/>
        <v>0</v>
      </c>
      <c r="L153" s="1">
        <f t="shared" si="144"/>
        <v>0</v>
      </c>
      <c r="M153" s="1">
        <f t="shared" si="145"/>
        <v>0</v>
      </c>
      <c r="N153" s="1">
        <f t="shared" si="146"/>
        <v>0</v>
      </c>
      <c r="O153" s="1">
        <f t="shared" si="147"/>
        <v>-0.64772727272727271</v>
      </c>
      <c r="P153" s="1">
        <f t="shared" si="148"/>
        <v>-3.1477272727272729</v>
      </c>
      <c r="Q153" s="1">
        <f t="shared" si="149"/>
        <v>0</v>
      </c>
      <c r="R153" s="1">
        <f t="shared" si="104"/>
        <v>0</v>
      </c>
      <c r="S153" s="1">
        <f t="shared" si="150"/>
        <v>0</v>
      </c>
      <c r="T153" s="7">
        <f t="shared" si="151"/>
        <v>-0.64772727272727271</v>
      </c>
      <c r="U153" s="7">
        <f t="shared" si="152"/>
        <v>-3.1477272727272729</v>
      </c>
      <c r="V153" s="7">
        <f t="shared" si="153"/>
        <v>-0.64772727272727271</v>
      </c>
      <c r="W153" s="7">
        <f t="shared" si="154"/>
        <v>-3.1477272727272729</v>
      </c>
      <c r="X153" s="1">
        <f t="shared" si="105"/>
        <v>0</v>
      </c>
      <c r="Y153" s="1">
        <f t="shared" si="106"/>
        <v>0</v>
      </c>
      <c r="Z153">
        <f t="shared" si="107"/>
        <v>0</v>
      </c>
      <c r="AA153">
        <f t="shared" si="108"/>
        <v>0</v>
      </c>
      <c r="AB153">
        <f t="shared" si="109"/>
        <v>0</v>
      </c>
      <c r="AC153">
        <f t="shared" si="110"/>
        <v>0</v>
      </c>
      <c r="AD153">
        <f t="shared" si="111"/>
        <v>0</v>
      </c>
      <c r="AE153">
        <f t="shared" si="112"/>
        <v>0</v>
      </c>
      <c r="AF153">
        <f t="shared" si="113"/>
        <v>0</v>
      </c>
      <c r="AG153">
        <f t="shared" si="114"/>
        <v>0</v>
      </c>
      <c r="AH153">
        <f t="shared" si="115"/>
        <v>0</v>
      </c>
      <c r="AI153" s="1">
        <f t="shared" si="116"/>
        <v>0</v>
      </c>
      <c r="AJ153" s="1">
        <f t="shared" si="117"/>
        <v>0</v>
      </c>
      <c r="AK153">
        <f t="shared" si="118"/>
        <v>0</v>
      </c>
      <c r="AL153">
        <f t="shared" si="119"/>
        <v>0</v>
      </c>
      <c r="AM153">
        <f t="shared" si="120"/>
        <v>0</v>
      </c>
      <c r="AN153">
        <f t="shared" si="121"/>
        <v>0</v>
      </c>
      <c r="AO153">
        <f t="shared" si="122"/>
        <v>0</v>
      </c>
      <c r="AP153">
        <f t="shared" si="123"/>
        <v>0</v>
      </c>
      <c r="AQ153">
        <f t="shared" si="124"/>
        <v>0</v>
      </c>
      <c r="AR153">
        <f t="shared" si="125"/>
        <v>0</v>
      </c>
      <c r="AS153">
        <f t="shared" si="126"/>
        <v>0</v>
      </c>
      <c r="AT153" s="1">
        <f t="shared" si="127"/>
        <v>0</v>
      </c>
      <c r="AU153" s="1">
        <f t="shared" si="128"/>
        <v>0</v>
      </c>
      <c r="AV153">
        <f t="shared" si="129"/>
        <v>0</v>
      </c>
      <c r="AW153">
        <f t="shared" si="130"/>
        <v>0</v>
      </c>
      <c r="AX153">
        <f t="shared" si="131"/>
        <v>0</v>
      </c>
      <c r="AY153">
        <f t="shared" si="132"/>
        <v>0</v>
      </c>
      <c r="AZ153">
        <f t="shared" si="133"/>
        <v>0</v>
      </c>
      <c r="BA153">
        <f t="shared" si="134"/>
        <v>0</v>
      </c>
      <c r="BB153">
        <f t="shared" si="135"/>
        <v>0</v>
      </c>
      <c r="BC153">
        <f t="shared" si="136"/>
        <v>0</v>
      </c>
      <c r="BD153">
        <f t="shared" si="137"/>
        <v>0</v>
      </c>
    </row>
    <row r="154" spans="1:56" x14ac:dyDescent="0.25">
      <c r="A154" s="1">
        <v>137</v>
      </c>
      <c r="B154" s="2">
        <v>0</v>
      </c>
      <c r="C154" s="2">
        <v>0</v>
      </c>
      <c r="D154" s="2">
        <v>0</v>
      </c>
      <c r="E154" s="2">
        <v>0</v>
      </c>
      <c r="F154" s="1">
        <f t="shared" si="138"/>
        <v>0</v>
      </c>
      <c r="G154" s="1">
        <f t="shared" si="139"/>
        <v>0</v>
      </c>
      <c r="H154" s="1">
        <f t="shared" si="140"/>
        <v>0</v>
      </c>
      <c r="I154" s="1">
        <f t="shared" si="141"/>
        <v>0</v>
      </c>
      <c r="J154" s="1">
        <f t="shared" si="142"/>
        <v>0</v>
      </c>
      <c r="K154" s="1">
        <f t="shared" si="143"/>
        <v>0</v>
      </c>
      <c r="L154" s="1">
        <f t="shared" si="144"/>
        <v>0</v>
      </c>
      <c r="M154" s="1">
        <f t="shared" si="145"/>
        <v>0</v>
      </c>
      <c r="N154" s="1">
        <f t="shared" si="146"/>
        <v>0</v>
      </c>
      <c r="O154" s="1">
        <f t="shared" si="147"/>
        <v>-0.64772727272727271</v>
      </c>
      <c r="P154" s="1">
        <f t="shared" si="148"/>
        <v>-3.1477272727272729</v>
      </c>
      <c r="Q154" s="1">
        <f t="shared" si="149"/>
        <v>0</v>
      </c>
      <c r="R154" s="1">
        <f t="shared" si="104"/>
        <v>0</v>
      </c>
      <c r="S154" s="1">
        <f t="shared" si="150"/>
        <v>0</v>
      </c>
      <c r="T154" s="7">
        <f t="shared" si="151"/>
        <v>-0.64772727272727271</v>
      </c>
      <c r="U154" s="7">
        <f t="shared" si="152"/>
        <v>-3.1477272727272729</v>
      </c>
      <c r="V154" s="7">
        <f t="shared" si="153"/>
        <v>-0.64772727272727271</v>
      </c>
      <c r="W154" s="7">
        <f t="shared" si="154"/>
        <v>-3.1477272727272729</v>
      </c>
      <c r="X154" s="1">
        <f t="shared" si="105"/>
        <v>0</v>
      </c>
      <c r="Y154" s="1">
        <f t="shared" si="106"/>
        <v>0</v>
      </c>
      <c r="Z154">
        <f t="shared" si="107"/>
        <v>0</v>
      </c>
      <c r="AA154">
        <f t="shared" si="108"/>
        <v>0</v>
      </c>
      <c r="AB154">
        <f t="shared" si="109"/>
        <v>0</v>
      </c>
      <c r="AC154">
        <f t="shared" si="110"/>
        <v>0</v>
      </c>
      <c r="AD154">
        <f t="shared" si="111"/>
        <v>0</v>
      </c>
      <c r="AE154">
        <f t="shared" si="112"/>
        <v>0</v>
      </c>
      <c r="AF154">
        <f t="shared" si="113"/>
        <v>0</v>
      </c>
      <c r="AG154">
        <f t="shared" si="114"/>
        <v>0</v>
      </c>
      <c r="AH154">
        <f t="shared" si="115"/>
        <v>0</v>
      </c>
      <c r="AI154" s="1">
        <f t="shared" si="116"/>
        <v>0</v>
      </c>
      <c r="AJ154" s="1">
        <f t="shared" si="117"/>
        <v>0</v>
      </c>
      <c r="AK154">
        <f t="shared" si="118"/>
        <v>0</v>
      </c>
      <c r="AL154">
        <f t="shared" si="119"/>
        <v>0</v>
      </c>
      <c r="AM154">
        <f t="shared" si="120"/>
        <v>0</v>
      </c>
      <c r="AN154">
        <f t="shared" si="121"/>
        <v>0</v>
      </c>
      <c r="AO154">
        <f t="shared" si="122"/>
        <v>0</v>
      </c>
      <c r="AP154">
        <f t="shared" si="123"/>
        <v>0</v>
      </c>
      <c r="AQ154">
        <f t="shared" si="124"/>
        <v>0</v>
      </c>
      <c r="AR154">
        <f t="shared" si="125"/>
        <v>0</v>
      </c>
      <c r="AS154">
        <f t="shared" si="126"/>
        <v>0</v>
      </c>
      <c r="AT154" s="1">
        <f t="shared" si="127"/>
        <v>0</v>
      </c>
      <c r="AU154" s="1">
        <f t="shared" si="128"/>
        <v>0</v>
      </c>
      <c r="AV154">
        <f t="shared" si="129"/>
        <v>0</v>
      </c>
      <c r="AW154">
        <f t="shared" si="130"/>
        <v>0</v>
      </c>
      <c r="AX154">
        <f t="shared" si="131"/>
        <v>0</v>
      </c>
      <c r="AY154">
        <f t="shared" si="132"/>
        <v>0</v>
      </c>
      <c r="AZ154">
        <f t="shared" si="133"/>
        <v>0</v>
      </c>
      <c r="BA154">
        <f t="shared" si="134"/>
        <v>0</v>
      </c>
      <c r="BB154">
        <f t="shared" si="135"/>
        <v>0</v>
      </c>
      <c r="BC154">
        <f t="shared" si="136"/>
        <v>0</v>
      </c>
      <c r="BD154">
        <f t="shared" si="137"/>
        <v>0</v>
      </c>
    </row>
    <row r="155" spans="1:56" x14ac:dyDescent="0.25">
      <c r="A155" s="1">
        <v>138</v>
      </c>
      <c r="B155" s="2">
        <v>0</v>
      </c>
      <c r="C155" s="2">
        <v>0</v>
      </c>
      <c r="D155" s="2">
        <v>0</v>
      </c>
      <c r="E155" s="2">
        <v>0</v>
      </c>
      <c r="F155" s="1">
        <f t="shared" si="138"/>
        <v>0</v>
      </c>
      <c r="G155" s="1">
        <f t="shared" si="139"/>
        <v>0</v>
      </c>
      <c r="H155" s="1">
        <f t="shared" si="140"/>
        <v>0</v>
      </c>
      <c r="I155" s="1">
        <f t="shared" si="141"/>
        <v>0</v>
      </c>
      <c r="J155" s="1">
        <f t="shared" si="142"/>
        <v>0</v>
      </c>
      <c r="K155" s="1">
        <f t="shared" si="143"/>
        <v>0</v>
      </c>
      <c r="L155" s="1">
        <f t="shared" si="144"/>
        <v>0</v>
      </c>
      <c r="M155" s="1">
        <f t="shared" si="145"/>
        <v>0</v>
      </c>
      <c r="N155" s="1">
        <f t="shared" si="146"/>
        <v>0</v>
      </c>
      <c r="O155" s="1">
        <f t="shared" si="147"/>
        <v>-0.64772727272727271</v>
      </c>
      <c r="P155" s="1">
        <f t="shared" si="148"/>
        <v>-3.1477272727272729</v>
      </c>
      <c r="Q155" s="1">
        <f t="shared" si="149"/>
        <v>0</v>
      </c>
      <c r="R155" s="1">
        <f t="shared" si="104"/>
        <v>0</v>
      </c>
      <c r="S155" s="1">
        <f t="shared" si="150"/>
        <v>0</v>
      </c>
      <c r="T155" s="7">
        <f t="shared" si="151"/>
        <v>-0.64772727272727271</v>
      </c>
      <c r="U155" s="7">
        <f t="shared" si="152"/>
        <v>-3.1477272727272729</v>
      </c>
      <c r="V155" s="7">
        <f t="shared" si="153"/>
        <v>-0.64772727272727271</v>
      </c>
      <c r="W155" s="7">
        <f t="shared" si="154"/>
        <v>-3.1477272727272729</v>
      </c>
      <c r="X155" s="1">
        <f t="shared" si="105"/>
        <v>0</v>
      </c>
      <c r="Y155" s="1">
        <f t="shared" si="106"/>
        <v>0</v>
      </c>
      <c r="Z155">
        <f t="shared" si="107"/>
        <v>0</v>
      </c>
      <c r="AA155">
        <f t="shared" si="108"/>
        <v>0</v>
      </c>
      <c r="AB155">
        <f t="shared" si="109"/>
        <v>0</v>
      </c>
      <c r="AC155">
        <f t="shared" si="110"/>
        <v>0</v>
      </c>
      <c r="AD155">
        <f t="shared" si="111"/>
        <v>0</v>
      </c>
      <c r="AE155">
        <f t="shared" si="112"/>
        <v>0</v>
      </c>
      <c r="AF155">
        <f t="shared" si="113"/>
        <v>0</v>
      </c>
      <c r="AG155">
        <f t="shared" si="114"/>
        <v>0</v>
      </c>
      <c r="AH155">
        <f t="shared" si="115"/>
        <v>0</v>
      </c>
      <c r="AI155" s="1">
        <f t="shared" si="116"/>
        <v>0</v>
      </c>
      <c r="AJ155" s="1">
        <f t="shared" si="117"/>
        <v>0</v>
      </c>
      <c r="AK155">
        <f t="shared" si="118"/>
        <v>0</v>
      </c>
      <c r="AL155">
        <f t="shared" si="119"/>
        <v>0</v>
      </c>
      <c r="AM155">
        <f t="shared" si="120"/>
        <v>0</v>
      </c>
      <c r="AN155">
        <f t="shared" si="121"/>
        <v>0</v>
      </c>
      <c r="AO155">
        <f t="shared" si="122"/>
        <v>0</v>
      </c>
      <c r="AP155">
        <f t="shared" si="123"/>
        <v>0</v>
      </c>
      <c r="AQ155">
        <f t="shared" si="124"/>
        <v>0</v>
      </c>
      <c r="AR155">
        <f t="shared" si="125"/>
        <v>0</v>
      </c>
      <c r="AS155">
        <f t="shared" si="126"/>
        <v>0</v>
      </c>
      <c r="AT155" s="1">
        <f t="shared" si="127"/>
        <v>0</v>
      </c>
      <c r="AU155" s="1">
        <f t="shared" si="128"/>
        <v>0</v>
      </c>
      <c r="AV155">
        <f t="shared" si="129"/>
        <v>0</v>
      </c>
      <c r="AW155">
        <f t="shared" si="130"/>
        <v>0</v>
      </c>
      <c r="AX155">
        <f t="shared" si="131"/>
        <v>0</v>
      </c>
      <c r="AY155">
        <f t="shared" si="132"/>
        <v>0</v>
      </c>
      <c r="AZ155">
        <f t="shared" si="133"/>
        <v>0</v>
      </c>
      <c r="BA155">
        <f t="shared" si="134"/>
        <v>0</v>
      </c>
      <c r="BB155">
        <f t="shared" si="135"/>
        <v>0</v>
      </c>
      <c r="BC155">
        <f t="shared" si="136"/>
        <v>0</v>
      </c>
      <c r="BD155">
        <f t="shared" si="137"/>
        <v>0</v>
      </c>
    </row>
    <row r="156" spans="1:56" x14ac:dyDescent="0.25">
      <c r="A156" s="1">
        <v>139</v>
      </c>
      <c r="B156" s="2">
        <v>0</v>
      </c>
      <c r="C156" s="2">
        <v>0</v>
      </c>
      <c r="D156" s="2">
        <v>0</v>
      </c>
      <c r="E156" s="2">
        <v>0</v>
      </c>
      <c r="F156" s="1">
        <f t="shared" si="138"/>
        <v>0</v>
      </c>
      <c r="G156" s="1">
        <f t="shared" si="139"/>
        <v>0</v>
      </c>
      <c r="H156" s="1">
        <f t="shared" si="140"/>
        <v>0</v>
      </c>
      <c r="I156" s="1">
        <f t="shared" si="141"/>
        <v>0</v>
      </c>
      <c r="J156" s="1">
        <f t="shared" si="142"/>
        <v>0</v>
      </c>
      <c r="K156" s="1">
        <f t="shared" si="143"/>
        <v>0</v>
      </c>
      <c r="L156" s="1">
        <f t="shared" si="144"/>
        <v>0</v>
      </c>
      <c r="M156" s="1">
        <f t="shared" si="145"/>
        <v>0</v>
      </c>
      <c r="N156" s="1">
        <f t="shared" si="146"/>
        <v>0</v>
      </c>
      <c r="O156" s="1">
        <f t="shared" si="147"/>
        <v>-0.64772727272727271</v>
      </c>
      <c r="P156" s="1">
        <f t="shared" si="148"/>
        <v>-3.1477272727272729</v>
      </c>
      <c r="Q156" s="1">
        <f t="shared" si="149"/>
        <v>0</v>
      </c>
      <c r="R156" s="1">
        <f t="shared" si="104"/>
        <v>0</v>
      </c>
      <c r="S156" s="1">
        <f t="shared" si="150"/>
        <v>0</v>
      </c>
      <c r="T156" s="7">
        <f t="shared" si="151"/>
        <v>-0.64772727272727271</v>
      </c>
      <c r="U156" s="7">
        <f t="shared" si="152"/>
        <v>-3.1477272727272729</v>
      </c>
      <c r="V156" s="7">
        <f t="shared" si="153"/>
        <v>-0.64772727272727271</v>
      </c>
      <c r="W156" s="7">
        <f t="shared" si="154"/>
        <v>-3.1477272727272729</v>
      </c>
      <c r="X156" s="1">
        <f t="shared" si="105"/>
        <v>0</v>
      </c>
      <c r="Y156" s="1">
        <f t="shared" si="106"/>
        <v>0</v>
      </c>
      <c r="Z156">
        <f t="shared" si="107"/>
        <v>0</v>
      </c>
      <c r="AA156">
        <f t="shared" si="108"/>
        <v>0</v>
      </c>
      <c r="AB156">
        <f t="shared" si="109"/>
        <v>0</v>
      </c>
      <c r="AC156">
        <f t="shared" si="110"/>
        <v>0</v>
      </c>
      <c r="AD156">
        <f t="shared" si="111"/>
        <v>0</v>
      </c>
      <c r="AE156">
        <f t="shared" si="112"/>
        <v>0</v>
      </c>
      <c r="AF156">
        <f t="shared" si="113"/>
        <v>0</v>
      </c>
      <c r="AG156">
        <f t="shared" si="114"/>
        <v>0</v>
      </c>
      <c r="AH156">
        <f t="shared" si="115"/>
        <v>0</v>
      </c>
      <c r="AI156" s="1">
        <f t="shared" si="116"/>
        <v>0</v>
      </c>
      <c r="AJ156" s="1">
        <f t="shared" si="117"/>
        <v>0</v>
      </c>
      <c r="AK156">
        <f t="shared" si="118"/>
        <v>0</v>
      </c>
      <c r="AL156">
        <f t="shared" si="119"/>
        <v>0</v>
      </c>
      <c r="AM156">
        <f t="shared" si="120"/>
        <v>0</v>
      </c>
      <c r="AN156">
        <f t="shared" si="121"/>
        <v>0</v>
      </c>
      <c r="AO156">
        <f t="shared" si="122"/>
        <v>0</v>
      </c>
      <c r="AP156">
        <f t="shared" si="123"/>
        <v>0</v>
      </c>
      <c r="AQ156">
        <f t="shared" si="124"/>
        <v>0</v>
      </c>
      <c r="AR156">
        <f t="shared" si="125"/>
        <v>0</v>
      </c>
      <c r="AS156">
        <f t="shared" si="126"/>
        <v>0</v>
      </c>
      <c r="AT156" s="1">
        <f t="shared" si="127"/>
        <v>0</v>
      </c>
      <c r="AU156" s="1">
        <f t="shared" si="128"/>
        <v>0</v>
      </c>
      <c r="AV156">
        <f t="shared" si="129"/>
        <v>0</v>
      </c>
      <c r="AW156">
        <f t="shared" si="130"/>
        <v>0</v>
      </c>
      <c r="AX156">
        <f t="shared" si="131"/>
        <v>0</v>
      </c>
      <c r="AY156">
        <f t="shared" si="132"/>
        <v>0</v>
      </c>
      <c r="AZ156">
        <f t="shared" si="133"/>
        <v>0</v>
      </c>
      <c r="BA156">
        <f t="shared" si="134"/>
        <v>0</v>
      </c>
      <c r="BB156">
        <f t="shared" si="135"/>
        <v>0</v>
      </c>
      <c r="BC156">
        <f t="shared" si="136"/>
        <v>0</v>
      </c>
      <c r="BD156">
        <f t="shared" si="137"/>
        <v>0</v>
      </c>
    </row>
    <row r="157" spans="1:56" x14ac:dyDescent="0.25">
      <c r="A157" s="1">
        <v>140</v>
      </c>
      <c r="B157" s="2">
        <v>0</v>
      </c>
      <c r="C157" s="2">
        <v>0</v>
      </c>
      <c r="D157" s="2">
        <v>0</v>
      </c>
      <c r="E157" s="2">
        <v>0</v>
      </c>
      <c r="F157" s="1">
        <f t="shared" si="138"/>
        <v>0</v>
      </c>
      <c r="G157" s="1">
        <f t="shared" si="139"/>
        <v>0</v>
      </c>
      <c r="H157" s="1">
        <f t="shared" si="140"/>
        <v>0</v>
      </c>
      <c r="I157" s="1">
        <f t="shared" si="141"/>
        <v>0</v>
      </c>
      <c r="J157" s="1">
        <f t="shared" si="142"/>
        <v>0</v>
      </c>
      <c r="K157" s="1">
        <f t="shared" si="143"/>
        <v>0</v>
      </c>
      <c r="L157" s="1">
        <f t="shared" si="144"/>
        <v>0</v>
      </c>
      <c r="M157" s="1">
        <f t="shared" si="145"/>
        <v>0</v>
      </c>
      <c r="N157" s="1">
        <f t="shared" si="146"/>
        <v>0</v>
      </c>
      <c r="O157" s="1">
        <f t="shared" si="147"/>
        <v>-0.64772727272727271</v>
      </c>
      <c r="P157" s="1">
        <f t="shared" si="148"/>
        <v>-3.1477272727272729</v>
      </c>
      <c r="Q157" s="1">
        <f t="shared" si="149"/>
        <v>0</v>
      </c>
      <c r="R157" s="1">
        <f t="shared" si="104"/>
        <v>0</v>
      </c>
      <c r="S157" s="1">
        <f t="shared" si="150"/>
        <v>0</v>
      </c>
      <c r="T157" s="7">
        <f t="shared" si="151"/>
        <v>-0.64772727272727271</v>
      </c>
      <c r="U157" s="7">
        <f t="shared" si="152"/>
        <v>-3.1477272727272729</v>
      </c>
      <c r="V157" s="7">
        <f t="shared" si="153"/>
        <v>-0.64772727272727271</v>
      </c>
      <c r="W157" s="7">
        <f t="shared" si="154"/>
        <v>-3.1477272727272729</v>
      </c>
      <c r="X157" s="1">
        <f t="shared" si="105"/>
        <v>0</v>
      </c>
      <c r="Y157" s="1">
        <f t="shared" si="106"/>
        <v>0</v>
      </c>
      <c r="Z157">
        <f t="shared" si="107"/>
        <v>0</v>
      </c>
      <c r="AA157">
        <f t="shared" si="108"/>
        <v>0</v>
      </c>
      <c r="AB157">
        <f t="shared" si="109"/>
        <v>0</v>
      </c>
      <c r="AC157">
        <f t="shared" si="110"/>
        <v>0</v>
      </c>
      <c r="AD157">
        <f t="shared" si="111"/>
        <v>0</v>
      </c>
      <c r="AE157">
        <f t="shared" si="112"/>
        <v>0</v>
      </c>
      <c r="AF157">
        <f t="shared" si="113"/>
        <v>0</v>
      </c>
      <c r="AG157">
        <f t="shared" si="114"/>
        <v>0</v>
      </c>
      <c r="AH157">
        <f t="shared" si="115"/>
        <v>0</v>
      </c>
      <c r="AI157" s="1">
        <f t="shared" si="116"/>
        <v>0</v>
      </c>
      <c r="AJ157" s="1">
        <f t="shared" si="117"/>
        <v>0</v>
      </c>
      <c r="AK157">
        <f t="shared" si="118"/>
        <v>0</v>
      </c>
      <c r="AL157">
        <f t="shared" si="119"/>
        <v>0</v>
      </c>
      <c r="AM157">
        <f t="shared" si="120"/>
        <v>0</v>
      </c>
      <c r="AN157">
        <f t="shared" si="121"/>
        <v>0</v>
      </c>
      <c r="AO157">
        <f t="shared" si="122"/>
        <v>0</v>
      </c>
      <c r="AP157">
        <f t="shared" si="123"/>
        <v>0</v>
      </c>
      <c r="AQ157">
        <f t="shared" si="124"/>
        <v>0</v>
      </c>
      <c r="AR157">
        <f t="shared" si="125"/>
        <v>0</v>
      </c>
      <c r="AS157">
        <f t="shared" si="126"/>
        <v>0</v>
      </c>
      <c r="AT157" s="1">
        <f t="shared" si="127"/>
        <v>0</v>
      </c>
      <c r="AU157" s="1">
        <f t="shared" si="128"/>
        <v>0</v>
      </c>
      <c r="AV157">
        <f t="shared" si="129"/>
        <v>0</v>
      </c>
      <c r="AW157">
        <f t="shared" si="130"/>
        <v>0</v>
      </c>
      <c r="AX157">
        <f t="shared" si="131"/>
        <v>0</v>
      </c>
      <c r="AY157">
        <f t="shared" si="132"/>
        <v>0</v>
      </c>
      <c r="AZ157">
        <f t="shared" si="133"/>
        <v>0</v>
      </c>
      <c r="BA157">
        <f t="shared" si="134"/>
        <v>0</v>
      </c>
      <c r="BB157">
        <f t="shared" si="135"/>
        <v>0</v>
      </c>
      <c r="BC157">
        <f t="shared" si="136"/>
        <v>0</v>
      </c>
      <c r="BD157">
        <f t="shared" si="137"/>
        <v>0</v>
      </c>
    </row>
    <row r="158" spans="1:56" x14ac:dyDescent="0.25">
      <c r="A158" s="1">
        <v>141</v>
      </c>
      <c r="B158" s="2">
        <v>0</v>
      </c>
      <c r="C158" s="2">
        <v>0</v>
      </c>
      <c r="D158" s="2">
        <v>0</v>
      </c>
      <c r="E158" s="2">
        <v>0</v>
      </c>
      <c r="F158" s="1">
        <f t="shared" si="138"/>
        <v>0</v>
      </c>
      <c r="G158" s="1">
        <f t="shared" si="139"/>
        <v>0</v>
      </c>
      <c r="H158" s="1">
        <f t="shared" si="140"/>
        <v>0</v>
      </c>
      <c r="I158" s="1">
        <f t="shared" si="141"/>
        <v>0</v>
      </c>
      <c r="J158" s="1">
        <f t="shared" si="142"/>
        <v>0</v>
      </c>
      <c r="K158" s="1">
        <f t="shared" si="143"/>
        <v>0</v>
      </c>
      <c r="L158" s="1">
        <f t="shared" si="144"/>
        <v>0</v>
      </c>
      <c r="M158" s="1">
        <f t="shared" si="145"/>
        <v>0</v>
      </c>
      <c r="N158" s="1">
        <f t="shared" si="146"/>
        <v>0</v>
      </c>
      <c r="O158" s="1">
        <f t="shared" si="147"/>
        <v>-0.64772727272727271</v>
      </c>
      <c r="P158" s="1">
        <f t="shared" si="148"/>
        <v>-3.1477272727272729</v>
      </c>
      <c r="Q158" s="1">
        <f t="shared" si="149"/>
        <v>0</v>
      </c>
      <c r="R158" s="1">
        <f t="shared" si="104"/>
        <v>0</v>
      </c>
      <c r="S158" s="1">
        <f t="shared" si="150"/>
        <v>0</v>
      </c>
      <c r="T158" s="7">
        <f t="shared" si="151"/>
        <v>-0.64772727272727271</v>
      </c>
      <c r="U158" s="7">
        <f t="shared" si="152"/>
        <v>-3.1477272727272729</v>
      </c>
      <c r="V158" s="7">
        <f t="shared" si="153"/>
        <v>-0.64772727272727271</v>
      </c>
      <c r="W158" s="7">
        <f t="shared" si="154"/>
        <v>-3.1477272727272729</v>
      </c>
      <c r="X158" s="1">
        <f t="shared" si="105"/>
        <v>0</v>
      </c>
      <c r="Y158" s="1">
        <f t="shared" si="106"/>
        <v>0</v>
      </c>
      <c r="Z158">
        <f t="shared" si="107"/>
        <v>0</v>
      </c>
      <c r="AA158">
        <f t="shared" si="108"/>
        <v>0</v>
      </c>
      <c r="AB158">
        <f t="shared" si="109"/>
        <v>0</v>
      </c>
      <c r="AC158">
        <f t="shared" si="110"/>
        <v>0</v>
      </c>
      <c r="AD158">
        <f t="shared" si="111"/>
        <v>0</v>
      </c>
      <c r="AE158">
        <f t="shared" si="112"/>
        <v>0</v>
      </c>
      <c r="AF158">
        <f t="shared" si="113"/>
        <v>0</v>
      </c>
      <c r="AG158">
        <f t="shared" si="114"/>
        <v>0</v>
      </c>
      <c r="AH158">
        <f t="shared" si="115"/>
        <v>0</v>
      </c>
      <c r="AI158" s="1">
        <f t="shared" si="116"/>
        <v>0</v>
      </c>
      <c r="AJ158" s="1">
        <f t="shared" si="117"/>
        <v>0</v>
      </c>
      <c r="AK158">
        <f t="shared" si="118"/>
        <v>0</v>
      </c>
      <c r="AL158">
        <f t="shared" si="119"/>
        <v>0</v>
      </c>
      <c r="AM158">
        <f t="shared" si="120"/>
        <v>0</v>
      </c>
      <c r="AN158">
        <f t="shared" si="121"/>
        <v>0</v>
      </c>
      <c r="AO158">
        <f t="shared" si="122"/>
        <v>0</v>
      </c>
      <c r="AP158">
        <f t="shared" si="123"/>
        <v>0</v>
      </c>
      <c r="AQ158">
        <f t="shared" si="124"/>
        <v>0</v>
      </c>
      <c r="AR158">
        <f t="shared" si="125"/>
        <v>0</v>
      </c>
      <c r="AS158">
        <f t="shared" si="126"/>
        <v>0</v>
      </c>
      <c r="AT158" s="1">
        <f t="shared" si="127"/>
        <v>0</v>
      </c>
      <c r="AU158" s="1">
        <f t="shared" si="128"/>
        <v>0</v>
      </c>
      <c r="AV158">
        <f t="shared" si="129"/>
        <v>0</v>
      </c>
      <c r="AW158">
        <f t="shared" si="130"/>
        <v>0</v>
      </c>
      <c r="AX158">
        <f t="shared" si="131"/>
        <v>0</v>
      </c>
      <c r="AY158">
        <f t="shared" si="132"/>
        <v>0</v>
      </c>
      <c r="AZ158">
        <f t="shared" si="133"/>
        <v>0</v>
      </c>
      <c r="BA158">
        <f t="shared" si="134"/>
        <v>0</v>
      </c>
      <c r="BB158">
        <f t="shared" si="135"/>
        <v>0</v>
      </c>
      <c r="BC158">
        <f t="shared" si="136"/>
        <v>0</v>
      </c>
      <c r="BD158">
        <f t="shared" si="137"/>
        <v>0</v>
      </c>
    </row>
    <row r="159" spans="1:56" x14ac:dyDescent="0.25">
      <c r="A159" s="1">
        <v>142</v>
      </c>
      <c r="B159" s="2">
        <v>0</v>
      </c>
      <c r="C159" s="2">
        <v>0</v>
      </c>
      <c r="D159" s="2">
        <v>0</v>
      </c>
      <c r="E159" s="2">
        <v>0</v>
      </c>
      <c r="F159" s="1">
        <f t="shared" si="138"/>
        <v>0</v>
      </c>
      <c r="G159" s="1">
        <f t="shared" si="139"/>
        <v>0</v>
      </c>
      <c r="H159" s="1">
        <f t="shared" si="140"/>
        <v>0</v>
      </c>
      <c r="I159" s="1">
        <f t="shared" si="141"/>
        <v>0</v>
      </c>
      <c r="J159" s="1">
        <f t="shared" si="142"/>
        <v>0</v>
      </c>
      <c r="K159" s="1">
        <f t="shared" si="143"/>
        <v>0</v>
      </c>
      <c r="L159" s="1">
        <f t="shared" si="144"/>
        <v>0</v>
      </c>
      <c r="M159" s="1">
        <f t="shared" si="145"/>
        <v>0</v>
      </c>
      <c r="N159" s="1">
        <f t="shared" si="146"/>
        <v>0</v>
      </c>
      <c r="O159" s="1">
        <f t="shared" si="147"/>
        <v>-0.64772727272727271</v>
      </c>
      <c r="P159" s="1">
        <f t="shared" si="148"/>
        <v>-3.1477272727272729</v>
      </c>
      <c r="Q159" s="1">
        <f t="shared" si="149"/>
        <v>0</v>
      </c>
      <c r="R159" s="1">
        <f t="shared" si="104"/>
        <v>0</v>
      </c>
      <c r="S159" s="1">
        <f t="shared" si="150"/>
        <v>0</v>
      </c>
      <c r="T159" s="7">
        <f t="shared" si="151"/>
        <v>-0.64772727272727271</v>
      </c>
      <c r="U159" s="7">
        <f t="shared" si="152"/>
        <v>-3.1477272727272729</v>
      </c>
      <c r="V159" s="7">
        <f t="shared" si="153"/>
        <v>-0.64772727272727271</v>
      </c>
      <c r="W159" s="7">
        <f t="shared" si="154"/>
        <v>-3.1477272727272729</v>
      </c>
      <c r="X159" s="1">
        <f t="shared" si="105"/>
        <v>0</v>
      </c>
      <c r="Y159" s="1">
        <f t="shared" si="106"/>
        <v>0</v>
      </c>
      <c r="Z159">
        <f t="shared" si="107"/>
        <v>0</v>
      </c>
      <c r="AA159">
        <f t="shared" si="108"/>
        <v>0</v>
      </c>
      <c r="AB159">
        <f t="shared" si="109"/>
        <v>0</v>
      </c>
      <c r="AC159">
        <f t="shared" si="110"/>
        <v>0</v>
      </c>
      <c r="AD159">
        <f t="shared" si="111"/>
        <v>0</v>
      </c>
      <c r="AE159">
        <f t="shared" si="112"/>
        <v>0</v>
      </c>
      <c r="AF159">
        <f t="shared" si="113"/>
        <v>0</v>
      </c>
      <c r="AG159">
        <f t="shared" si="114"/>
        <v>0</v>
      </c>
      <c r="AH159">
        <f t="shared" si="115"/>
        <v>0</v>
      </c>
      <c r="AI159" s="1">
        <f t="shared" si="116"/>
        <v>0</v>
      </c>
      <c r="AJ159" s="1">
        <f t="shared" si="117"/>
        <v>0</v>
      </c>
      <c r="AK159">
        <f t="shared" si="118"/>
        <v>0</v>
      </c>
      <c r="AL159">
        <f t="shared" si="119"/>
        <v>0</v>
      </c>
      <c r="AM159">
        <f t="shared" si="120"/>
        <v>0</v>
      </c>
      <c r="AN159">
        <f t="shared" si="121"/>
        <v>0</v>
      </c>
      <c r="AO159">
        <f t="shared" si="122"/>
        <v>0</v>
      </c>
      <c r="AP159">
        <f t="shared" si="123"/>
        <v>0</v>
      </c>
      <c r="AQ159">
        <f t="shared" si="124"/>
        <v>0</v>
      </c>
      <c r="AR159">
        <f t="shared" si="125"/>
        <v>0</v>
      </c>
      <c r="AS159">
        <f t="shared" si="126"/>
        <v>0</v>
      </c>
      <c r="AT159" s="1">
        <f t="shared" si="127"/>
        <v>0</v>
      </c>
      <c r="AU159" s="1">
        <f t="shared" si="128"/>
        <v>0</v>
      </c>
      <c r="AV159">
        <f t="shared" si="129"/>
        <v>0</v>
      </c>
      <c r="AW159">
        <f t="shared" si="130"/>
        <v>0</v>
      </c>
      <c r="AX159">
        <f t="shared" si="131"/>
        <v>0</v>
      </c>
      <c r="AY159">
        <f t="shared" si="132"/>
        <v>0</v>
      </c>
      <c r="AZ159">
        <f t="shared" si="133"/>
        <v>0</v>
      </c>
      <c r="BA159">
        <f t="shared" si="134"/>
        <v>0</v>
      </c>
      <c r="BB159">
        <f t="shared" si="135"/>
        <v>0</v>
      </c>
      <c r="BC159">
        <f t="shared" si="136"/>
        <v>0</v>
      </c>
      <c r="BD159">
        <f t="shared" si="137"/>
        <v>0</v>
      </c>
    </row>
    <row r="160" spans="1:56" x14ac:dyDescent="0.25">
      <c r="A160" s="1">
        <v>143</v>
      </c>
      <c r="B160" s="2">
        <v>0</v>
      </c>
      <c r="C160" s="2">
        <v>0</v>
      </c>
      <c r="D160" s="2">
        <v>0</v>
      </c>
      <c r="E160" s="2">
        <v>0</v>
      </c>
      <c r="F160" s="1">
        <f t="shared" si="138"/>
        <v>0</v>
      </c>
      <c r="G160" s="1">
        <f t="shared" si="139"/>
        <v>0</v>
      </c>
      <c r="H160" s="1">
        <f t="shared" si="140"/>
        <v>0</v>
      </c>
      <c r="I160" s="1">
        <f t="shared" si="141"/>
        <v>0</v>
      </c>
      <c r="J160" s="1">
        <f t="shared" si="142"/>
        <v>0</v>
      </c>
      <c r="K160" s="1">
        <f t="shared" si="143"/>
        <v>0</v>
      </c>
      <c r="L160" s="1">
        <f t="shared" si="144"/>
        <v>0</v>
      </c>
      <c r="M160" s="1">
        <f t="shared" si="145"/>
        <v>0</v>
      </c>
      <c r="N160" s="1">
        <f t="shared" si="146"/>
        <v>0</v>
      </c>
      <c r="O160" s="1">
        <f t="shared" si="147"/>
        <v>-0.64772727272727271</v>
      </c>
      <c r="P160" s="1">
        <f t="shared" si="148"/>
        <v>-3.1477272727272729</v>
      </c>
      <c r="Q160" s="1">
        <f t="shared" si="149"/>
        <v>0</v>
      </c>
      <c r="R160" s="1">
        <f t="shared" si="104"/>
        <v>0</v>
      </c>
      <c r="S160" s="1">
        <f t="shared" si="150"/>
        <v>0</v>
      </c>
      <c r="T160" s="7">
        <f t="shared" si="151"/>
        <v>-0.64772727272727271</v>
      </c>
      <c r="U160" s="7">
        <f t="shared" si="152"/>
        <v>-3.1477272727272729</v>
      </c>
      <c r="V160" s="7">
        <f t="shared" si="153"/>
        <v>-0.64772727272727271</v>
      </c>
      <c r="W160" s="7">
        <f t="shared" si="154"/>
        <v>-3.1477272727272729</v>
      </c>
      <c r="X160" s="1">
        <f t="shared" si="105"/>
        <v>0</v>
      </c>
      <c r="Y160" s="1">
        <f t="shared" si="106"/>
        <v>0</v>
      </c>
      <c r="Z160">
        <f t="shared" si="107"/>
        <v>0</v>
      </c>
      <c r="AA160">
        <f t="shared" si="108"/>
        <v>0</v>
      </c>
      <c r="AB160">
        <f t="shared" si="109"/>
        <v>0</v>
      </c>
      <c r="AC160">
        <f t="shared" si="110"/>
        <v>0</v>
      </c>
      <c r="AD160">
        <f t="shared" si="111"/>
        <v>0</v>
      </c>
      <c r="AE160">
        <f t="shared" si="112"/>
        <v>0</v>
      </c>
      <c r="AF160">
        <f t="shared" si="113"/>
        <v>0</v>
      </c>
      <c r="AG160">
        <f t="shared" si="114"/>
        <v>0</v>
      </c>
      <c r="AH160">
        <f t="shared" si="115"/>
        <v>0</v>
      </c>
      <c r="AI160" s="1">
        <f t="shared" si="116"/>
        <v>0</v>
      </c>
      <c r="AJ160" s="1">
        <f t="shared" si="117"/>
        <v>0</v>
      </c>
      <c r="AK160">
        <f t="shared" si="118"/>
        <v>0</v>
      </c>
      <c r="AL160">
        <f t="shared" si="119"/>
        <v>0</v>
      </c>
      <c r="AM160">
        <f t="shared" si="120"/>
        <v>0</v>
      </c>
      <c r="AN160">
        <f t="shared" si="121"/>
        <v>0</v>
      </c>
      <c r="AO160">
        <f t="shared" si="122"/>
        <v>0</v>
      </c>
      <c r="AP160">
        <f t="shared" si="123"/>
        <v>0</v>
      </c>
      <c r="AQ160">
        <f t="shared" si="124"/>
        <v>0</v>
      </c>
      <c r="AR160">
        <f t="shared" si="125"/>
        <v>0</v>
      </c>
      <c r="AS160">
        <f t="shared" si="126"/>
        <v>0</v>
      </c>
      <c r="AT160" s="1">
        <f t="shared" si="127"/>
        <v>0</v>
      </c>
      <c r="AU160" s="1">
        <f t="shared" si="128"/>
        <v>0</v>
      </c>
      <c r="AV160">
        <f t="shared" si="129"/>
        <v>0</v>
      </c>
      <c r="AW160">
        <f t="shared" si="130"/>
        <v>0</v>
      </c>
      <c r="AX160">
        <f t="shared" si="131"/>
        <v>0</v>
      </c>
      <c r="AY160">
        <f t="shared" si="132"/>
        <v>0</v>
      </c>
      <c r="AZ160">
        <f t="shared" si="133"/>
        <v>0</v>
      </c>
      <c r="BA160">
        <f t="shared" si="134"/>
        <v>0</v>
      </c>
      <c r="BB160">
        <f t="shared" si="135"/>
        <v>0</v>
      </c>
      <c r="BC160">
        <f t="shared" si="136"/>
        <v>0</v>
      </c>
      <c r="BD160">
        <f t="shared" si="137"/>
        <v>0</v>
      </c>
    </row>
    <row r="161" spans="1:56" x14ac:dyDescent="0.25">
      <c r="A161" s="1">
        <v>144</v>
      </c>
      <c r="B161" s="2">
        <v>0</v>
      </c>
      <c r="C161" s="2">
        <v>0</v>
      </c>
      <c r="D161" s="2">
        <v>0</v>
      </c>
      <c r="E161" s="2">
        <v>0</v>
      </c>
      <c r="F161" s="1">
        <f t="shared" si="138"/>
        <v>0</v>
      </c>
      <c r="G161" s="1">
        <f t="shared" si="139"/>
        <v>0</v>
      </c>
      <c r="H161" s="1">
        <f t="shared" si="140"/>
        <v>0</v>
      </c>
      <c r="I161" s="1">
        <f t="shared" si="141"/>
        <v>0</v>
      </c>
      <c r="J161" s="1">
        <f t="shared" si="142"/>
        <v>0</v>
      </c>
      <c r="K161" s="1">
        <f t="shared" si="143"/>
        <v>0</v>
      </c>
      <c r="L161" s="1">
        <f t="shared" si="144"/>
        <v>0</v>
      </c>
      <c r="M161" s="1">
        <f t="shared" si="145"/>
        <v>0</v>
      </c>
      <c r="N161" s="1">
        <f t="shared" si="146"/>
        <v>0</v>
      </c>
      <c r="O161" s="1">
        <f t="shared" si="147"/>
        <v>-0.64772727272727271</v>
      </c>
      <c r="P161" s="1">
        <f t="shared" si="148"/>
        <v>-3.1477272727272729</v>
      </c>
      <c r="Q161" s="1">
        <f t="shared" si="149"/>
        <v>0</v>
      </c>
      <c r="R161" s="1">
        <f t="shared" si="104"/>
        <v>0</v>
      </c>
      <c r="S161" s="1">
        <f t="shared" si="150"/>
        <v>0</v>
      </c>
      <c r="T161" s="7">
        <f t="shared" si="151"/>
        <v>-0.64772727272727271</v>
      </c>
      <c r="U161" s="7">
        <f t="shared" si="152"/>
        <v>-3.1477272727272729</v>
      </c>
      <c r="V161" s="7">
        <f t="shared" si="153"/>
        <v>-0.64772727272727271</v>
      </c>
      <c r="W161" s="7">
        <f t="shared" si="154"/>
        <v>-3.1477272727272729</v>
      </c>
      <c r="X161" s="1">
        <f t="shared" si="105"/>
        <v>0</v>
      </c>
      <c r="Y161" s="1">
        <f t="shared" si="106"/>
        <v>0</v>
      </c>
      <c r="Z161">
        <f t="shared" si="107"/>
        <v>0</v>
      </c>
      <c r="AA161">
        <f t="shared" si="108"/>
        <v>0</v>
      </c>
      <c r="AB161">
        <f t="shared" si="109"/>
        <v>0</v>
      </c>
      <c r="AC161">
        <f t="shared" si="110"/>
        <v>0</v>
      </c>
      <c r="AD161">
        <f t="shared" si="111"/>
        <v>0</v>
      </c>
      <c r="AE161">
        <f t="shared" si="112"/>
        <v>0</v>
      </c>
      <c r="AF161">
        <f t="shared" si="113"/>
        <v>0</v>
      </c>
      <c r="AG161">
        <f t="shared" si="114"/>
        <v>0</v>
      </c>
      <c r="AH161">
        <f t="shared" si="115"/>
        <v>0</v>
      </c>
      <c r="AI161" s="1">
        <f t="shared" si="116"/>
        <v>0</v>
      </c>
      <c r="AJ161" s="1">
        <f t="shared" si="117"/>
        <v>0</v>
      </c>
      <c r="AK161">
        <f t="shared" si="118"/>
        <v>0</v>
      </c>
      <c r="AL161">
        <f t="shared" si="119"/>
        <v>0</v>
      </c>
      <c r="AM161">
        <f t="shared" si="120"/>
        <v>0</v>
      </c>
      <c r="AN161">
        <f t="shared" si="121"/>
        <v>0</v>
      </c>
      <c r="AO161">
        <f t="shared" si="122"/>
        <v>0</v>
      </c>
      <c r="AP161">
        <f t="shared" si="123"/>
        <v>0</v>
      </c>
      <c r="AQ161">
        <f t="shared" si="124"/>
        <v>0</v>
      </c>
      <c r="AR161">
        <f t="shared" si="125"/>
        <v>0</v>
      </c>
      <c r="AS161">
        <f t="shared" si="126"/>
        <v>0</v>
      </c>
      <c r="AT161" s="1">
        <f t="shared" si="127"/>
        <v>0</v>
      </c>
      <c r="AU161" s="1">
        <f t="shared" si="128"/>
        <v>0</v>
      </c>
      <c r="AV161">
        <f t="shared" si="129"/>
        <v>0</v>
      </c>
      <c r="AW161">
        <f t="shared" si="130"/>
        <v>0</v>
      </c>
      <c r="AX161">
        <f t="shared" si="131"/>
        <v>0</v>
      </c>
      <c r="AY161">
        <f t="shared" si="132"/>
        <v>0</v>
      </c>
      <c r="AZ161">
        <f t="shared" si="133"/>
        <v>0</v>
      </c>
      <c r="BA161">
        <f t="shared" si="134"/>
        <v>0</v>
      </c>
      <c r="BB161">
        <f t="shared" si="135"/>
        <v>0</v>
      </c>
      <c r="BC161">
        <f t="shared" si="136"/>
        <v>0</v>
      </c>
      <c r="BD161">
        <f t="shared" si="137"/>
        <v>0</v>
      </c>
    </row>
    <row r="162" spans="1:56" x14ac:dyDescent="0.25">
      <c r="A162" s="1">
        <v>145</v>
      </c>
      <c r="B162" s="2">
        <v>0</v>
      </c>
      <c r="C162" s="2">
        <v>0</v>
      </c>
      <c r="D162" s="2">
        <v>0</v>
      </c>
      <c r="E162" s="2">
        <v>0</v>
      </c>
      <c r="F162" s="1">
        <f t="shared" si="138"/>
        <v>0</v>
      </c>
      <c r="G162" s="1">
        <f t="shared" si="139"/>
        <v>0</v>
      </c>
      <c r="H162" s="1">
        <f t="shared" si="140"/>
        <v>0</v>
      </c>
      <c r="I162" s="1">
        <f t="shared" si="141"/>
        <v>0</v>
      </c>
      <c r="J162" s="1">
        <f t="shared" si="142"/>
        <v>0</v>
      </c>
      <c r="K162" s="1">
        <f t="shared" si="143"/>
        <v>0</v>
      </c>
      <c r="L162" s="1">
        <f t="shared" si="144"/>
        <v>0</v>
      </c>
      <c r="M162" s="1">
        <f t="shared" si="145"/>
        <v>0</v>
      </c>
      <c r="N162" s="1">
        <f t="shared" si="146"/>
        <v>0</v>
      </c>
      <c r="O162" s="1">
        <f t="shared" si="147"/>
        <v>-0.64772727272727271</v>
      </c>
      <c r="P162" s="1">
        <f t="shared" si="148"/>
        <v>-3.1477272727272729</v>
      </c>
      <c r="Q162" s="1">
        <f t="shared" si="149"/>
        <v>0</v>
      </c>
      <c r="R162" s="1">
        <f t="shared" si="104"/>
        <v>0</v>
      </c>
      <c r="S162" s="1">
        <f t="shared" si="150"/>
        <v>0</v>
      </c>
      <c r="T162" s="7">
        <f t="shared" si="151"/>
        <v>-0.64772727272727271</v>
      </c>
      <c r="U162" s="7">
        <f t="shared" si="152"/>
        <v>-3.1477272727272729</v>
      </c>
      <c r="V162" s="7">
        <f t="shared" si="153"/>
        <v>-0.64772727272727271</v>
      </c>
      <c r="W162" s="7">
        <f t="shared" si="154"/>
        <v>-3.1477272727272729</v>
      </c>
      <c r="X162" s="1">
        <f t="shared" si="105"/>
        <v>0</v>
      </c>
      <c r="Y162" s="1">
        <f t="shared" si="106"/>
        <v>0</v>
      </c>
      <c r="Z162">
        <f t="shared" si="107"/>
        <v>0</v>
      </c>
      <c r="AA162">
        <f t="shared" si="108"/>
        <v>0</v>
      </c>
      <c r="AB162">
        <f t="shared" si="109"/>
        <v>0</v>
      </c>
      <c r="AC162">
        <f t="shared" si="110"/>
        <v>0</v>
      </c>
      <c r="AD162">
        <f t="shared" si="111"/>
        <v>0</v>
      </c>
      <c r="AE162">
        <f t="shared" si="112"/>
        <v>0</v>
      </c>
      <c r="AF162">
        <f t="shared" si="113"/>
        <v>0</v>
      </c>
      <c r="AG162">
        <f t="shared" si="114"/>
        <v>0</v>
      </c>
      <c r="AH162">
        <f t="shared" si="115"/>
        <v>0</v>
      </c>
      <c r="AI162" s="1">
        <f t="shared" si="116"/>
        <v>0</v>
      </c>
      <c r="AJ162" s="1">
        <f t="shared" si="117"/>
        <v>0</v>
      </c>
      <c r="AK162">
        <f t="shared" si="118"/>
        <v>0</v>
      </c>
      <c r="AL162">
        <f t="shared" si="119"/>
        <v>0</v>
      </c>
      <c r="AM162">
        <f t="shared" si="120"/>
        <v>0</v>
      </c>
      <c r="AN162">
        <f t="shared" si="121"/>
        <v>0</v>
      </c>
      <c r="AO162">
        <f t="shared" si="122"/>
        <v>0</v>
      </c>
      <c r="AP162">
        <f t="shared" si="123"/>
        <v>0</v>
      </c>
      <c r="AQ162">
        <f t="shared" si="124"/>
        <v>0</v>
      </c>
      <c r="AR162">
        <f t="shared" si="125"/>
        <v>0</v>
      </c>
      <c r="AS162">
        <f t="shared" si="126"/>
        <v>0</v>
      </c>
      <c r="AT162" s="1">
        <f t="shared" si="127"/>
        <v>0</v>
      </c>
      <c r="AU162" s="1">
        <f t="shared" si="128"/>
        <v>0</v>
      </c>
      <c r="AV162">
        <f t="shared" si="129"/>
        <v>0</v>
      </c>
      <c r="AW162">
        <f t="shared" si="130"/>
        <v>0</v>
      </c>
      <c r="AX162">
        <f t="shared" si="131"/>
        <v>0</v>
      </c>
      <c r="AY162">
        <f t="shared" si="132"/>
        <v>0</v>
      </c>
      <c r="AZ162">
        <f t="shared" si="133"/>
        <v>0</v>
      </c>
      <c r="BA162">
        <f t="shared" si="134"/>
        <v>0</v>
      </c>
      <c r="BB162">
        <f t="shared" si="135"/>
        <v>0</v>
      </c>
      <c r="BC162">
        <f t="shared" si="136"/>
        <v>0</v>
      </c>
      <c r="BD162">
        <f t="shared" si="137"/>
        <v>0</v>
      </c>
    </row>
    <row r="163" spans="1:56" x14ac:dyDescent="0.25">
      <c r="A163" s="1">
        <v>146</v>
      </c>
      <c r="B163" s="2">
        <v>0</v>
      </c>
      <c r="C163" s="2">
        <v>0</v>
      </c>
      <c r="D163" s="2">
        <v>0</v>
      </c>
      <c r="E163" s="2">
        <v>0</v>
      </c>
      <c r="F163" s="1">
        <f t="shared" si="138"/>
        <v>0</v>
      </c>
      <c r="G163" s="1">
        <f t="shared" si="139"/>
        <v>0</v>
      </c>
      <c r="H163" s="1">
        <f t="shared" si="140"/>
        <v>0</v>
      </c>
      <c r="I163" s="1">
        <f t="shared" si="141"/>
        <v>0</v>
      </c>
      <c r="J163" s="1">
        <f t="shared" si="142"/>
        <v>0</v>
      </c>
      <c r="K163" s="1">
        <f t="shared" si="143"/>
        <v>0</v>
      </c>
      <c r="L163" s="1">
        <f t="shared" si="144"/>
        <v>0</v>
      </c>
      <c r="M163" s="1">
        <f t="shared" si="145"/>
        <v>0</v>
      </c>
      <c r="N163" s="1">
        <f t="shared" si="146"/>
        <v>0</v>
      </c>
      <c r="O163" s="1">
        <f t="shared" si="147"/>
        <v>-0.64772727272727271</v>
      </c>
      <c r="P163" s="1">
        <f t="shared" si="148"/>
        <v>-3.1477272727272729</v>
      </c>
      <c r="Q163" s="1">
        <f t="shared" si="149"/>
        <v>0</v>
      </c>
      <c r="R163" s="1">
        <f t="shared" si="104"/>
        <v>0</v>
      </c>
      <c r="S163" s="1">
        <f t="shared" si="150"/>
        <v>0</v>
      </c>
      <c r="T163" s="7">
        <f t="shared" si="151"/>
        <v>-0.64772727272727271</v>
      </c>
      <c r="U163" s="7">
        <f t="shared" si="152"/>
        <v>-3.1477272727272729</v>
      </c>
      <c r="V163" s="7">
        <f t="shared" si="153"/>
        <v>-0.64772727272727271</v>
      </c>
      <c r="W163" s="7">
        <f t="shared" si="154"/>
        <v>-3.1477272727272729</v>
      </c>
      <c r="X163" s="1">
        <f t="shared" si="105"/>
        <v>0</v>
      </c>
      <c r="Y163" s="1">
        <f t="shared" si="106"/>
        <v>0</v>
      </c>
      <c r="Z163">
        <f t="shared" si="107"/>
        <v>0</v>
      </c>
      <c r="AA163">
        <f t="shared" si="108"/>
        <v>0</v>
      </c>
      <c r="AB163">
        <f t="shared" si="109"/>
        <v>0</v>
      </c>
      <c r="AC163">
        <f t="shared" si="110"/>
        <v>0</v>
      </c>
      <c r="AD163">
        <f t="shared" si="111"/>
        <v>0</v>
      </c>
      <c r="AE163">
        <f t="shared" si="112"/>
        <v>0</v>
      </c>
      <c r="AF163">
        <f t="shared" si="113"/>
        <v>0</v>
      </c>
      <c r="AG163">
        <f t="shared" si="114"/>
        <v>0</v>
      </c>
      <c r="AH163">
        <f t="shared" si="115"/>
        <v>0</v>
      </c>
      <c r="AI163" s="1">
        <f t="shared" si="116"/>
        <v>0</v>
      </c>
      <c r="AJ163" s="1">
        <f t="shared" si="117"/>
        <v>0</v>
      </c>
      <c r="AK163">
        <f t="shared" si="118"/>
        <v>0</v>
      </c>
      <c r="AL163">
        <f t="shared" si="119"/>
        <v>0</v>
      </c>
      <c r="AM163">
        <f t="shared" si="120"/>
        <v>0</v>
      </c>
      <c r="AN163">
        <f t="shared" si="121"/>
        <v>0</v>
      </c>
      <c r="AO163">
        <f t="shared" si="122"/>
        <v>0</v>
      </c>
      <c r="AP163">
        <f t="shared" si="123"/>
        <v>0</v>
      </c>
      <c r="AQ163">
        <f t="shared" si="124"/>
        <v>0</v>
      </c>
      <c r="AR163">
        <f t="shared" si="125"/>
        <v>0</v>
      </c>
      <c r="AS163">
        <f t="shared" si="126"/>
        <v>0</v>
      </c>
      <c r="AT163" s="1">
        <f t="shared" si="127"/>
        <v>0</v>
      </c>
      <c r="AU163" s="1">
        <f t="shared" si="128"/>
        <v>0</v>
      </c>
      <c r="AV163">
        <f t="shared" si="129"/>
        <v>0</v>
      </c>
      <c r="AW163">
        <f t="shared" si="130"/>
        <v>0</v>
      </c>
      <c r="AX163">
        <f t="shared" si="131"/>
        <v>0</v>
      </c>
      <c r="AY163">
        <f t="shared" si="132"/>
        <v>0</v>
      </c>
      <c r="AZ163">
        <f t="shared" si="133"/>
        <v>0</v>
      </c>
      <c r="BA163">
        <f t="shared" si="134"/>
        <v>0</v>
      </c>
      <c r="BB163">
        <f t="shared" si="135"/>
        <v>0</v>
      </c>
      <c r="BC163">
        <f t="shared" si="136"/>
        <v>0</v>
      </c>
      <c r="BD163">
        <f t="shared" si="137"/>
        <v>0</v>
      </c>
    </row>
    <row r="164" spans="1:56" x14ac:dyDescent="0.25">
      <c r="A164" s="1">
        <v>147</v>
      </c>
      <c r="B164" s="2">
        <v>0</v>
      </c>
      <c r="C164" s="2">
        <v>0</v>
      </c>
      <c r="D164" s="2">
        <v>0</v>
      </c>
      <c r="E164" s="2">
        <v>0</v>
      </c>
      <c r="F164" s="1">
        <f t="shared" si="138"/>
        <v>0</v>
      </c>
      <c r="G164" s="1">
        <f t="shared" si="139"/>
        <v>0</v>
      </c>
      <c r="H164" s="1">
        <f t="shared" si="140"/>
        <v>0</v>
      </c>
      <c r="I164" s="1">
        <f t="shared" si="141"/>
        <v>0</v>
      </c>
      <c r="J164" s="1">
        <f t="shared" si="142"/>
        <v>0</v>
      </c>
      <c r="K164" s="1">
        <f t="shared" si="143"/>
        <v>0</v>
      </c>
      <c r="L164" s="1">
        <f t="shared" si="144"/>
        <v>0</v>
      </c>
      <c r="M164" s="1">
        <f t="shared" si="145"/>
        <v>0</v>
      </c>
      <c r="N164" s="1">
        <f t="shared" si="146"/>
        <v>0</v>
      </c>
      <c r="O164" s="1">
        <f t="shared" si="147"/>
        <v>-0.64772727272727271</v>
      </c>
      <c r="P164" s="1">
        <f t="shared" si="148"/>
        <v>-3.1477272727272729</v>
      </c>
      <c r="Q164" s="1">
        <f t="shared" si="149"/>
        <v>0</v>
      </c>
      <c r="R164" s="1">
        <f t="shared" si="104"/>
        <v>0</v>
      </c>
      <c r="S164" s="1">
        <f t="shared" si="150"/>
        <v>0</v>
      </c>
      <c r="T164" s="7">
        <f t="shared" si="151"/>
        <v>-0.64772727272727271</v>
      </c>
      <c r="U164" s="7">
        <f t="shared" si="152"/>
        <v>-3.1477272727272729</v>
      </c>
      <c r="V164" s="7">
        <f t="shared" si="153"/>
        <v>-0.64772727272727271</v>
      </c>
      <c r="W164" s="7">
        <f t="shared" si="154"/>
        <v>-3.1477272727272729</v>
      </c>
      <c r="X164" s="1">
        <f t="shared" si="105"/>
        <v>0</v>
      </c>
      <c r="Y164" s="1">
        <f t="shared" si="106"/>
        <v>0</v>
      </c>
      <c r="Z164">
        <f t="shared" si="107"/>
        <v>0</v>
      </c>
      <c r="AA164">
        <f t="shared" si="108"/>
        <v>0</v>
      </c>
      <c r="AB164">
        <f t="shared" si="109"/>
        <v>0</v>
      </c>
      <c r="AC164">
        <f t="shared" si="110"/>
        <v>0</v>
      </c>
      <c r="AD164">
        <f t="shared" si="111"/>
        <v>0</v>
      </c>
      <c r="AE164">
        <f t="shared" si="112"/>
        <v>0</v>
      </c>
      <c r="AF164">
        <f t="shared" si="113"/>
        <v>0</v>
      </c>
      <c r="AG164">
        <f t="shared" si="114"/>
        <v>0</v>
      </c>
      <c r="AH164">
        <f t="shared" si="115"/>
        <v>0</v>
      </c>
      <c r="AI164" s="1">
        <f t="shared" si="116"/>
        <v>0</v>
      </c>
      <c r="AJ164" s="1">
        <f t="shared" si="117"/>
        <v>0</v>
      </c>
      <c r="AK164">
        <f t="shared" si="118"/>
        <v>0</v>
      </c>
      <c r="AL164">
        <f t="shared" si="119"/>
        <v>0</v>
      </c>
      <c r="AM164">
        <f t="shared" si="120"/>
        <v>0</v>
      </c>
      <c r="AN164">
        <f t="shared" si="121"/>
        <v>0</v>
      </c>
      <c r="AO164">
        <f t="shared" si="122"/>
        <v>0</v>
      </c>
      <c r="AP164">
        <f t="shared" si="123"/>
        <v>0</v>
      </c>
      <c r="AQ164">
        <f t="shared" si="124"/>
        <v>0</v>
      </c>
      <c r="AR164">
        <f t="shared" si="125"/>
        <v>0</v>
      </c>
      <c r="AS164">
        <f t="shared" si="126"/>
        <v>0</v>
      </c>
      <c r="AT164" s="1">
        <f t="shared" si="127"/>
        <v>0</v>
      </c>
      <c r="AU164" s="1">
        <f t="shared" si="128"/>
        <v>0</v>
      </c>
      <c r="AV164">
        <f t="shared" si="129"/>
        <v>0</v>
      </c>
      <c r="AW164">
        <f t="shared" si="130"/>
        <v>0</v>
      </c>
      <c r="AX164">
        <f t="shared" si="131"/>
        <v>0</v>
      </c>
      <c r="AY164">
        <f t="shared" si="132"/>
        <v>0</v>
      </c>
      <c r="AZ164">
        <f t="shared" si="133"/>
        <v>0</v>
      </c>
      <c r="BA164">
        <f t="shared" si="134"/>
        <v>0</v>
      </c>
      <c r="BB164">
        <f t="shared" si="135"/>
        <v>0</v>
      </c>
      <c r="BC164">
        <f t="shared" si="136"/>
        <v>0</v>
      </c>
      <c r="BD164">
        <f t="shared" si="137"/>
        <v>0</v>
      </c>
    </row>
    <row r="165" spans="1:56" x14ac:dyDescent="0.25">
      <c r="A165" s="1">
        <v>148</v>
      </c>
      <c r="B165" s="2">
        <v>0</v>
      </c>
      <c r="C165" s="2">
        <v>0</v>
      </c>
      <c r="D165" s="2">
        <v>0</v>
      </c>
      <c r="E165" s="2">
        <v>0</v>
      </c>
      <c r="F165" s="1">
        <f t="shared" si="138"/>
        <v>0</v>
      </c>
      <c r="G165" s="1">
        <f t="shared" si="139"/>
        <v>0</v>
      </c>
      <c r="H165" s="1">
        <f t="shared" si="140"/>
        <v>0</v>
      </c>
      <c r="I165" s="1">
        <f t="shared" si="141"/>
        <v>0</v>
      </c>
      <c r="J165" s="1">
        <f t="shared" si="142"/>
        <v>0</v>
      </c>
      <c r="K165" s="1">
        <f t="shared" si="143"/>
        <v>0</v>
      </c>
      <c r="L165" s="1">
        <f t="shared" si="144"/>
        <v>0</v>
      </c>
      <c r="M165" s="1">
        <f t="shared" si="145"/>
        <v>0</v>
      </c>
      <c r="N165" s="1">
        <f t="shared" si="146"/>
        <v>0</v>
      </c>
      <c r="O165" s="1">
        <f t="shared" si="147"/>
        <v>-0.64772727272727271</v>
      </c>
      <c r="P165" s="1">
        <f t="shared" si="148"/>
        <v>-3.1477272727272729</v>
      </c>
      <c r="Q165" s="1">
        <f t="shared" si="149"/>
        <v>0</v>
      </c>
      <c r="R165" s="1">
        <f t="shared" si="104"/>
        <v>0</v>
      </c>
      <c r="S165" s="1">
        <f t="shared" si="150"/>
        <v>0</v>
      </c>
      <c r="T165" s="7">
        <f t="shared" si="151"/>
        <v>-0.64772727272727271</v>
      </c>
      <c r="U165" s="7">
        <f t="shared" si="152"/>
        <v>-3.1477272727272729</v>
      </c>
      <c r="V165" s="7">
        <f t="shared" si="153"/>
        <v>-0.64772727272727271</v>
      </c>
      <c r="W165" s="7">
        <f t="shared" si="154"/>
        <v>-3.1477272727272729</v>
      </c>
      <c r="X165" s="1">
        <f t="shared" si="105"/>
        <v>0</v>
      </c>
      <c r="Y165" s="1">
        <f t="shared" si="106"/>
        <v>0</v>
      </c>
      <c r="Z165">
        <f t="shared" si="107"/>
        <v>0</v>
      </c>
      <c r="AA165">
        <f t="shared" si="108"/>
        <v>0</v>
      </c>
      <c r="AB165">
        <f t="shared" si="109"/>
        <v>0</v>
      </c>
      <c r="AC165">
        <f t="shared" si="110"/>
        <v>0</v>
      </c>
      <c r="AD165">
        <f t="shared" si="111"/>
        <v>0</v>
      </c>
      <c r="AE165">
        <f t="shared" si="112"/>
        <v>0</v>
      </c>
      <c r="AF165">
        <f t="shared" si="113"/>
        <v>0</v>
      </c>
      <c r="AG165">
        <f t="shared" si="114"/>
        <v>0</v>
      </c>
      <c r="AH165">
        <f t="shared" si="115"/>
        <v>0</v>
      </c>
      <c r="AI165" s="1">
        <f t="shared" si="116"/>
        <v>0</v>
      </c>
      <c r="AJ165" s="1">
        <f t="shared" si="117"/>
        <v>0</v>
      </c>
      <c r="AK165">
        <f t="shared" si="118"/>
        <v>0</v>
      </c>
      <c r="AL165">
        <f t="shared" si="119"/>
        <v>0</v>
      </c>
      <c r="AM165">
        <f t="shared" si="120"/>
        <v>0</v>
      </c>
      <c r="AN165">
        <f t="shared" si="121"/>
        <v>0</v>
      </c>
      <c r="AO165">
        <f t="shared" si="122"/>
        <v>0</v>
      </c>
      <c r="AP165">
        <f t="shared" si="123"/>
        <v>0</v>
      </c>
      <c r="AQ165">
        <f t="shared" si="124"/>
        <v>0</v>
      </c>
      <c r="AR165">
        <f t="shared" si="125"/>
        <v>0</v>
      </c>
      <c r="AS165">
        <f t="shared" si="126"/>
        <v>0</v>
      </c>
      <c r="AT165" s="1">
        <f t="shared" si="127"/>
        <v>0</v>
      </c>
      <c r="AU165" s="1">
        <f t="shared" si="128"/>
        <v>0</v>
      </c>
      <c r="AV165">
        <f t="shared" si="129"/>
        <v>0</v>
      </c>
      <c r="AW165">
        <f t="shared" si="130"/>
        <v>0</v>
      </c>
      <c r="AX165">
        <f t="shared" si="131"/>
        <v>0</v>
      </c>
      <c r="AY165">
        <f t="shared" si="132"/>
        <v>0</v>
      </c>
      <c r="AZ165">
        <f t="shared" si="133"/>
        <v>0</v>
      </c>
      <c r="BA165">
        <f t="shared" si="134"/>
        <v>0</v>
      </c>
      <c r="BB165">
        <f t="shared" si="135"/>
        <v>0</v>
      </c>
      <c r="BC165">
        <f t="shared" si="136"/>
        <v>0</v>
      </c>
      <c r="BD165">
        <f t="shared" si="137"/>
        <v>0</v>
      </c>
    </row>
    <row r="166" spans="1:56" x14ac:dyDescent="0.25">
      <c r="A166" s="1">
        <v>149</v>
      </c>
      <c r="B166" s="2">
        <v>0</v>
      </c>
      <c r="C166" s="2">
        <v>0</v>
      </c>
      <c r="D166" s="2">
        <v>0</v>
      </c>
      <c r="E166" s="2">
        <v>0</v>
      </c>
      <c r="F166" s="1">
        <f t="shared" si="138"/>
        <v>0</v>
      </c>
      <c r="G166" s="1">
        <f t="shared" si="139"/>
        <v>0</v>
      </c>
      <c r="H166" s="1">
        <f t="shared" si="140"/>
        <v>0</v>
      </c>
      <c r="I166" s="1">
        <f t="shared" si="141"/>
        <v>0</v>
      </c>
      <c r="J166" s="1">
        <f t="shared" si="142"/>
        <v>0</v>
      </c>
      <c r="K166" s="1">
        <f t="shared" si="143"/>
        <v>0</v>
      </c>
      <c r="L166" s="1">
        <f t="shared" si="144"/>
        <v>0</v>
      </c>
      <c r="M166" s="1">
        <f t="shared" si="145"/>
        <v>0</v>
      </c>
      <c r="N166" s="1">
        <f t="shared" si="146"/>
        <v>0</v>
      </c>
      <c r="O166" s="1">
        <f t="shared" si="147"/>
        <v>-0.64772727272727271</v>
      </c>
      <c r="P166" s="1">
        <f t="shared" si="148"/>
        <v>-3.1477272727272729</v>
      </c>
      <c r="Q166" s="1">
        <f t="shared" si="149"/>
        <v>0</v>
      </c>
      <c r="R166" s="1">
        <f t="shared" si="104"/>
        <v>0</v>
      </c>
      <c r="S166" s="1">
        <f t="shared" si="150"/>
        <v>0</v>
      </c>
      <c r="T166" s="7">
        <f t="shared" si="151"/>
        <v>-0.64772727272727271</v>
      </c>
      <c r="U166" s="7">
        <f t="shared" si="152"/>
        <v>-3.1477272727272729</v>
      </c>
      <c r="V166" s="7">
        <f t="shared" si="153"/>
        <v>-0.64772727272727271</v>
      </c>
      <c r="W166" s="7">
        <f t="shared" si="154"/>
        <v>-3.1477272727272729</v>
      </c>
      <c r="X166" s="1">
        <f t="shared" si="105"/>
        <v>0</v>
      </c>
      <c r="Y166" s="1">
        <f t="shared" si="106"/>
        <v>0</v>
      </c>
      <c r="Z166">
        <f t="shared" si="107"/>
        <v>0</v>
      </c>
      <c r="AA166">
        <f t="shared" si="108"/>
        <v>0</v>
      </c>
      <c r="AB166">
        <f t="shared" si="109"/>
        <v>0</v>
      </c>
      <c r="AC166">
        <f t="shared" si="110"/>
        <v>0</v>
      </c>
      <c r="AD166">
        <f t="shared" si="111"/>
        <v>0</v>
      </c>
      <c r="AE166">
        <f t="shared" si="112"/>
        <v>0</v>
      </c>
      <c r="AF166">
        <f t="shared" si="113"/>
        <v>0</v>
      </c>
      <c r="AG166">
        <f t="shared" si="114"/>
        <v>0</v>
      </c>
      <c r="AH166">
        <f t="shared" si="115"/>
        <v>0</v>
      </c>
      <c r="AI166" s="1">
        <f t="shared" si="116"/>
        <v>0</v>
      </c>
      <c r="AJ166" s="1">
        <f t="shared" si="117"/>
        <v>0</v>
      </c>
      <c r="AK166">
        <f t="shared" si="118"/>
        <v>0</v>
      </c>
      <c r="AL166">
        <f t="shared" si="119"/>
        <v>0</v>
      </c>
      <c r="AM166">
        <f t="shared" si="120"/>
        <v>0</v>
      </c>
      <c r="AN166">
        <f t="shared" si="121"/>
        <v>0</v>
      </c>
      <c r="AO166">
        <f t="shared" si="122"/>
        <v>0</v>
      </c>
      <c r="AP166">
        <f t="shared" si="123"/>
        <v>0</v>
      </c>
      <c r="AQ166">
        <f t="shared" si="124"/>
        <v>0</v>
      </c>
      <c r="AR166">
        <f t="shared" si="125"/>
        <v>0</v>
      </c>
      <c r="AS166">
        <f t="shared" si="126"/>
        <v>0</v>
      </c>
      <c r="AT166" s="1">
        <f t="shared" si="127"/>
        <v>0</v>
      </c>
      <c r="AU166" s="1">
        <f t="shared" si="128"/>
        <v>0</v>
      </c>
      <c r="AV166">
        <f t="shared" si="129"/>
        <v>0</v>
      </c>
      <c r="AW166">
        <f t="shared" si="130"/>
        <v>0</v>
      </c>
      <c r="AX166">
        <f t="shared" si="131"/>
        <v>0</v>
      </c>
      <c r="AY166">
        <f t="shared" si="132"/>
        <v>0</v>
      </c>
      <c r="AZ166">
        <f t="shared" si="133"/>
        <v>0</v>
      </c>
      <c r="BA166">
        <f t="shared" si="134"/>
        <v>0</v>
      </c>
      <c r="BB166">
        <f t="shared" si="135"/>
        <v>0</v>
      </c>
      <c r="BC166">
        <f t="shared" si="136"/>
        <v>0</v>
      </c>
      <c r="BD166">
        <f t="shared" si="137"/>
        <v>0</v>
      </c>
    </row>
    <row r="167" spans="1:56" x14ac:dyDescent="0.25">
      <c r="A167" s="1">
        <v>150</v>
      </c>
      <c r="B167" s="2">
        <v>0</v>
      </c>
      <c r="C167" s="2">
        <v>0</v>
      </c>
      <c r="D167" s="2">
        <v>0</v>
      </c>
      <c r="E167" s="2">
        <v>0</v>
      </c>
      <c r="F167" s="1">
        <f t="shared" si="138"/>
        <v>0</v>
      </c>
      <c r="G167" s="1">
        <f t="shared" si="139"/>
        <v>0</v>
      </c>
      <c r="H167" s="1">
        <f t="shared" si="140"/>
        <v>0</v>
      </c>
      <c r="I167" s="1">
        <f t="shared" si="141"/>
        <v>0</v>
      </c>
      <c r="J167" s="1">
        <f t="shared" si="142"/>
        <v>0</v>
      </c>
      <c r="K167" s="1">
        <f t="shared" si="143"/>
        <v>0</v>
      </c>
      <c r="L167" s="1">
        <f t="shared" si="144"/>
        <v>0</v>
      </c>
      <c r="M167" s="1">
        <f t="shared" si="145"/>
        <v>0</v>
      </c>
      <c r="N167" s="1">
        <f t="shared" si="146"/>
        <v>0</v>
      </c>
      <c r="O167" s="1">
        <f t="shared" si="147"/>
        <v>-0.64772727272727271</v>
      </c>
      <c r="P167" s="1">
        <f t="shared" si="148"/>
        <v>-3.1477272727272729</v>
      </c>
      <c r="Q167" s="1">
        <f t="shared" si="149"/>
        <v>0</v>
      </c>
      <c r="R167" s="1">
        <f t="shared" si="104"/>
        <v>0</v>
      </c>
      <c r="S167" s="1">
        <f t="shared" si="150"/>
        <v>0</v>
      </c>
      <c r="T167" s="7">
        <f t="shared" si="151"/>
        <v>-0.64772727272727271</v>
      </c>
      <c r="U167" s="7">
        <f t="shared" si="152"/>
        <v>-3.1477272727272729</v>
      </c>
      <c r="V167" s="7">
        <f t="shared" si="153"/>
        <v>-0.64772727272727271</v>
      </c>
      <c r="W167" s="7">
        <f t="shared" si="154"/>
        <v>-3.1477272727272729</v>
      </c>
      <c r="X167" s="1">
        <f t="shared" si="105"/>
        <v>0</v>
      </c>
      <c r="Y167" s="1">
        <f t="shared" si="106"/>
        <v>0</v>
      </c>
      <c r="Z167">
        <f t="shared" si="107"/>
        <v>0</v>
      </c>
      <c r="AA167">
        <f t="shared" si="108"/>
        <v>0</v>
      </c>
      <c r="AB167">
        <f t="shared" si="109"/>
        <v>0</v>
      </c>
      <c r="AC167">
        <f t="shared" si="110"/>
        <v>0</v>
      </c>
      <c r="AD167">
        <f t="shared" si="111"/>
        <v>0</v>
      </c>
      <c r="AE167">
        <f t="shared" si="112"/>
        <v>0</v>
      </c>
      <c r="AF167">
        <f t="shared" si="113"/>
        <v>0</v>
      </c>
      <c r="AG167">
        <f t="shared" si="114"/>
        <v>0</v>
      </c>
      <c r="AH167">
        <f t="shared" si="115"/>
        <v>0</v>
      </c>
      <c r="AI167" s="1">
        <f t="shared" si="116"/>
        <v>0</v>
      </c>
      <c r="AJ167" s="1">
        <f t="shared" si="117"/>
        <v>0</v>
      </c>
      <c r="AK167">
        <f t="shared" si="118"/>
        <v>0</v>
      </c>
      <c r="AL167">
        <f t="shared" si="119"/>
        <v>0</v>
      </c>
      <c r="AM167">
        <f t="shared" si="120"/>
        <v>0</v>
      </c>
      <c r="AN167">
        <f t="shared" si="121"/>
        <v>0</v>
      </c>
      <c r="AO167">
        <f t="shared" si="122"/>
        <v>0</v>
      </c>
      <c r="AP167">
        <f t="shared" si="123"/>
        <v>0</v>
      </c>
      <c r="AQ167">
        <f t="shared" si="124"/>
        <v>0</v>
      </c>
      <c r="AR167">
        <f t="shared" si="125"/>
        <v>0</v>
      </c>
      <c r="AS167">
        <f t="shared" si="126"/>
        <v>0</v>
      </c>
      <c r="AT167" s="1">
        <f t="shared" si="127"/>
        <v>0</v>
      </c>
      <c r="AU167" s="1">
        <f t="shared" si="128"/>
        <v>0</v>
      </c>
      <c r="AV167">
        <f t="shared" si="129"/>
        <v>0</v>
      </c>
      <c r="AW167">
        <f t="shared" si="130"/>
        <v>0</v>
      </c>
      <c r="AX167">
        <f t="shared" si="131"/>
        <v>0</v>
      </c>
      <c r="AY167">
        <f t="shared" si="132"/>
        <v>0</v>
      </c>
      <c r="AZ167">
        <f t="shared" si="133"/>
        <v>0</v>
      </c>
      <c r="BA167">
        <f t="shared" si="134"/>
        <v>0</v>
      </c>
      <c r="BB167">
        <f t="shared" si="135"/>
        <v>0</v>
      </c>
      <c r="BC167">
        <f t="shared" si="136"/>
        <v>0</v>
      </c>
      <c r="BD167">
        <f t="shared" si="137"/>
        <v>0</v>
      </c>
    </row>
    <row r="168" spans="1:56" x14ac:dyDescent="0.25">
      <c r="A168" s="1">
        <v>151</v>
      </c>
      <c r="B168" s="2">
        <v>0</v>
      </c>
      <c r="C168" s="2">
        <v>0</v>
      </c>
      <c r="D168" s="2">
        <v>0</v>
      </c>
      <c r="E168" s="2">
        <v>0</v>
      </c>
      <c r="F168" s="1">
        <f t="shared" si="138"/>
        <v>0</v>
      </c>
      <c r="G168" s="1">
        <f t="shared" si="139"/>
        <v>0</v>
      </c>
      <c r="H168" s="1">
        <f t="shared" si="140"/>
        <v>0</v>
      </c>
      <c r="I168" s="1">
        <f t="shared" si="141"/>
        <v>0</v>
      </c>
      <c r="J168" s="1">
        <f t="shared" si="142"/>
        <v>0</v>
      </c>
      <c r="K168" s="1">
        <f t="shared" si="143"/>
        <v>0</v>
      </c>
      <c r="L168" s="1">
        <f t="shared" si="144"/>
        <v>0</v>
      </c>
      <c r="M168" s="1">
        <f t="shared" si="145"/>
        <v>0</v>
      </c>
      <c r="N168" s="1">
        <f t="shared" si="146"/>
        <v>0</v>
      </c>
      <c r="O168" s="1">
        <f t="shared" si="147"/>
        <v>-0.64772727272727271</v>
      </c>
      <c r="P168" s="1">
        <f t="shared" si="148"/>
        <v>-3.1477272727272729</v>
      </c>
      <c r="Q168" s="1">
        <f t="shared" si="149"/>
        <v>0</v>
      </c>
      <c r="R168" s="1">
        <f t="shared" si="104"/>
        <v>0</v>
      </c>
      <c r="S168" s="1">
        <f t="shared" si="150"/>
        <v>0</v>
      </c>
      <c r="T168" s="7">
        <f t="shared" si="151"/>
        <v>-0.64772727272727271</v>
      </c>
      <c r="U168" s="7">
        <f t="shared" si="152"/>
        <v>-3.1477272727272729</v>
      </c>
      <c r="V168" s="7">
        <f t="shared" si="153"/>
        <v>-0.64772727272727271</v>
      </c>
      <c r="W168" s="7">
        <f t="shared" si="154"/>
        <v>-3.1477272727272729</v>
      </c>
      <c r="X168" s="1">
        <f t="shared" si="105"/>
        <v>0</v>
      </c>
      <c r="Y168" s="1">
        <f t="shared" si="106"/>
        <v>0</v>
      </c>
      <c r="Z168">
        <f t="shared" si="107"/>
        <v>0</v>
      </c>
      <c r="AA168">
        <f t="shared" si="108"/>
        <v>0</v>
      </c>
      <c r="AB168">
        <f t="shared" si="109"/>
        <v>0</v>
      </c>
      <c r="AC168">
        <f t="shared" si="110"/>
        <v>0</v>
      </c>
      <c r="AD168">
        <f t="shared" si="111"/>
        <v>0</v>
      </c>
      <c r="AE168">
        <f t="shared" si="112"/>
        <v>0</v>
      </c>
      <c r="AF168">
        <f t="shared" si="113"/>
        <v>0</v>
      </c>
      <c r="AG168">
        <f t="shared" si="114"/>
        <v>0</v>
      </c>
      <c r="AH168">
        <f t="shared" si="115"/>
        <v>0</v>
      </c>
      <c r="AI168" s="1">
        <f t="shared" si="116"/>
        <v>0</v>
      </c>
      <c r="AJ168" s="1">
        <f t="shared" si="117"/>
        <v>0</v>
      </c>
      <c r="AK168">
        <f t="shared" si="118"/>
        <v>0</v>
      </c>
      <c r="AL168">
        <f t="shared" si="119"/>
        <v>0</v>
      </c>
      <c r="AM168">
        <f t="shared" si="120"/>
        <v>0</v>
      </c>
      <c r="AN168">
        <f t="shared" si="121"/>
        <v>0</v>
      </c>
      <c r="AO168">
        <f t="shared" si="122"/>
        <v>0</v>
      </c>
      <c r="AP168">
        <f t="shared" si="123"/>
        <v>0</v>
      </c>
      <c r="AQ168">
        <f t="shared" si="124"/>
        <v>0</v>
      </c>
      <c r="AR168">
        <f t="shared" si="125"/>
        <v>0</v>
      </c>
      <c r="AS168">
        <f t="shared" si="126"/>
        <v>0</v>
      </c>
      <c r="AT168" s="1">
        <f t="shared" si="127"/>
        <v>0</v>
      </c>
      <c r="AU168" s="1">
        <f t="shared" si="128"/>
        <v>0</v>
      </c>
      <c r="AV168">
        <f t="shared" si="129"/>
        <v>0</v>
      </c>
      <c r="AW168">
        <f t="shared" si="130"/>
        <v>0</v>
      </c>
      <c r="AX168">
        <f t="shared" si="131"/>
        <v>0</v>
      </c>
      <c r="AY168">
        <f t="shared" si="132"/>
        <v>0</v>
      </c>
      <c r="AZ168">
        <f t="shared" si="133"/>
        <v>0</v>
      </c>
      <c r="BA168">
        <f t="shared" si="134"/>
        <v>0</v>
      </c>
      <c r="BB168">
        <f t="shared" si="135"/>
        <v>0</v>
      </c>
      <c r="BC168">
        <f t="shared" si="136"/>
        <v>0</v>
      </c>
      <c r="BD168">
        <f t="shared" si="137"/>
        <v>0</v>
      </c>
    </row>
    <row r="169" spans="1:56" x14ac:dyDescent="0.25">
      <c r="A169" s="1">
        <v>152</v>
      </c>
      <c r="B169" s="2">
        <v>0</v>
      </c>
      <c r="C169" s="2">
        <v>0</v>
      </c>
      <c r="D169" s="2">
        <v>0</v>
      </c>
      <c r="E169" s="2">
        <v>0</v>
      </c>
      <c r="F169" s="1">
        <f t="shared" si="138"/>
        <v>0</v>
      </c>
      <c r="G169" s="1">
        <f t="shared" si="139"/>
        <v>0</v>
      </c>
      <c r="H169" s="1">
        <f t="shared" si="140"/>
        <v>0</v>
      </c>
      <c r="I169" s="1">
        <f t="shared" si="141"/>
        <v>0</v>
      </c>
      <c r="J169" s="1">
        <f t="shared" si="142"/>
        <v>0</v>
      </c>
      <c r="K169" s="1">
        <f t="shared" si="143"/>
        <v>0</v>
      </c>
      <c r="L169" s="1">
        <f t="shared" si="144"/>
        <v>0</v>
      </c>
      <c r="M169" s="1">
        <f t="shared" si="145"/>
        <v>0</v>
      </c>
      <c r="N169" s="1">
        <f t="shared" si="146"/>
        <v>0</v>
      </c>
      <c r="O169" s="1">
        <f t="shared" si="147"/>
        <v>-0.64772727272727271</v>
      </c>
      <c r="P169" s="1">
        <f t="shared" si="148"/>
        <v>-3.1477272727272729</v>
      </c>
      <c r="Q169" s="1">
        <f t="shared" si="149"/>
        <v>0</v>
      </c>
      <c r="R169" s="1">
        <f t="shared" si="104"/>
        <v>0</v>
      </c>
      <c r="S169" s="1">
        <f t="shared" si="150"/>
        <v>0</v>
      </c>
      <c r="T169" s="7">
        <f t="shared" si="151"/>
        <v>-0.64772727272727271</v>
      </c>
      <c r="U169" s="7">
        <f t="shared" si="152"/>
        <v>-3.1477272727272729</v>
      </c>
      <c r="V169" s="7">
        <f t="shared" si="153"/>
        <v>-0.64772727272727271</v>
      </c>
      <c r="W169" s="7">
        <f t="shared" si="154"/>
        <v>-3.1477272727272729</v>
      </c>
      <c r="X169" s="1">
        <f t="shared" si="105"/>
        <v>0</v>
      </c>
      <c r="Y169" s="1">
        <f t="shared" si="106"/>
        <v>0</v>
      </c>
      <c r="Z169">
        <f t="shared" si="107"/>
        <v>0</v>
      </c>
      <c r="AA169">
        <f t="shared" si="108"/>
        <v>0</v>
      </c>
      <c r="AB169">
        <f t="shared" si="109"/>
        <v>0</v>
      </c>
      <c r="AC169">
        <f t="shared" si="110"/>
        <v>0</v>
      </c>
      <c r="AD169">
        <f t="shared" si="111"/>
        <v>0</v>
      </c>
      <c r="AE169">
        <f t="shared" si="112"/>
        <v>0</v>
      </c>
      <c r="AF169">
        <f t="shared" si="113"/>
        <v>0</v>
      </c>
      <c r="AG169">
        <f t="shared" si="114"/>
        <v>0</v>
      </c>
      <c r="AH169">
        <f t="shared" si="115"/>
        <v>0</v>
      </c>
      <c r="AI169" s="1">
        <f t="shared" si="116"/>
        <v>0</v>
      </c>
      <c r="AJ169" s="1">
        <f t="shared" si="117"/>
        <v>0</v>
      </c>
      <c r="AK169">
        <f t="shared" si="118"/>
        <v>0</v>
      </c>
      <c r="AL169">
        <f t="shared" si="119"/>
        <v>0</v>
      </c>
      <c r="AM169">
        <f t="shared" si="120"/>
        <v>0</v>
      </c>
      <c r="AN169">
        <f t="shared" si="121"/>
        <v>0</v>
      </c>
      <c r="AO169">
        <f t="shared" si="122"/>
        <v>0</v>
      </c>
      <c r="AP169">
        <f t="shared" si="123"/>
        <v>0</v>
      </c>
      <c r="AQ169">
        <f t="shared" si="124"/>
        <v>0</v>
      </c>
      <c r="AR169">
        <f t="shared" si="125"/>
        <v>0</v>
      </c>
      <c r="AS169">
        <f t="shared" si="126"/>
        <v>0</v>
      </c>
      <c r="AT169" s="1">
        <f t="shared" si="127"/>
        <v>0</v>
      </c>
      <c r="AU169" s="1">
        <f t="shared" si="128"/>
        <v>0</v>
      </c>
      <c r="AV169">
        <f t="shared" si="129"/>
        <v>0</v>
      </c>
      <c r="AW169">
        <f t="shared" si="130"/>
        <v>0</v>
      </c>
      <c r="AX169">
        <f t="shared" si="131"/>
        <v>0</v>
      </c>
      <c r="AY169">
        <f t="shared" si="132"/>
        <v>0</v>
      </c>
      <c r="AZ169">
        <f t="shared" si="133"/>
        <v>0</v>
      </c>
      <c r="BA169">
        <f t="shared" si="134"/>
        <v>0</v>
      </c>
      <c r="BB169">
        <f t="shared" si="135"/>
        <v>0</v>
      </c>
      <c r="BC169">
        <f t="shared" si="136"/>
        <v>0</v>
      </c>
      <c r="BD169">
        <f t="shared" si="137"/>
        <v>0</v>
      </c>
    </row>
    <row r="170" spans="1:56" x14ac:dyDescent="0.25">
      <c r="A170" s="1">
        <v>153</v>
      </c>
      <c r="B170" s="2">
        <v>0</v>
      </c>
      <c r="C170" s="2">
        <v>0</v>
      </c>
      <c r="D170" s="2">
        <v>0</v>
      </c>
      <c r="E170" s="2">
        <v>0</v>
      </c>
      <c r="F170" s="1">
        <f t="shared" si="138"/>
        <v>0</v>
      </c>
      <c r="G170" s="1">
        <f t="shared" si="139"/>
        <v>0</v>
      </c>
      <c r="H170" s="1">
        <f t="shared" si="140"/>
        <v>0</v>
      </c>
      <c r="I170" s="1">
        <f t="shared" si="141"/>
        <v>0</v>
      </c>
      <c r="J170" s="1">
        <f t="shared" si="142"/>
        <v>0</v>
      </c>
      <c r="K170" s="1">
        <f t="shared" si="143"/>
        <v>0</v>
      </c>
      <c r="L170" s="1">
        <f t="shared" si="144"/>
        <v>0</v>
      </c>
      <c r="M170" s="1">
        <f t="shared" si="145"/>
        <v>0</v>
      </c>
      <c r="N170" s="1">
        <f t="shared" si="146"/>
        <v>0</v>
      </c>
      <c r="O170" s="1">
        <f t="shared" si="147"/>
        <v>-0.64772727272727271</v>
      </c>
      <c r="P170" s="1">
        <f t="shared" si="148"/>
        <v>-3.1477272727272729</v>
      </c>
      <c r="Q170" s="1">
        <f t="shared" si="149"/>
        <v>0</v>
      </c>
      <c r="R170" s="1">
        <f t="shared" si="104"/>
        <v>0</v>
      </c>
      <c r="S170" s="1">
        <f t="shared" si="150"/>
        <v>0</v>
      </c>
      <c r="T170" s="7">
        <f t="shared" si="151"/>
        <v>-0.64772727272727271</v>
      </c>
      <c r="U170" s="7">
        <f t="shared" si="152"/>
        <v>-3.1477272727272729</v>
      </c>
      <c r="V170" s="7">
        <f t="shared" si="153"/>
        <v>-0.64772727272727271</v>
      </c>
      <c r="W170" s="7">
        <f t="shared" si="154"/>
        <v>-3.1477272727272729</v>
      </c>
      <c r="X170" s="1">
        <f t="shared" si="105"/>
        <v>0</v>
      </c>
      <c r="Y170" s="1">
        <f t="shared" si="106"/>
        <v>0</v>
      </c>
      <c r="Z170">
        <f t="shared" si="107"/>
        <v>0</v>
      </c>
      <c r="AA170">
        <f t="shared" si="108"/>
        <v>0</v>
      </c>
      <c r="AB170">
        <f t="shared" si="109"/>
        <v>0</v>
      </c>
      <c r="AC170">
        <f t="shared" si="110"/>
        <v>0</v>
      </c>
      <c r="AD170">
        <f t="shared" si="111"/>
        <v>0</v>
      </c>
      <c r="AE170">
        <f t="shared" si="112"/>
        <v>0</v>
      </c>
      <c r="AF170">
        <f t="shared" si="113"/>
        <v>0</v>
      </c>
      <c r="AG170">
        <f t="shared" si="114"/>
        <v>0</v>
      </c>
      <c r="AH170">
        <f t="shared" si="115"/>
        <v>0</v>
      </c>
      <c r="AI170" s="1">
        <f t="shared" si="116"/>
        <v>0</v>
      </c>
      <c r="AJ170" s="1">
        <f t="shared" si="117"/>
        <v>0</v>
      </c>
      <c r="AK170">
        <f t="shared" si="118"/>
        <v>0</v>
      </c>
      <c r="AL170">
        <f t="shared" si="119"/>
        <v>0</v>
      </c>
      <c r="AM170">
        <f t="shared" si="120"/>
        <v>0</v>
      </c>
      <c r="AN170">
        <f t="shared" si="121"/>
        <v>0</v>
      </c>
      <c r="AO170">
        <f t="shared" si="122"/>
        <v>0</v>
      </c>
      <c r="AP170">
        <f t="shared" si="123"/>
        <v>0</v>
      </c>
      <c r="AQ170">
        <f t="shared" si="124"/>
        <v>0</v>
      </c>
      <c r="AR170">
        <f t="shared" si="125"/>
        <v>0</v>
      </c>
      <c r="AS170">
        <f t="shared" si="126"/>
        <v>0</v>
      </c>
      <c r="AT170" s="1">
        <f t="shared" si="127"/>
        <v>0</v>
      </c>
      <c r="AU170" s="1">
        <f t="shared" si="128"/>
        <v>0</v>
      </c>
      <c r="AV170">
        <f t="shared" si="129"/>
        <v>0</v>
      </c>
      <c r="AW170">
        <f t="shared" si="130"/>
        <v>0</v>
      </c>
      <c r="AX170">
        <f t="shared" si="131"/>
        <v>0</v>
      </c>
      <c r="AY170">
        <f t="shared" si="132"/>
        <v>0</v>
      </c>
      <c r="AZ170">
        <f t="shared" si="133"/>
        <v>0</v>
      </c>
      <c r="BA170">
        <f t="shared" si="134"/>
        <v>0</v>
      </c>
      <c r="BB170">
        <f t="shared" si="135"/>
        <v>0</v>
      </c>
      <c r="BC170">
        <f t="shared" si="136"/>
        <v>0</v>
      </c>
      <c r="BD170">
        <f t="shared" si="137"/>
        <v>0</v>
      </c>
    </row>
    <row r="171" spans="1:56" x14ac:dyDescent="0.25">
      <c r="A171" s="1">
        <v>154</v>
      </c>
      <c r="B171" s="2">
        <v>0</v>
      </c>
      <c r="C171" s="2">
        <v>0</v>
      </c>
      <c r="D171" s="2">
        <v>0</v>
      </c>
      <c r="E171" s="2">
        <v>0</v>
      </c>
      <c r="F171" s="1">
        <f t="shared" si="138"/>
        <v>0</v>
      </c>
      <c r="G171" s="1">
        <f t="shared" si="139"/>
        <v>0</v>
      </c>
      <c r="H171" s="1">
        <f t="shared" si="140"/>
        <v>0</v>
      </c>
      <c r="I171" s="1">
        <f t="shared" si="141"/>
        <v>0</v>
      </c>
      <c r="J171" s="1">
        <f t="shared" si="142"/>
        <v>0</v>
      </c>
      <c r="K171" s="1">
        <f t="shared" si="143"/>
        <v>0</v>
      </c>
      <c r="L171" s="1">
        <f t="shared" si="144"/>
        <v>0</v>
      </c>
      <c r="M171" s="1">
        <f t="shared" si="145"/>
        <v>0</v>
      </c>
      <c r="N171" s="1">
        <f t="shared" si="146"/>
        <v>0</v>
      </c>
      <c r="O171" s="1">
        <f t="shared" si="147"/>
        <v>-0.64772727272727271</v>
      </c>
      <c r="P171" s="1">
        <f t="shared" si="148"/>
        <v>-3.1477272727272729</v>
      </c>
      <c r="Q171" s="1">
        <f t="shared" si="149"/>
        <v>0</v>
      </c>
      <c r="R171" s="1">
        <f t="shared" si="104"/>
        <v>0</v>
      </c>
      <c r="S171" s="1">
        <f t="shared" si="150"/>
        <v>0</v>
      </c>
      <c r="T171" s="7">
        <f t="shared" si="151"/>
        <v>-0.64772727272727271</v>
      </c>
      <c r="U171" s="7">
        <f t="shared" si="152"/>
        <v>-3.1477272727272729</v>
      </c>
      <c r="V171" s="7">
        <f t="shared" si="153"/>
        <v>-0.64772727272727271</v>
      </c>
      <c r="W171" s="7">
        <f t="shared" si="154"/>
        <v>-3.1477272727272729</v>
      </c>
      <c r="X171" s="1">
        <f t="shared" si="105"/>
        <v>0</v>
      </c>
      <c r="Y171" s="1">
        <f t="shared" si="106"/>
        <v>0</v>
      </c>
      <c r="Z171">
        <f t="shared" si="107"/>
        <v>0</v>
      </c>
      <c r="AA171">
        <f t="shared" si="108"/>
        <v>0</v>
      </c>
      <c r="AB171">
        <f t="shared" si="109"/>
        <v>0</v>
      </c>
      <c r="AC171">
        <f t="shared" si="110"/>
        <v>0</v>
      </c>
      <c r="AD171">
        <f t="shared" si="111"/>
        <v>0</v>
      </c>
      <c r="AE171">
        <f t="shared" si="112"/>
        <v>0</v>
      </c>
      <c r="AF171">
        <f t="shared" si="113"/>
        <v>0</v>
      </c>
      <c r="AG171">
        <f t="shared" si="114"/>
        <v>0</v>
      </c>
      <c r="AH171">
        <f t="shared" si="115"/>
        <v>0</v>
      </c>
      <c r="AI171" s="1">
        <f t="shared" si="116"/>
        <v>0</v>
      </c>
      <c r="AJ171" s="1">
        <f t="shared" si="117"/>
        <v>0</v>
      </c>
      <c r="AK171">
        <f t="shared" si="118"/>
        <v>0</v>
      </c>
      <c r="AL171">
        <f t="shared" si="119"/>
        <v>0</v>
      </c>
      <c r="AM171">
        <f t="shared" si="120"/>
        <v>0</v>
      </c>
      <c r="AN171">
        <f t="shared" si="121"/>
        <v>0</v>
      </c>
      <c r="AO171">
        <f t="shared" si="122"/>
        <v>0</v>
      </c>
      <c r="AP171">
        <f t="shared" si="123"/>
        <v>0</v>
      </c>
      <c r="AQ171">
        <f t="shared" si="124"/>
        <v>0</v>
      </c>
      <c r="AR171">
        <f t="shared" si="125"/>
        <v>0</v>
      </c>
      <c r="AS171">
        <f t="shared" si="126"/>
        <v>0</v>
      </c>
      <c r="AT171" s="1">
        <f t="shared" si="127"/>
        <v>0</v>
      </c>
      <c r="AU171" s="1">
        <f t="shared" si="128"/>
        <v>0</v>
      </c>
      <c r="AV171">
        <f t="shared" si="129"/>
        <v>0</v>
      </c>
      <c r="AW171">
        <f t="shared" si="130"/>
        <v>0</v>
      </c>
      <c r="AX171">
        <f t="shared" si="131"/>
        <v>0</v>
      </c>
      <c r="AY171">
        <f t="shared" si="132"/>
        <v>0</v>
      </c>
      <c r="AZ171">
        <f t="shared" si="133"/>
        <v>0</v>
      </c>
      <c r="BA171">
        <f t="shared" si="134"/>
        <v>0</v>
      </c>
      <c r="BB171">
        <f t="shared" si="135"/>
        <v>0</v>
      </c>
      <c r="BC171">
        <f t="shared" si="136"/>
        <v>0</v>
      </c>
      <c r="BD171">
        <f t="shared" si="137"/>
        <v>0</v>
      </c>
    </row>
    <row r="172" spans="1:56" x14ac:dyDescent="0.25">
      <c r="A172" s="1">
        <v>155</v>
      </c>
      <c r="B172" s="2">
        <v>0</v>
      </c>
      <c r="C172" s="2">
        <v>0</v>
      </c>
      <c r="D172" s="2">
        <v>0</v>
      </c>
      <c r="E172" s="2">
        <v>0</v>
      </c>
      <c r="F172" s="1">
        <f t="shared" si="138"/>
        <v>0</v>
      </c>
      <c r="G172" s="1">
        <f t="shared" si="139"/>
        <v>0</v>
      </c>
      <c r="H172" s="1">
        <f t="shared" si="140"/>
        <v>0</v>
      </c>
      <c r="I172" s="1">
        <f t="shared" si="141"/>
        <v>0</v>
      </c>
      <c r="J172" s="1">
        <f t="shared" si="142"/>
        <v>0</v>
      </c>
      <c r="K172" s="1">
        <f t="shared" si="143"/>
        <v>0</v>
      </c>
      <c r="L172" s="1">
        <f t="shared" si="144"/>
        <v>0</v>
      </c>
      <c r="M172" s="1">
        <f t="shared" si="145"/>
        <v>0</v>
      </c>
      <c r="N172" s="1">
        <f t="shared" si="146"/>
        <v>0</v>
      </c>
      <c r="O172" s="1">
        <f t="shared" si="147"/>
        <v>-0.64772727272727271</v>
      </c>
      <c r="P172" s="1">
        <f t="shared" si="148"/>
        <v>-3.1477272727272729</v>
      </c>
      <c r="Q172" s="1">
        <f t="shared" si="149"/>
        <v>0</v>
      </c>
      <c r="R172" s="1">
        <f t="shared" si="104"/>
        <v>0</v>
      </c>
      <c r="S172" s="1">
        <f t="shared" si="150"/>
        <v>0</v>
      </c>
      <c r="T172" s="7">
        <f t="shared" si="151"/>
        <v>-0.64772727272727271</v>
      </c>
      <c r="U172" s="7">
        <f t="shared" si="152"/>
        <v>-3.1477272727272729</v>
      </c>
      <c r="V172" s="7">
        <f t="shared" si="153"/>
        <v>-0.64772727272727271</v>
      </c>
      <c r="W172" s="7">
        <f t="shared" si="154"/>
        <v>-3.1477272727272729</v>
      </c>
      <c r="X172" s="1">
        <f t="shared" si="105"/>
        <v>0</v>
      </c>
      <c r="Y172" s="1">
        <f t="shared" si="106"/>
        <v>0</v>
      </c>
      <c r="Z172">
        <f t="shared" si="107"/>
        <v>0</v>
      </c>
      <c r="AA172">
        <f t="shared" si="108"/>
        <v>0</v>
      </c>
      <c r="AB172">
        <f t="shared" si="109"/>
        <v>0</v>
      </c>
      <c r="AC172">
        <f t="shared" si="110"/>
        <v>0</v>
      </c>
      <c r="AD172">
        <f t="shared" si="111"/>
        <v>0</v>
      </c>
      <c r="AE172">
        <f t="shared" si="112"/>
        <v>0</v>
      </c>
      <c r="AF172">
        <f t="shared" si="113"/>
        <v>0</v>
      </c>
      <c r="AG172">
        <f t="shared" si="114"/>
        <v>0</v>
      </c>
      <c r="AH172">
        <f t="shared" si="115"/>
        <v>0</v>
      </c>
      <c r="AI172" s="1">
        <f t="shared" si="116"/>
        <v>0</v>
      </c>
      <c r="AJ172" s="1">
        <f t="shared" si="117"/>
        <v>0</v>
      </c>
      <c r="AK172">
        <f t="shared" si="118"/>
        <v>0</v>
      </c>
      <c r="AL172">
        <f t="shared" si="119"/>
        <v>0</v>
      </c>
      <c r="AM172">
        <f t="shared" si="120"/>
        <v>0</v>
      </c>
      <c r="AN172">
        <f t="shared" si="121"/>
        <v>0</v>
      </c>
      <c r="AO172">
        <f t="shared" si="122"/>
        <v>0</v>
      </c>
      <c r="AP172">
        <f t="shared" si="123"/>
        <v>0</v>
      </c>
      <c r="AQ172">
        <f t="shared" si="124"/>
        <v>0</v>
      </c>
      <c r="AR172">
        <f t="shared" si="125"/>
        <v>0</v>
      </c>
      <c r="AS172">
        <f t="shared" si="126"/>
        <v>0</v>
      </c>
      <c r="AT172" s="1">
        <f t="shared" si="127"/>
        <v>0</v>
      </c>
      <c r="AU172" s="1">
        <f t="shared" si="128"/>
        <v>0</v>
      </c>
      <c r="AV172">
        <f t="shared" si="129"/>
        <v>0</v>
      </c>
      <c r="AW172">
        <f t="shared" si="130"/>
        <v>0</v>
      </c>
      <c r="AX172">
        <f t="shared" si="131"/>
        <v>0</v>
      </c>
      <c r="AY172">
        <f t="shared" si="132"/>
        <v>0</v>
      </c>
      <c r="AZ172">
        <f t="shared" si="133"/>
        <v>0</v>
      </c>
      <c r="BA172">
        <f t="shared" si="134"/>
        <v>0</v>
      </c>
      <c r="BB172">
        <f t="shared" si="135"/>
        <v>0</v>
      </c>
      <c r="BC172">
        <f t="shared" si="136"/>
        <v>0</v>
      </c>
      <c r="BD172">
        <f t="shared" si="137"/>
        <v>0</v>
      </c>
    </row>
    <row r="173" spans="1:56" x14ac:dyDescent="0.25">
      <c r="A173" s="1">
        <v>156</v>
      </c>
      <c r="B173" s="2">
        <v>0</v>
      </c>
      <c r="C173" s="2">
        <v>0</v>
      </c>
      <c r="D173" s="2">
        <v>0</v>
      </c>
      <c r="E173" s="2">
        <v>0</v>
      </c>
      <c r="F173" s="1">
        <f t="shared" si="138"/>
        <v>0</v>
      </c>
      <c r="G173" s="1">
        <f t="shared" si="139"/>
        <v>0</v>
      </c>
      <c r="H173" s="1">
        <f t="shared" si="140"/>
        <v>0</v>
      </c>
      <c r="I173" s="1">
        <f t="shared" si="141"/>
        <v>0</v>
      </c>
      <c r="J173" s="1">
        <f t="shared" si="142"/>
        <v>0</v>
      </c>
      <c r="K173" s="1">
        <f t="shared" si="143"/>
        <v>0</v>
      </c>
      <c r="L173" s="1">
        <f t="shared" si="144"/>
        <v>0</v>
      </c>
      <c r="M173" s="1">
        <f t="shared" si="145"/>
        <v>0</v>
      </c>
      <c r="N173" s="1">
        <f t="shared" si="146"/>
        <v>0</v>
      </c>
      <c r="O173" s="1">
        <f t="shared" si="147"/>
        <v>-0.64772727272727271</v>
      </c>
      <c r="P173" s="1">
        <f t="shared" si="148"/>
        <v>-3.1477272727272729</v>
      </c>
      <c r="Q173" s="1">
        <f t="shared" si="149"/>
        <v>0</v>
      </c>
      <c r="R173" s="1">
        <f t="shared" si="104"/>
        <v>0</v>
      </c>
      <c r="S173" s="1">
        <f t="shared" si="150"/>
        <v>0</v>
      </c>
      <c r="T173" s="7">
        <f t="shared" si="151"/>
        <v>-0.64772727272727271</v>
      </c>
      <c r="U173" s="7">
        <f t="shared" si="152"/>
        <v>-3.1477272727272729</v>
      </c>
      <c r="V173" s="7">
        <f t="shared" si="153"/>
        <v>-0.64772727272727271</v>
      </c>
      <c r="W173" s="7">
        <f t="shared" si="154"/>
        <v>-3.1477272727272729</v>
      </c>
      <c r="X173" s="1">
        <f t="shared" si="105"/>
        <v>0</v>
      </c>
      <c r="Y173" s="1">
        <f t="shared" si="106"/>
        <v>0</v>
      </c>
      <c r="Z173">
        <f t="shared" si="107"/>
        <v>0</v>
      </c>
      <c r="AA173">
        <f t="shared" si="108"/>
        <v>0</v>
      </c>
      <c r="AB173">
        <f t="shared" si="109"/>
        <v>0</v>
      </c>
      <c r="AC173">
        <f t="shared" si="110"/>
        <v>0</v>
      </c>
      <c r="AD173">
        <f t="shared" si="111"/>
        <v>0</v>
      </c>
      <c r="AE173">
        <f t="shared" si="112"/>
        <v>0</v>
      </c>
      <c r="AF173">
        <f t="shared" si="113"/>
        <v>0</v>
      </c>
      <c r="AG173">
        <f t="shared" si="114"/>
        <v>0</v>
      </c>
      <c r="AH173">
        <f t="shared" si="115"/>
        <v>0</v>
      </c>
      <c r="AI173" s="1">
        <f t="shared" si="116"/>
        <v>0</v>
      </c>
      <c r="AJ173" s="1">
        <f t="shared" si="117"/>
        <v>0</v>
      </c>
      <c r="AK173">
        <f t="shared" si="118"/>
        <v>0</v>
      </c>
      <c r="AL173">
        <f t="shared" si="119"/>
        <v>0</v>
      </c>
      <c r="AM173">
        <f t="shared" si="120"/>
        <v>0</v>
      </c>
      <c r="AN173">
        <f t="shared" si="121"/>
        <v>0</v>
      </c>
      <c r="AO173">
        <f t="shared" si="122"/>
        <v>0</v>
      </c>
      <c r="AP173">
        <f t="shared" si="123"/>
        <v>0</v>
      </c>
      <c r="AQ173">
        <f t="shared" si="124"/>
        <v>0</v>
      </c>
      <c r="AR173">
        <f t="shared" si="125"/>
        <v>0</v>
      </c>
      <c r="AS173">
        <f t="shared" si="126"/>
        <v>0</v>
      </c>
      <c r="AT173" s="1">
        <f t="shared" si="127"/>
        <v>0</v>
      </c>
      <c r="AU173" s="1">
        <f t="shared" si="128"/>
        <v>0</v>
      </c>
      <c r="AV173">
        <f t="shared" si="129"/>
        <v>0</v>
      </c>
      <c r="AW173">
        <f t="shared" si="130"/>
        <v>0</v>
      </c>
      <c r="AX173">
        <f t="shared" si="131"/>
        <v>0</v>
      </c>
      <c r="AY173">
        <f t="shared" si="132"/>
        <v>0</v>
      </c>
      <c r="AZ173">
        <f t="shared" si="133"/>
        <v>0</v>
      </c>
      <c r="BA173">
        <f t="shared" si="134"/>
        <v>0</v>
      </c>
      <c r="BB173">
        <f t="shared" si="135"/>
        <v>0</v>
      </c>
      <c r="BC173">
        <f t="shared" si="136"/>
        <v>0</v>
      </c>
      <c r="BD173">
        <f t="shared" si="137"/>
        <v>0</v>
      </c>
    </row>
    <row r="174" spans="1:56" x14ac:dyDescent="0.25">
      <c r="A174" s="1">
        <v>157</v>
      </c>
      <c r="B174" s="2">
        <v>0</v>
      </c>
      <c r="C174" s="2">
        <v>0</v>
      </c>
      <c r="D174" s="2">
        <v>0</v>
      </c>
      <c r="E174" s="2">
        <v>0</v>
      </c>
      <c r="F174" s="1">
        <f t="shared" si="138"/>
        <v>0</v>
      </c>
      <c r="G174" s="1">
        <f t="shared" si="139"/>
        <v>0</v>
      </c>
      <c r="H174" s="1">
        <f t="shared" si="140"/>
        <v>0</v>
      </c>
      <c r="I174" s="1">
        <f t="shared" si="141"/>
        <v>0</v>
      </c>
      <c r="J174" s="1">
        <f t="shared" si="142"/>
        <v>0</v>
      </c>
      <c r="K174" s="1">
        <f t="shared" si="143"/>
        <v>0</v>
      </c>
      <c r="L174" s="1">
        <f t="shared" si="144"/>
        <v>0</v>
      </c>
      <c r="M174" s="1">
        <f t="shared" si="145"/>
        <v>0</v>
      </c>
      <c r="N174" s="1">
        <f t="shared" si="146"/>
        <v>0</v>
      </c>
      <c r="O174" s="1">
        <f t="shared" si="147"/>
        <v>-0.64772727272727271</v>
      </c>
      <c r="P174" s="1">
        <f t="shared" si="148"/>
        <v>-3.1477272727272729</v>
      </c>
      <c r="Q174" s="1">
        <f t="shared" si="149"/>
        <v>0</v>
      </c>
      <c r="R174" s="1">
        <f t="shared" si="104"/>
        <v>0</v>
      </c>
      <c r="S174" s="1">
        <f t="shared" si="150"/>
        <v>0</v>
      </c>
      <c r="T174" s="7">
        <f t="shared" si="151"/>
        <v>-0.64772727272727271</v>
      </c>
      <c r="U174" s="7">
        <f t="shared" si="152"/>
        <v>-3.1477272727272729</v>
      </c>
      <c r="V174" s="7">
        <f t="shared" si="153"/>
        <v>-0.64772727272727271</v>
      </c>
      <c r="W174" s="7">
        <f t="shared" si="154"/>
        <v>-3.1477272727272729</v>
      </c>
      <c r="X174" s="1">
        <f t="shared" si="105"/>
        <v>0</v>
      </c>
      <c r="Y174" s="1">
        <f t="shared" si="106"/>
        <v>0</v>
      </c>
      <c r="Z174">
        <f t="shared" si="107"/>
        <v>0</v>
      </c>
      <c r="AA174">
        <f t="shared" si="108"/>
        <v>0</v>
      </c>
      <c r="AB174">
        <f t="shared" si="109"/>
        <v>0</v>
      </c>
      <c r="AC174">
        <f t="shared" si="110"/>
        <v>0</v>
      </c>
      <c r="AD174">
        <f t="shared" si="111"/>
        <v>0</v>
      </c>
      <c r="AE174">
        <f t="shared" si="112"/>
        <v>0</v>
      </c>
      <c r="AF174">
        <f t="shared" si="113"/>
        <v>0</v>
      </c>
      <c r="AG174">
        <f t="shared" si="114"/>
        <v>0</v>
      </c>
      <c r="AH174">
        <f t="shared" si="115"/>
        <v>0</v>
      </c>
      <c r="AI174" s="1">
        <f t="shared" si="116"/>
        <v>0</v>
      </c>
      <c r="AJ174" s="1">
        <f t="shared" si="117"/>
        <v>0</v>
      </c>
      <c r="AK174">
        <f t="shared" si="118"/>
        <v>0</v>
      </c>
      <c r="AL174">
        <f t="shared" si="119"/>
        <v>0</v>
      </c>
      <c r="AM174">
        <f t="shared" si="120"/>
        <v>0</v>
      </c>
      <c r="AN174">
        <f t="shared" si="121"/>
        <v>0</v>
      </c>
      <c r="AO174">
        <f t="shared" si="122"/>
        <v>0</v>
      </c>
      <c r="AP174">
        <f t="shared" si="123"/>
        <v>0</v>
      </c>
      <c r="AQ174">
        <f t="shared" si="124"/>
        <v>0</v>
      </c>
      <c r="AR174">
        <f t="shared" si="125"/>
        <v>0</v>
      </c>
      <c r="AS174">
        <f t="shared" si="126"/>
        <v>0</v>
      </c>
      <c r="AT174" s="1">
        <f t="shared" si="127"/>
        <v>0</v>
      </c>
      <c r="AU174" s="1">
        <f t="shared" si="128"/>
        <v>0</v>
      </c>
      <c r="AV174">
        <f t="shared" si="129"/>
        <v>0</v>
      </c>
      <c r="AW174">
        <f t="shared" si="130"/>
        <v>0</v>
      </c>
      <c r="AX174">
        <f t="shared" si="131"/>
        <v>0</v>
      </c>
      <c r="AY174">
        <f t="shared" si="132"/>
        <v>0</v>
      </c>
      <c r="AZ174">
        <f t="shared" si="133"/>
        <v>0</v>
      </c>
      <c r="BA174">
        <f t="shared" si="134"/>
        <v>0</v>
      </c>
      <c r="BB174">
        <f t="shared" si="135"/>
        <v>0</v>
      </c>
      <c r="BC174">
        <f t="shared" si="136"/>
        <v>0</v>
      </c>
      <c r="BD174">
        <f t="shared" si="137"/>
        <v>0</v>
      </c>
    </row>
    <row r="175" spans="1:56" x14ac:dyDescent="0.25">
      <c r="A175" s="1">
        <v>158</v>
      </c>
      <c r="B175" s="2">
        <v>0</v>
      </c>
      <c r="C175" s="2">
        <v>0</v>
      </c>
      <c r="D175" s="2">
        <v>0</v>
      </c>
      <c r="E175" s="2">
        <v>0</v>
      </c>
      <c r="F175" s="1">
        <f t="shared" si="138"/>
        <v>0</v>
      </c>
      <c r="G175" s="1">
        <f t="shared" si="139"/>
        <v>0</v>
      </c>
      <c r="H175" s="1">
        <f t="shared" si="140"/>
        <v>0</v>
      </c>
      <c r="I175" s="1">
        <f t="shared" si="141"/>
        <v>0</v>
      </c>
      <c r="J175" s="1">
        <f t="shared" si="142"/>
        <v>0</v>
      </c>
      <c r="K175" s="1">
        <f t="shared" si="143"/>
        <v>0</v>
      </c>
      <c r="L175" s="1">
        <f t="shared" si="144"/>
        <v>0</v>
      </c>
      <c r="M175" s="1">
        <f t="shared" si="145"/>
        <v>0</v>
      </c>
      <c r="N175" s="1">
        <f t="shared" si="146"/>
        <v>0</v>
      </c>
      <c r="O175" s="1">
        <f t="shared" si="147"/>
        <v>-0.64772727272727271</v>
      </c>
      <c r="P175" s="1">
        <f t="shared" si="148"/>
        <v>-3.1477272727272729</v>
      </c>
      <c r="Q175" s="1">
        <f t="shared" si="149"/>
        <v>0</v>
      </c>
      <c r="R175" s="1">
        <f t="shared" si="104"/>
        <v>0</v>
      </c>
      <c r="S175" s="1">
        <f t="shared" si="150"/>
        <v>0</v>
      </c>
      <c r="T175" s="7">
        <f t="shared" si="151"/>
        <v>-0.64772727272727271</v>
      </c>
      <c r="U175" s="7">
        <f t="shared" si="152"/>
        <v>-3.1477272727272729</v>
      </c>
      <c r="V175" s="7">
        <f t="shared" si="153"/>
        <v>-0.64772727272727271</v>
      </c>
      <c r="W175" s="7">
        <f t="shared" si="154"/>
        <v>-3.1477272727272729</v>
      </c>
      <c r="X175" s="1">
        <f t="shared" si="105"/>
        <v>0</v>
      </c>
      <c r="Y175" s="1">
        <f t="shared" si="106"/>
        <v>0</v>
      </c>
      <c r="Z175">
        <f t="shared" si="107"/>
        <v>0</v>
      </c>
      <c r="AA175">
        <f t="shared" si="108"/>
        <v>0</v>
      </c>
      <c r="AB175">
        <f t="shared" si="109"/>
        <v>0</v>
      </c>
      <c r="AC175">
        <f t="shared" si="110"/>
        <v>0</v>
      </c>
      <c r="AD175">
        <f t="shared" si="111"/>
        <v>0</v>
      </c>
      <c r="AE175">
        <f t="shared" si="112"/>
        <v>0</v>
      </c>
      <c r="AF175">
        <f t="shared" si="113"/>
        <v>0</v>
      </c>
      <c r="AG175">
        <f t="shared" si="114"/>
        <v>0</v>
      </c>
      <c r="AH175">
        <f t="shared" si="115"/>
        <v>0</v>
      </c>
      <c r="AI175" s="1">
        <f t="shared" si="116"/>
        <v>0</v>
      </c>
      <c r="AJ175" s="1">
        <f t="shared" si="117"/>
        <v>0</v>
      </c>
      <c r="AK175">
        <f t="shared" si="118"/>
        <v>0</v>
      </c>
      <c r="AL175">
        <f t="shared" si="119"/>
        <v>0</v>
      </c>
      <c r="AM175">
        <f t="shared" si="120"/>
        <v>0</v>
      </c>
      <c r="AN175">
        <f t="shared" si="121"/>
        <v>0</v>
      </c>
      <c r="AO175">
        <f t="shared" si="122"/>
        <v>0</v>
      </c>
      <c r="AP175">
        <f t="shared" si="123"/>
        <v>0</v>
      </c>
      <c r="AQ175">
        <f t="shared" si="124"/>
        <v>0</v>
      </c>
      <c r="AR175">
        <f t="shared" si="125"/>
        <v>0</v>
      </c>
      <c r="AS175">
        <f t="shared" si="126"/>
        <v>0</v>
      </c>
      <c r="AT175" s="1">
        <f t="shared" si="127"/>
        <v>0</v>
      </c>
      <c r="AU175" s="1">
        <f t="shared" si="128"/>
        <v>0</v>
      </c>
      <c r="AV175">
        <f t="shared" si="129"/>
        <v>0</v>
      </c>
      <c r="AW175">
        <f t="shared" si="130"/>
        <v>0</v>
      </c>
      <c r="AX175">
        <f t="shared" si="131"/>
        <v>0</v>
      </c>
      <c r="AY175">
        <f t="shared" si="132"/>
        <v>0</v>
      </c>
      <c r="AZ175">
        <f t="shared" si="133"/>
        <v>0</v>
      </c>
      <c r="BA175">
        <f t="shared" si="134"/>
        <v>0</v>
      </c>
      <c r="BB175">
        <f t="shared" si="135"/>
        <v>0</v>
      </c>
      <c r="BC175">
        <f t="shared" si="136"/>
        <v>0</v>
      </c>
      <c r="BD175">
        <f t="shared" si="137"/>
        <v>0</v>
      </c>
    </row>
    <row r="176" spans="1:56" x14ac:dyDescent="0.25">
      <c r="A176" s="1">
        <v>159</v>
      </c>
      <c r="B176" s="2">
        <v>0</v>
      </c>
      <c r="C176" s="2">
        <v>0</v>
      </c>
      <c r="D176" s="2">
        <v>0</v>
      </c>
      <c r="E176" s="2">
        <v>0</v>
      </c>
      <c r="F176" s="1">
        <f t="shared" si="138"/>
        <v>0</v>
      </c>
      <c r="G176" s="1">
        <f t="shared" si="139"/>
        <v>0</v>
      </c>
      <c r="H176" s="1">
        <f t="shared" si="140"/>
        <v>0</v>
      </c>
      <c r="I176" s="1">
        <f t="shared" si="141"/>
        <v>0</v>
      </c>
      <c r="J176" s="1">
        <f t="shared" si="142"/>
        <v>0</v>
      </c>
      <c r="K176" s="1">
        <f t="shared" si="143"/>
        <v>0</v>
      </c>
      <c r="L176" s="1">
        <f t="shared" si="144"/>
        <v>0</v>
      </c>
      <c r="M176" s="1">
        <f t="shared" si="145"/>
        <v>0</v>
      </c>
      <c r="N176" s="1">
        <f t="shared" si="146"/>
        <v>0</v>
      </c>
      <c r="O176" s="1">
        <f t="shared" si="147"/>
        <v>-0.64772727272727271</v>
      </c>
      <c r="P176" s="1">
        <f t="shared" si="148"/>
        <v>-3.1477272727272729</v>
      </c>
      <c r="Q176" s="1">
        <f t="shared" si="149"/>
        <v>0</v>
      </c>
      <c r="R176" s="1">
        <f t="shared" si="104"/>
        <v>0</v>
      </c>
      <c r="S176" s="1">
        <f t="shared" si="150"/>
        <v>0</v>
      </c>
      <c r="T176" s="7">
        <f t="shared" si="151"/>
        <v>-0.64772727272727271</v>
      </c>
      <c r="U176" s="7">
        <f t="shared" si="152"/>
        <v>-3.1477272727272729</v>
      </c>
      <c r="V176" s="7">
        <f t="shared" si="153"/>
        <v>-0.64772727272727271</v>
      </c>
      <c r="W176" s="7">
        <f t="shared" si="154"/>
        <v>-3.1477272727272729</v>
      </c>
      <c r="X176" s="1">
        <f t="shared" si="105"/>
        <v>0</v>
      </c>
      <c r="Y176" s="1">
        <f t="shared" si="106"/>
        <v>0</v>
      </c>
      <c r="Z176">
        <f t="shared" si="107"/>
        <v>0</v>
      </c>
      <c r="AA176">
        <f t="shared" si="108"/>
        <v>0</v>
      </c>
      <c r="AB176">
        <f t="shared" si="109"/>
        <v>0</v>
      </c>
      <c r="AC176">
        <f t="shared" si="110"/>
        <v>0</v>
      </c>
      <c r="AD176">
        <f t="shared" si="111"/>
        <v>0</v>
      </c>
      <c r="AE176">
        <f t="shared" si="112"/>
        <v>0</v>
      </c>
      <c r="AF176">
        <f t="shared" si="113"/>
        <v>0</v>
      </c>
      <c r="AG176">
        <f t="shared" si="114"/>
        <v>0</v>
      </c>
      <c r="AH176">
        <f t="shared" si="115"/>
        <v>0</v>
      </c>
      <c r="AI176" s="1">
        <f t="shared" si="116"/>
        <v>0</v>
      </c>
      <c r="AJ176" s="1">
        <f t="shared" si="117"/>
        <v>0</v>
      </c>
      <c r="AK176">
        <f t="shared" si="118"/>
        <v>0</v>
      </c>
      <c r="AL176">
        <f t="shared" si="119"/>
        <v>0</v>
      </c>
      <c r="AM176">
        <f t="shared" si="120"/>
        <v>0</v>
      </c>
      <c r="AN176">
        <f t="shared" si="121"/>
        <v>0</v>
      </c>
      <c r="AO176">
        <f t="shared" si="122"/>
        <v>0</v>
      </c>
      <c r="AP176">
        <f t="shared" si="123"/>
        <v>0</v>
      </c>
      <c r="AQ176">
        <f t="shared" si="124"/>
        <v>0</v>
      </c>
      <c r="AR176">
        <f t="shared" si="125"/>
        <v>0</v>
      </c>
      <c r="AS176">
        <f t="shared" si="126"/>
        <v>0</v>
      </c>
      <c r="AT176" s="1">
        <f t="shared" si="127"/>
        <v>0</v>
      </c>
      <c r="AU176" s="1">
        <f t="shared" si="128"/>
        <v>0</v>
      </c>
      <c r="AV176">
        <f t="shared" si="129"/>
        <v>0</v>
      </c>
      <c r="AW176">
        <f t="shared" si="130"/>
        <v>0</v>
      </c>
      <c r="AX176">
        <f t="shared" si="131"/>
        <v>0</v>
      </c>
      <c r="AY176">
        <f t="shared" si="132"/>
        <v>0</v>
      </c>
      <c r="AZ176">
        <f t="shared" si="133"/>
        <v>0</v>
      </c>
      <c r="BA176">
        <f t="shared" si="134"/>
        <v>0</v>
      </c>
      <c r="BB176">
        <f t="shared" si="135"/>
        <v>0</v>
      </c>
      <c r="BC176">
        <f t="shared" si="136"/>
        <v>0</v>
      </c>
      <c r="BD176">
        <f t="shared" si="137"/>
        <v>0</v>
      </c>
    </row>
    <row r="177" spans="1:56" x14ac:dyDescent="0.25">
      <c r="A177" s="1">
        <v>160</v>
      </c>
      <c r="B177" s="2">
        <v>0</v>
      </c>
      <c r="C177" s="2">
        <v>0</v>
      </c>
      <c r="D177" s="2">
        <v>0</v>
      </c>
      <c r="E177" s="2">
        <v>0</v>
      </c>
      <c r="F177" s="1">
        <f t="shared" si="138"/>
        <v>0</v>
      </c>
      <c r="G177" s="1">
        <f t="shared" si="139"/>
        <v>0</v>
      </c>
      <c r="H177" s="1">
        <f t="shared" si="140"/>
        <v>0</v>
      </c>
      <c r="I177" s="1">
        <f t="shared" si="141"/>
        <v>0</v>
      </c>
      <c r="J177" s="1">
        <f t="shared" si="142"/>
        <v>0</v>
      </c>
      <c r="K177" s="1">
        <f t="shared" si="143"/>
        <v>0</v>
      </c>
      <c r="L177" s="1">
        <f t="shared" si="144"/>
        <v>0</v>
      </c>
      <c r="M177" s="1">
        <f t="shared" si="145"/>
        <v>0</v>
      </c>
      <c r="N177" s="1">
        <f t="shared" si="146"/>
        <v>0</v>
      </c>
      <c r="O177" s="1">
        <f t="shared" si="147"/>
        <v>-0.64772727272727271</v>
      </c>
      <c r="P177" s="1">
        <f t="shared" si="148"/>
        <v>-3.1477272727272729</v>
      </c>
      <c r="Q177" s="1">
        <f t="shared" si="149"/>
        <v>0</v>
      </c>
      <c r="R177" s="1">
        <f t="shared" si="104"/>
        <v>0</v>
      </c>
      <c r="S177" s="1">
        <f t="shared" si="150"/>
        <v>0</v>
      </c>
      <c r="T177" s="7">
        <f t="shared" si="151"/>
        <v>-0.64772727272727271</v>
      </c>
      <c r="U177" s="7">
        <f t="shared" si="152"/>
        <v>-3.1477272727272729</v>
      </c>
      <c r="V177" s="7">
        <f t="shared" si="153"/>
        <v>-0.64772727272727271</v>
      </c>
      <c r="W177" s="7">
        <f t="shared" si="154"/>
        <v>-3.1477272727272729</v>
      </c>
      <c r="X177" s="1">
        <f t="shared" si="105"/>
        <v>0</v>
      </c>
      <c r="Y177" s="1">
        <f t="shared" si="106"/>
        <v>0</v>
      </c>
      <c r="Z177">
        <f t="shared" si="107"/>
        <v>0</v>
      </c>
      <c r="AA177">
        <f t="shared" si="108"/>
        <v>0</v>
      </c>
      <c r="AB177">
        <f t="shared" si="109"/>
        <v>0</v>
      </c>
      <c r="AC177">
        <f t="shared" si="110"/>
        <v>0</v>
      </c>
      <c r="AD177">
        <f t="shared" si="111"/>
        <v>0</v>
      </c>
      <c r="AE177">
        <f t="shared" si="112"/>
        <v>0</v>
      </c>
      <c r="AF177">
        <f t="shared" si="113"/>
        <v>0</v>
      </c>
      <c r="AG177">
        <f t="shared" si="114"/>
        <v>0</v>
      </c>
      <c r="AH177">
        <f t="shared" si="115"/>
        <v>0</v>
      </c>
      <c r="AI177" s="1">
        <f t="shared" si="116"/>
        <v>0</v>
      </c>
      <c r="AJ177" s="1">
        <f t="shared" si="117"/>
        <v>0</v>
      </c>
      <c r="AK177">
        <f t="shared" si="118"/>
        <v>0</v>
      </c>
      <c r="AL177">
        <f t="shared" si="119"/>
        <v>0</v>
      </c>
      <c r="AM177">
        <f t="shared" si="120"/>
        <v>0</v>
      </c>
      <c r="AN177">
        <f t="shared" si="121"/>
        <v>0</v>
      </c>
      <c r="AO177">
        <f t="shared" si="122"/>
        <v>0</v>
      </c>
      <c r="AP177">
        <f t="shared" si="123"/>
        <v>0</v>
      </c>
      <c r="AQ177">
        <f t="shared" si="124"/>
        <v>0</v>
      </c>
      <c r="AR177">
        <f t="shared" si="125"/>
        <v>0</v>
      </c>
      <c r="AS177">
        <f t="shared" si="126"/>
        <v>0</v>
      </c>
      <c r="AT177" s="1">
        <f t="shared" si="127"/>
        <v>0</v>
      </c>
      <c r="AU177" s="1">
        <f t="shared" si="128"/>
        <v>0</v>
      </c>
      <c r="AV177">
        <f t="shared" si="129"/>
        <v>0</v>
      </c>
      <c r="AW177">
        <f t="shared" si="130"/>
        <v>0</v>
      </c>
      <c r="AX177">
        <f t="shared" si="131"/>
        <v>0</v>
      </c>
      <c r="AY177">
        <f t="shared" si="132"/>
        <v>0</v>
      </c>
      <c r="AZ177">
        <f t="shared" si="133"/>
        <v>0</v>
      </c>
      <c r="BA177">
        <f t="shared" si="134"/>
        <v>0</v>
      </c>
      <c r="BB177">
        <f t="shared" si="135"/>
        <v>0</v>
      </c>
      <c r="BC177">
        <f t="shared" si="136"/>
        <v>0</v>
      </c>
      <c r="BD177">
        <f t="shared" si="137"/>
        <v>0</v>
      </c>
    </row>
    <row r="178" spans="1:56" x14ac:dyDescent="0.25">
      <c r="A178" s="1">
        <v>161</v>
      </c>
      <c r="B178" s="2">
        <v>0</v>
      </c>
      <c r="C178" s="2">
        <v>0</v>
      </c>
      <c r="D178" s="2">
        <v>0</v>
      </c>
      <c r="E178" s="2">
        <v>0</v>
      </c>
      <c r="F178" s="1">
        <f t="shared" si="138"/>
        <v>0</v>
      </c>
      <c r="G178" s="1">
        <f t="shared" si="139"/>
        <v>0</v>
      </c>
      <c r="H178" s="1">
        <f t="shared" si="140"/>
        <v>0</v>
      </c>
      <c r="I178" s="1">
        <f t="shared" si="141"/>
        <v>0</v>
      </c>
      <c r="J178" s="1">
        <f t="shared" si="142"/>
        <v>0</v>
      </c>
      <c r="K178" s="1">
        <f t="shared" si="143"/>
        <v>0</v>
      </c>
      <c r="L178" s="1">
        <f t="shared" si="144"/>
        <v>0</v>
      </c>
      <c r="M178" s="1">
        <f t="shared" si="145"/>
        <v>0</v>
      </c>
      <c r="N178" s="1">
        <f t="shared" si="146"/>
        <v>0</v>
      </c>
      <c r="O178" s="1">
        <f t="shared" si="147"/>
        <v>-0.64772727272727271</v>
      </c>
      <c r="P178" s="1">
        <f t="shared" si="148"/>
        <v>-3.1477272727272729</v>
      </c>
      <c r="Q178" s="1">
        <f t="shared" si="149"/>
        <v>0</v>
      </c>
      <c r="R178" s="1">
        <f t="shared" si="104"/>
        <v>0</v>
      </c>
      <c r="S178" s="1">
        <f t="shared" si="150"/>
        <v>0</v>
      </c>
      <c r="T178" s="7">
        <f t="shared" si="151"/>
        <v>-0.64772727272727271</v>
      </c>
      <c r="U178" s="7">
        <f t="shared" si="152"/>
        <v>-3.1477272727272729</v>
      </c>
      <c r="V178" s="7">
        <f t="shared" si="153"/>
        <v>-0.64772727272727271</v>
      </c>
      <c r="W178" s="7">
        <f t="shared" si="154"/>
        <v>-3.1477272727272729</v>
      </c>
      <c r="X178" s="1">
        <f t="shared" si="105"/>
        <v>0</v>
      </c>
      <c r="Y178" s="1">
        <f t="shared" si="106"/>
        <v>0</v>
      </c>
      <c r="Z178">
        <f t="shared" si="107"/>
        <v>0</v>
      </c>
      <c r="AA178">
        <f t="shared" si="108"/>
        <v>0</v>
      </c>
      <c r="AB178">
        <f t="shared" si="109"/>
        <v>0</v>
      </c>
      <c r="AC178">
        <f t="shared" si="110"/>
        <v>0</v>
      </c>
      <c r="AD178">
        <f t="shared" si="111"/>
        <v>0</v>
      </c>
      <c r="AE178">
        <f t="shared" si="112"/>
        <v>0</v>
      </c>
      <c r="AF178">
        <f t="shared" si="113"/>
        <v>0</v>
      </c>
      <c r="AG178">
        <f t="shared" si="114"/>
        <v>0</v>
      </c>
      <c r="AH178">
        <f t="shared" si="115"/>
        <v>0</v>
      </c>
      <c r="AI178" s="1">
        <f t="shared" si="116"/>
        <v>0</v>
      </c>
      <c r="AJ178" s="1">
        <f t="shared" si="117"/>
        <v>0</v>
      </c>
      <c r="AK178">
        <f t="shared" si="118"/>
        <v>0</v>
      </c>
      <c r="AL178">
        <f t="shared" si="119"/>
        <v>0</v>
      </c>
      <c r="AM178">
        <f t="shared" si="120"/>
        <v>0</v>
      </c>
      <c r="AN178">
        <f t="shared" si="121"/>
        <v>0</v>
      </c>
      <c r="AO178">
        <f t="shared" si="122"/>
        <v>0</v>
      </c>
      <c r="AP178">
        <f t="shared" si="123"/>
        <v>0</v>
      </c>
      <c r="AQ178">
        <f t="shared" si="124"/>
        <v>0</v>
      </c>
      <c r="AR178">
        <f t="shared" si="125"/>
        <v>0</v>
      </c>
      <c r="AS178">
        <f t="shared" si="126"/>
        <v>0</v>
      </c>
      <c r="AT178" s="1">
        <f t="shared" si="127"/>
        <v>0</v>
      </c>
      <c r="AU178" s="1">
        <f t="shared" si="128"/>
        <v>0</v>
      </c>
      <c r="AV178">
        <f t="shared" si="129"/>
        <v>0</v>
      </c>
      <c r="AW178">
        <f t="shared" si="130"/>
        <v>0</v>
      </c>
      <c r="AX178">
        <f t="shared" si="131"/>
        <v>0</v>
      </c>
      <c r="AY178">
        <f t="shared" si="132"/>
        <v>0</v>
      </c>
      <c r="AZ178">
        <f t="shared" si="133"/>
        <v>0</v>
      </c>
      <c r="BA178">
        <f t="shared" si="134"/>
        <v>0</v>
      </c>
      <c r="BB178">
        <f t="shared" si="135"/>
        <v>0</v>
      </c>
      <c r="BC178">
        <f t="shared" si="136"/>
        <v>0</v>
      </c>
      <c r="BD178">
        <f t="shared" si="137"/>
        <v>0</v>
      </c>
    </row>
    <row r="179" spans="1:56" x14ac:dyDescent="0.25">
      <c r="A179" s="1">
        <v>162</v>
      </c>
      <c r="B179" s="2">
        <v>0</v>
      </c>
      <c r="C179" s="2">
        <v>0</v>
      </c>
      <c r="D179" s="2">
        <v>0</v>
      </c>
      <c r="E179" s="2">
        <v>0</v>
      </c>
      <c r="F179" s="1">
        <f t="shared" si="138"/>
        <v>0</v>
      </c>
      <c r="G179" s="1">
        <f t="shared" si="139"/>
        <v>0</v>
      </c>
      <c r="H179" s="1">
        <f t="shared" si="140"/>
        <v>0</v>
      </c>
      <c r="I179" s="1">
        <f t="shared" si="141"/>
        <v>0</v>
      </c>
      <c r="J179" s="1">
        <f t="shared" si="142"/>
        <v>0</v>
      </c>
      <c r="K179" s="1">
        <f t="shared" si="143"/>
        <v>0</v>
      </c>
      <c r="L179" s="1">
        <f t="shared" si="144"/>
        <v>0</v>
      </c>
      <c r="M179" s="1">
        <f t="shared" si="145"/>
        <v>0</v>
      </c>
      <c r="N179" s="1">
        <f t="shared" si="146"/>
        <v>0</v>
      </c>
      <c r="O179" s="1">
        <f t="shared" si="147"/>
        <v>-0.64772727272727271</v>
      </c>
      <c r="P179" s="1">
        <f t="shared" si="148"/>
        <v>-3.1477272727272729</v>
      </c>
      <c r="Q179" s="1">
        <f t="shared" si="149"/>
        <v>0</v>
      </c>
      <c r="R179" s="1">
        <f t="shared" si="104"/>
        <v>0</v>
      </c>
      <c r="S179" s="1">
        <f t="shared" si="150"/>
        <v>0</v>
      </c>
      <c r="T179" s="7">
        <f t="shared" si="151"/>
        <v>-0.64772727272727271</v>
      </c>
      <c r="U179" s="7">
        <f t="shared" si="152"/>
        <v>-3.1477272727272729</v>
      </c>
      <c r="V179" s="7">
        <f t="shared" si="153"/>
        <v>-0.64772727272727271</v>
      </c>
      <c r="W179" s="7">
        <f t="shared" si="154"/>
        <v>-3.1477272727272729</v>
      </c>
      <c r="X179" s="1">
        <f t="shared" si="105"/>
        <v>0</v>
      </c>
      <c r="Y179" s="1">
        <f t="shared" si="106"/>
        <v>0</v>
      </c>
      <c r="Z179">
        <f t="shared" si="107"/>
        <v>0</v>
      </c>
      <c r="AA179">
        <f t="shared" si="108"/>
        <v>0</v>
      </c>
      <c r="AB179">
        <f t="shared" si="109"/>
        <v>0</v>
      </c>
      <c r="AC179">
        <f t="shared" si="110"/>
        <v>0</v>
      </c>
      <c r="AD179">
        <f t="shared" si="111"/>
        <v>0</v>
      </c>
      <c r="AE179">
        <f t="shared" si="112"/>
        <v>0</v>
      </c>
      <c r="AF179">
        <f t="shared" si="113"/>
        <v>0</v>
      </c>
      <c r="AG179">
        <f t="shared" si="114"/>
        <v>0</v>
      </c>
      <c r="AH179">
        <f t="shared" si="115"/>
        <v>0</v>
      </c>
      <c r="AI179" s="1">
        <f t="shared" si="116"/>
        <v>0</v>
      </c>
      <c r="AJ179" s="1">
        <f t="shared" si="117"/>
        <v>0</v>
      </c>
      <c r="AK179">
        <f t="shared" si="118"/>
        <v>0</v>
      </c>
      <c r="AL179">
        <f t="shared" si="119"/>
        <v>0</v>
      </c>
      <c r="AM179">
        <f t="shared" si="120"/>
        <v>0</v>
      </c>
      <c r="AN179">
        <f t="shared" si="121"/>
        <v>0</v>
      </c>
      <c r="AO179">
        <f t="shared" si="122"/>
        <v>0</v>
      </c>
      <c r="AP179">
        <f t="shared" si="123"/>
        <v>0</v>
      </c>
      <c r="AQ179">
        <f t="shared" si="124"/>
        <v>0</v>
      </c>
      <c r="AR179">
        <f t="shared" si="125"/>
        <v>0</v>
      </c>
      <c r="AS179">
        <f t="shared" si="126"/>
        <v>0</v>
      </c>
      <c r="AT179" s="1">
        <f t="shared" si="127"/>
        <v>0</v>
      </c>
      <c r="AU179" s="1">
        <f t="shared" si="128"/>
        <v>0</v>
      </c>
      <c r="AV179">
        <f t="shared" si="129"/>
        <v>0</v>
      </c>
      <c r="AW179">
        <f t="shared" si="130"/>
        <v>0</v>
      </c>
      <c r="AX179">
        <f t="shared" si="131"/>
        <v>0</v>
      </c>
      <c r="AY179">
        <f t="shared" si="132"/>
        <v>0</v>
      </c>
      <c r="AZ179">
        <f t="shared" si="133"/>
        <v>0</v>
      </c>
      <c r="BA179">
        <f t="shared" si="134"/>
        <v>0</v>
      </c>
      <c r="BB179">
        <f t="shared" si="135"/>
        <v>0</v>
      </c>
      <c r="BC179">
        <f t="shared" si="136"/>
        <v>0</v>
      </c>
      <c r="BD179">
        <f t="shared" si="137"/>
        <v>0</v>
      </c>
    </row>
    <row r="180" spans="1:56" x14ac:dyDescent="0.25">
      <c r="A180" s="1">
        <v>163</v>
      </c>
      <c r="B180" s="2">
        <v>0</v>
      </c>
      <c r="C180" s="2">
        <v>0</v>
      </c>
      <c r="D180" s="2">
        <v>0</v>
      </c>
      <c r="E180" s="2">
        <v>0</v>
      </c>
      <c r="F180" s="1">
        <f t="shared" si="138"/>
        <v>0</v>
      </c>
      <c r="G180" s="1">
        <f t="shared" si="139"/>
        <v>0</v>
      </c>
      <c r="H180" s="1">
        <f t="shared" si="140"/>
        <v>0</v>
      </c>
      <c r="I180" s="1">
        <f t="shared" si="141"/>
        <v>0</v>
      </c>
      <c r="J180" s="1">
        <f t="shared" si="142"/>
        <v>0</v>
      </c>
      <c r="K180" s="1">
        <f t="shared" si="143"/>
        <v>0</v>
      </c>
      <c r="L180" s="1">
        <f t="shared" si="144"/>
        <v>0</v>
      </c>
      <c r="M180" s="1">
        <f t="shared" si="145"/>
        <v>0</v>
      </c>
      <c r="N180" s="1">
        <f t="shared" si="146"/>
        <v>0</v>
      </c>
      <c r="O180" s="1">
        <f t="shared" si="147"/>
        <v>-0.64772727272727271</v>
      </c>
      <c r="P180" s="1">
        <f t="shared" si="148"/>
        <v>-3.1477272727272729</v>
      </c>
      <c r="Q180" s="1">
        <f t="shared" si="149"/>
        <v>0</v>
      </c>
      <c r="R180" s="1">
        <f t="shared" si="104"/>
        <v>0</v>
      </c>
      <c r="S180" s="1">
        <f t="shared" si="150"/>
        <v>0</v>
      </c>
      <c r="T180" s="7">
        <f t="shared" si="151"/>
        <v>-0.64772727272727271</v>
      </c>
      <c r="U180" s="7">
        <f t="shared" si="152"/>
        <v>-3.1477272727272729</v>
      </c>
      <c r="V180" s="7">
        <f t="shared" si="153"/>
        <v>-0.64772727272727271</v>
      </c>
      <c r="W180" s="7">
        <f t="shared" si="154"/>
        <v>-3.1477272727272729</v>
      </c>
      <c r="X180" s="1">
        <f t="shared" si="105"/>
        <v>0</v>
      </c>
      <c r="Y180" s="1">
        <f t="shared" si="106"/>
        <v>0</v>
      </c>
      <c r="Z180">
        <f t="shared" si="107"/>
        <v>0</v>
      </c>
      <c r="AA180">
        <f t="shared" si="108"/>
        <v>0</v>
      </c>
      <c r="AB180">
        <f t="shared" si="109"/>
        <v>0</v>
      </c>
      <c r="AC180">
        <f t="shared" si="110"/>
        <v>0</v>
      </c>
      <c r="AD180">
        <f t="shared" si="111"/>
        <v>0</v>
      </c>
      <c r="AE180">
        <f t="shared" si="112"/>
        <v>0</v>
      </c>
      <c r="AF180">
        <f t="shared" si="113"/>
        <v>0</v>
      </c>
      <c r="AG180">
        <f t="shared" si="114"/>
        <v>0</v>
      </c>
      <c r="AH180">
        <f t="shared" si="115"/>
        <v>0</v>
      </c>
      <c r="AI180" s="1">
        <f t="shared" si="116"/>
        <v>0</v>
      </c>
      <c r="AJ180" s="1">
        <f t="shared" si="117"/>
        <v>0</v>
      </c>
      <c r="AK180">
        <f t="shared" si="118"/>
        <v>0</v>
      </c>
      <c r="AL180">
        <f t="shared" si="119"/>
        <v>0</v>
      </c>
      <c r="AM180">
        <f t="shared" si="120"/>
        <v>0</v>
      </c>
      <c r="AN180">
        <f t="shared" si="121"/>
        <v>0</v>
      </c>
      <c r="AO180">
        <f t="shared" si="122"/>
        <v>0</v>
      </c>
      <c r="AP180">
        <f t="shared" si="123"/>
        <v>0</v>
      </c>
      <c r="AQ180">
        <f t="shared" si="124"/>
        <v>0</v>
      </c>
      <c r="AR180">
        <f t="shared" si="125"/>
        <v>0</v>
      </c>
      <c r="AS180">
        <f t="shared" si="126"/>
        <v>0</v>
      </c>
      <c r="AT180" s="1">
        <f t="shared" si="127"/>
        <v>0</v>
      </c>
      <c r="AU180" s="1">
        <f t="shared" si="128"/>
        <v>0</v>
      </c>
      <c r="AV180">
        <f t="shared" si="129"/>
        <v>0</v>
      </c>
      <c r="AW180">
        <f t="shared" si="130"/>
        <v>0</v>
      </c>
      <c r="AX180">
        <f t="shared" si="131"/>
        <v>0</v>
      </c>
      <c r="AY180">
        <f t="shared" si="132"/>
        <v>0</v>
      </c>
      <c r="AZ180">
        <f t="shared" si="133"/>
        <v>0</v>
      </c>
      <c r="BA180">
        <f t="shared" si="134"/>
        <v>0</v>
      </c>
      <c r="BB180">
        <f t="shared" si="135"/>
        <v>0</v>
      </c>
      <c r="BC180">
        <f t="shared" si="136"/>
        <v>0</v>
      </c>
      <c r="BD180">
        <f t="shared" si="137"/>
        <v>0</v>
      </c>
    </row>
    <row r="181" spans="1:56" x14ac:dyDescent="0.25">
      <c r="A181" s="1">
        <v>164</v>
      </c>
      <c r="B181" s="2">
        <v>0</v>
      </c>
      <c r="C181" s="2">
        <v>0</v>
      </c>
      <c r="D181" s="2">
        <v>0</v>
      </c>
      <c r="E181" s="2">
        <v>0</v>
      </c>
      <c r="F181" s="1">
        <f t="shared" si="138"/>
        <v>0</v>
      </c>
      <c r="G181" s="1">
        <f t="shared" si="139"/>
        <v>0</v>
      </c>
      <c r="H181" s="1">
        <f t="shared" si="140"/>
        <v>0</v>
      </c>
      <c r="I181" s="1">
        <f t="shared" si="141"/>
        <v>0</v>
      </c>
      <c r="J181" s="1">
        <f t="shared" si="142"/>
        <v>0</v>
      </c>
      <c r="K181" s="1">
        <f t="shared" si="143"/>
        <v>0</v>
      </c>
      <c r="L181" s="1">
        <f t="shared" si="144"/>
        <v>0</v>
      </c>
      <c r="M181" s="1">
        <f t="shared" si="145"/>
        <v>0</v>
      </c>
      <c r="N181" s="1">
        <f t="shared" si="146"/>
        <v>0</v>
      </c>
      <c r="O181" s="1">
        <f t="shared" si="147"/>
        <v>-0.64772727272727271</v>
      </c>
      <c r="P181" s="1">
        <f t="shared" si="148"/>
        <v>-3.1477272727272729</v>
      </c>
      <c r="Q181" s="1">
        <f t="shared" si="149"/>
        <v>0</v>
      </c>
      <c r="R181" s="1">
        <f t="shared" si="104"/>
        <v>0</v>
      </c>
      <c r="S181" s="1">
        <f t="shared" si="150"/>
        <v>0</v>
      </c>
      <c r="T181" s="7">
        <f t="shared" si="151"/>
        <v>-0.64772727272727271</v>
      </c>
      <c r="U181" s="7">
        <f t="shared" si="152"/>
        <v>-3.1477272727272729</v>
      </c>
      <c r="V181" s="7">
        <f t="shared" si="153"/>
        <v>-0.64772727272727271</v>
      </c>
      <c r="W181" s="7">
        <f t="shared" si="154"/>
        <v>-3.1477272727272729</v>
      </c>
      <c r="X181" s="1">
        <f t="shared" si="105"/>
        <v>0</v>
      </c>
      <c r="Y181" s="1">
        <f t="shared" si="106"/>
        <v>0</v>
      </c>
      <c r="Z181">
        <f t="shared" si="107"/>
        <v>0</v>
      </c>
      <c r="AA181">
        <f t="shared" si="108"/>
        <v>0</v>
      </c>
      <c r="AB181">
        <f t="shared" si="109"/>
        <v>0</v>
      </c>
      <c r="AC181">
        <f t="shared" si="110"/>
        <v>0</v>
      </c>
      <c r="AD181">
        <f t="shared" si="111"/>
        <v>0</v>
      </c>
      <c r="AE181">
        <f t="shared" si="112"/>
        <v>0</v>
      </c>
      <c r="AF181">
        <f t="shared" si="113"/>
        <v>0</v>
      </c>
      <c r="AG181">
        <f t="shared" si="114"/>
        <v>0</v>
      </c>
      <c r="AH181">
        <f t="shared" si="115"/>
        <v>0</v>
      </c>
      <c r="AI181" s="1">
        <f t="shared" si="116"/>
        <v>0</v>
      </c>
      <c r="AJ181" s="1">
        <f t="shared" si="117"/>
        <v>0</v>
      </c>
      <c r="AK181">
        <f t="shared" si="118"/>
        <v>0</v>
      </c>
      <c r="AL181">
        <f t="shared" si="119"/>
        <v>0</v>
      </c>
      <c r="AM181">
        <f t="shared" si="120"/>
        <v>0</v>
      </c>
      <c r="AN181">
        <f t="shared" si="121"/>
        <v>0</v>
      </c>
      <c r="AO181">
        <f t="shared" si="122"/>
        <v>0</v>
      </c>
      <c r="AP181">
        <f t="shared" si="123"/>
        <v>0</v>
      </c>
      <c r="AQ181">
        <f t="shared" si="124"/>
        <v>0</v>
      </c>
      <c r="AR181">
        <f t="shared" si="125"/>
        <v>0</v>
      </c>
      <c r="AS181">
        <f t="shared" si="126"/>
        <v>0</v>
      </c>
      <c r="AT181" s="1">
        <f t="shared" si="127"/>
        <v>0</v>
      </c>
      <c r="AU181" s="1">
        <f t="shared" si="128"/>
        <v>0</v>
      </c>
      <c r="AV181">
        <f t="shared" si="129"/>
        <v>0</v>
      </c>
      <c r="AW181">
        <f t="shared" si="130"/>
        <v>0</v>
      </c>
      <c r="AX181">
        <f t="shared" si="131"/>
        <v>0</v>
      </c>
      <c r="AY181">
        <f t="shared" si="132"/>
        <v>0</v>
      </c>
      <c r="AZ181">
        <f t="shared" si="133"/>
        <v>0</v>
      </c>
      <c r="BA181">
        <f t="shared" si="134"/>
        <v>0</v>
      </c>
      <c r="BB181">
        <f t="shared" si="135"/>
        <v>0</v>
      </c>
      <c r="BC181">
        <f t="shared" si="136"/>
        <v>0</v>
      </c>
      <c r="BD181">
        <f t="shared" si="137"/>
        <v>0</v>
      </c>
    </row>
    <row r="182" spans="1:56" x14ac:dyDescent="0.25">
      <c r="A182" s="1">
        <v>165</v>
      </c>
      <c r="B182" s="2">
        <v>0</v>
      </c>
      <c r="C182" s="2">
        <v>0</v>
      </c>
      <c r="D182" s="2">
        <v>0</v>
      </c>
      <c r="E182" s="2">
        <v>0</v>
      </c>
      <c r="F182" s="1">
        <f t="shared" si="138"/>
        <v>0</v>
      </c>
      <c r="G182" s="1">
        <f t="shared" si="139"/>
        <v>0</v>
      </c>
      <c r="H182" s="1">
        <f t="shared" si="140"/>
        <v>0</v>
      </c>
      <c r="I182" s="1">
        <f t="shared" si="141"/>
        <v>0</v>
      </c>
      <c r="J182" s="1">
        <f t="shared" si="142"/>
        <v>0</v>
      </c>
      <c r="K182" s="1">
        <f t="shared" si="143"/>
        <v>0</v>
      </c>
      <c r="L182" s="1">
        <f t="shared" si="144"/>
        <v>0</v>
      </c>
      <c r="M182" s="1">
        <f t="shared" si="145"/>
        <v>0</v>
      </c>
      <c r="N182" s="1">
        <f t="shared" si="146"/>
        <v>0</v>
      </c>
      <c r="O182" s="1">
        <f t="shared" si="147"/>
        <v>-0.64772727272727271</v>
      </c>
      <c r="P182" s="1">
        <f t="shared" si="148"/>
        <v>-3.1477272727272729</v>
      </c>
      <c r="Q182" s="1">
        <f t="shared" si="149"/>
        <v>0</v>
      </c>
      <c r="R182" s="1">
        <f t="shared" si="104"/>
        <v>0</v>
      </c>
      <c r="S182" s="1">
        <f t="shared" si="150"/>
        <v>0</v>
      </c>
      <c r="T182" s="7">
        <f t="shared" si="151"/>
        <v>-0.64772727272727271</v>
      </c>
      <c r="U182" s="7">
        <f t="shared" si="152"/>
        <v>-3.1477272727272729</v>
      </c>
      <c r="V182" s="7">
        <f t="shared" si="153"/>
        <v>-0.64772727272727271</v>
      </c>
      <c r="W182" s="7">
        <f t="shared" si="154"/>
        <v>-3.1477272727272729</v>
      </c>
      <c r="X182" s="1">
        <f t="shared" si="105"/>
        <v>0</v>
      </c>
      <c r="Y182" s="1">
        <f t="shared" si="106"/>
        <v>0</v>
      </c>
      <c r="Z182">
        <f t="shared" si="107"/>
        <v>0</v>
      </c>
      <c r="AA182">
        <f t="shared" si="108"/>
        <v>0</v>
      </c>
      <c r="AB182">
        <f t="shared" si="109"/>
        <v>0</v>
      </c>
      <c r="AC182">
        <f t="shared" si="110"/>
        <v>0</v>
      </c>
      <c r="AD182">
        <f t="shared" si="111"/>
        <v>0</v>
      </c>
      <c r="AE182">
        <f t="shared" si="112"/>
        <v>0</v>
      </c>
      <c r="AF182">
        <f t="shared" si="113"/>
        <v>0</v>
      </c>
      <c r="AG182">
        <f t="shared" si="114"/>
        <v>0</v>
      </c>
      <c r="AH182">
        <f t="shared" si="115"/>
        <v>0</v>
      </c>
      <c r="AI182" s="1">
        <f t="shared" si="116"/>
        <v>0</v>
      </c>
      <c r="AJ182" s="1">
        <f t="shared" si="117"/>
        <v>0</v>
      </c>
      <c r="AK182">
        <f t="shared" si="118"/>
        <v>0</v>
      </c>
      <c r="AL182">
        <f t="shared" si="119"/>
        <v>0</v>
      </c>
      <c r="AM182">
        <f t="shared" si="120"/>
        <v>0</v>
      </c>
      <c r="AN182">
        <f t="shared" si="121"/>
        <v>0</v>
      </c>
      <c r="AO182">
        <f t="shared" si="122"/>
        <v>0</v>
      </c>
      <c r="AP182">
        <f t="shared" si="123"/>
        <v>0</v>
      </c>
      <c r="AQ182">
        <f t="shared" si="124"/>
        <v>0</v>
      </c>
      <c r="AR182">
        <f t="shared" si="125"/>
        <v>0</v>
      </c>
      <c r="AS182">
        <f t="shared" si="126"/>
        <v>0</v>
      </c>
      <c r="AT182" s="1">
        <f t="shared" si="127"/>
        <v>0</v>
      </c>
      <c r="AU182" s="1">
        <f t="shared" si="128"/>
        <v>0</v>
      </c>
      <c r="AV182">
        <f t="shared" si="129"/>
        <v>0</v>
      </c>
      <c r="AW182">
        <f t="shared" si="130"/>
        <v>0</v>
      </c>
      <c r="AX182">
        <f t="shared" si="131"/>
        <v>0</v>
      </c>
      <c r="AY182">
        <f t="shared" si="132"/>
        <v>0</v>
      </c>
      <c r="AZ182">
        <f t="shared" si="133"/>
        <v>0</v>
      </c>
      <c r="BA182">
        <f t="shared" si="134"/>
        <v>0</v>
      </c>
      <c r="BB182">
        <f t="shared" si="135"/>
        <v>0</v>
      </c>
      <c r="BC182">
        <f t="shared" si="136"/>
        <v>0</v>
      </c>
      <c r="BD182">
        <f t="shared" si="137"/>
        <v>0</v>
      </c>
    </row>
    <row r="183" spans="1:56" x14ac:dyDescent="0.25">
      <c r="A183" s="1">
        <v>166</v>
      </c>
      <c r="B183" s="2">
        <v>0</v>
      </c>
      <c r="C183" s="2">
        <v>0</v>
      </c>
      <c r="D183" s="2">
        <v>0</v>
      </c>
      <c r="E183" s="2">
        <v>0</v>
      </c>
      <c r="F183" s="1">
        <f t="shared" si="138"/>
        <v>0</v>
      </c>
      <c r="G183" s="1">
        <f t="shared" si="139"/>
        <v>0</v>
      </c>
      <c r="H183" s="1">
        <f t="shared" si="140"/>
        <v>0</v>
      </c>
      <c r="I183" s="1">
        <f t="shared" si="141"/>
        <v>0</v>
      </c>
      <c r="J183" s="1">
        <f t="shared" si="142"/>
        <v>0</v>
      </c>
      <c r="K183" s="1">
        <f t="shared" si="143"/>
        <v>0</v>
      </c>
      <c r="L183" s="1">
        <f t="shared" si="144"/>
        <v>0</v>
      </c>
      <c r="M183" s="1">
        <f t="shared" si="145"/>
        <v>0</v>
      </c>
      <c r="N183" s="1">
        <f t="shared" si="146"/>
        <v>0</v>
      </c>
      <c r="O183" s="1">
        <f t="shared" si="147"/>
        <v>-0.64772727272727271</v>
      </c>
      <c r="P183" s="1">
        <f t="shared" si="148"/>
        <v>-3.1477272727272729</v>
      </c>
      <c r="Q183" s="1">
        <f t="shared" si="149"/>
        <v>0</v>
      </c>
      <c r="R183" s="1">
        <f t="shared" si="104"/>
        <v>0</v>
      </c>
      <c r="S183" s="1">
        <f t="shared" si="150"/>
        <v>0</v>
      </c>
      <c r="T183" s="7">
        <f t="shared" si="151"/>
        <v>-0.64772727272727271</v>
      </c>
      <c r="U183" s="7">
        <f t="shared" si="152"/>
        <v>-3.1477272727272729</v>
      </c>
      <c r="V183" s="7">
        <f t="shared" si="153"/>
        <v>-0.64772727272727271</v>
      </c>
      <c r="W183" s="7">
        <f t="shared" si="154"/>
        <v>-3.1477272727272729</v>
      </c>
      <c r="X183" s="1">
        <f t="shared" si="105"/>
        <v>0</v>
      </c>
      <c r="Y183" s="1">
        <f t="shared" si="106"/>
        <v>0</v>
      </c>
      <c r="Z183">
        <f t="shared" si="107"/>
        <v>0</v>
      </c>
      <c r="AA183">
        <f t="shared" si="108"/>
        <v>0</v>
      </c>
      <c r="AB183">
        <f t="shared" si="109"/>
        <v>0</v>
      </c>
      <c r="AC183">
        <f t="shared" si="110"/>
        <v>0</v>
      </c>
      <c r="AD183">
        <f t="shared" si="111"/>
        <v>0</v>
      </c>
      <c r="AE183">
        <f t="shared" si="112"/>
        <v>0</v>
      </c>
      <c r="AF183">
        <f t="shared" si="113"/>
        <v>0</v>
      </c>
      <c r="AG183">
        <f t="shared" si="114"/>
        <v>0</v>
      </c>
      <c r="AH183">
        <f t="shared" si="115"/>
        <v>0</v>
      </c>
      <c r="AI183" s="1">
        <f t="shared" si="116"/>
        <v>0</v>
      </c>
      <c r="AJ183" s="1">
        <f t="shared" si="117"/>
        <v>0</v>
      </c>
      <c r="AK183">
        <f t="shared" si="118"/>
        <v>0</v>
      </c>
      <c r="AL183">
        <f t="shared" si="119"/>
        <v>0</v>
      </c>
      <c r="AM183">
        <f t="shared" si="120"/>
        <v>0</v>
      </c>
      <c r="AN183">
        <f t="shared" si="121"/>
        <v>0</v>
      </c>
      <c r="AO183">
        <f t="shared" si="122"/>
        <v>0</v>
      </c>
      <c r="AP183">
        <f t="shared" si="123"/>
        <v>0</v>
      </c>
      <c r="AQ183">
        <f t="shared" si="124"/>
        <v>0</v>
      </c>
      <c r="AR183">
        <f t="shared" si="125"/>
        <v>0</v>
      </c>
      <c r="AS183">
        <f t="shared" si="126"/>
        <v>0</v>
      </c>
      <c r="AT183" s="1">
        <f t="shared" si="127"/>
        <v>0</v>
      </c>
      <c r="AU183" s="1">
        <f t="shared" si="128"/>
        <v>0</v>
      </c>
      <c r="AV183">
        <f t="shared" si="129"/>
        <v>0</v>
      </c>
      <c r="AW183">
        <f t="shared" si="130"/>
        <v>0</v>
      </c>
      <c r="AX183">
        <f t="shared" si="131"/>
        <v>0</v>
      </c>
      <c r="AY183">
        <f t="shared" si="132"/>
        <v>0</v>
      </c>
      <c r="AZ183">
        <f t="shared" si="133"/>
        <v>0</v>
      </c>
      <c r="BA183">
        <f t="shared" si="134"/>
        <v>0</v>
      </c>
      <c r="BB183">
        <f t="shared" si="135"/>
        <v>0</v>
      </c>
      <c r="BC183">
        <f t="shared" si="136"/>
        <v>0</v>
      </c>
      <c r="BD183">
        <f t="shared" si="137"/>
        <v>0</v>
      </c>
    </row>
    <row r="184" spans="1:56" x14ac:dyDescent="0.25">
      <c r="A184" s="1">
        <v>167</v>
      </c>
      <c r="B184" s="2">
        <v>0</v>
      </c>
      <c r="C184" s="2">
        <v>0</v>
      </c>
      <c r="D184" s="2">
        <v>0</v>
      </c>
      <c r="E184" s="2">
        <v>0</v>
      </c>
      <c r="F184" s="1">
        <f t="shared" si="138"/>
        <v>0</v>
      </c>
      <c r="G184" s="1">
        <f t="shared" si="139"/>
        <v>0</v>
      </c>
      <c r="H184" s="1">
        <f t="shared" si="140"/>
        <v>0</v>
      </c>
      <c r="I184" s="1">
        <f t="shared" si="141"/>
        <v>0</v>
      </c>
      <c r="J184" s="1">
        <f t="shared" si="142"/>
        <v>0</v>
      </c>
      <c r="K184" s="1">
        <f t="shared" si="143"/>
        <v>0</v>
      </c>
      <c r="L184" s="1">
        <f t="shared" si="144"/>
        <v>0</v>
      </c>
      <c r="M184" s="1">
        <f t="shared" si="145"/>
        <v>0</v>
      </c>
      <c r="N184" s="1">
        <f t="shared" si="146"/>
        <v>0</v>
      </c>
      <c r="O184" s="1">
        <f t="shared" si="147"/>
        <v>-0.64772727272727271</v>
      </c>
      <c r="P184" s="1">
        <f t="shared" si="148"/>
        <v>-3.1477272727272729</v>
      </c>
      <c r="Q184" s="1">
        <f t="shared" si="149"/>
        <v>0</v>
      </c>
      <c r="R184" s="1">
        <f t="shared" si="104"/>
        <v>0</v>
      </c>
      <c r="S184" s="1">
        <f t="shared" si="150"/>
        <v>0</v>
      </c>
      <c r="T184" s="7">
        <f t="shared" si="151"/>
        <v>-0.64772727272727271</v>
      </c>
      <c r="U184" s="7">
        <f t="shared" si="152"/>
        <v>-3.1477272727272729</v>
      </c>
      <c r="V184" s="7">
        <f t="shared" si="153"/>
        <v>-0.64772727272727271</v>
      </c>
      <c r="W184" s="7">
        <f t="shared" si="154"/>
        <v>-3.1477272727272729</v>
      </c>
      <c r="X184" s="1">
        <f t="shared" si="105"/>
        <v>0</v>
      </c>
      <c r="Y184" s="1">
        <f t="shared" si="106"/>
        <v>0</v>
      </c>
      <c r="Z184">
        <f t="shared" si="107"/>
        <v>0</v>
      </c>
      <c r="AA184">
        <f t="shared" si="108"/>
        <v>0</v>
      </c>
      <c r="AB184">
        <f t="shared" si="109"/>
        <v>0</v>
      </c>
      <c r="AC184">
        <f t="shared" si="110"/>
        <v>0</v>
      </c>
      <c r="AD184">
        <f t="shared" si="111"/>
        <v>0</v>
      </c>
      <c r="AE184">
        <f t="shared" si="112"/>
        <v>0</v>
      </c>
      <c r="AF184">
        <f t="shared" si="113"/>
        <v>0</v>
      </c>
      <c r="AG184">
        <f t="shared" si="114"/>
        <v>0</v>
      </c>
      <c r="AH184">
        <f t="shared" si="115"/>
        <v>0</v>
      </c>
      <c r="AI184" s="1">
        <f t="shared" si="116"/>
        <v>0</v>
      </c>
      <c r="AJ184" s="1">
        <f t="shared" si="117"/>
        <v>0</v>
      </c>
      <c r="AK184">
        <f t="shared" si="118"/>
        <v>0</v>
      </c>
      <c r="AL184">
        <f t="shared" si="119"/>
        <v>0</v>
      </c>
      <c r="AM184">
        <f t="shared" si="120"/>
        <v>0</v>
      </c>
      <c r="AN184">
        <f t="shared" si="121"/>
        <v>0</v>
      </c>
      <c r="AO184">
        <f t="shared" si="122"/>
        <v>0</v>
      </c>
      <c r="AP184">
        <f t="shared" si="123"/>
        <v>0</v>
      </c>
      <c r="AQ184">
        <f t="shared" si="124"/>
        <v>0</v>
      </c>
      <c r="AR184">
        <f t="shared" si="125"/>
        <v>0</v>
      </c>
      <c r="AS184">
        <f t="shared" si="126"/>
        <v>0</v>
      </c>
      <c r="AT184" s="1">
        <f t="shared" si="127"/>
        <v>0</v>
      </c>
      <c r="AU184" s="1">
        <f t="shared" si="128"/>
        <v>0</v>
      </c>
      <c r="AV184">
        <f t="shared" si="129"/>
        <v>0</v>
      </c>
      <c r="AW184">
        <f t="shared" si="130"/>
        <v>0</v>
      </c>
      <c r="AX184">
        <f t="shared" si="131"/>
        <v>0</v>
      </c>
      <c r="AY184">
        <f t="shared" si="132"/>
        <v>0</v>
      </c>
      <c r="AZ184">
        <f t="shared" si="133"/>
        <v>0</v>
      </c>
      <c r="BA184">
        <f t="shared" si="134"/>
        <v>0</v>
      </c>
      <c r="BB184">
        <f t="shared" si="135"/>
        <v>0</v>
      </c>
      <c r="BC184">
        <f t="shared" si="136"/>
        <v>0</v>
      </c>
      <c r="BD184">
        <f t="shared" si="137"/>
        <v>0</v>
      </c>
    </row>
    <row r="185" spans="1:56" x14ac:dyDescent="0.25">
      <c r="A185" s="1">
        <v>168</v>
      </c>
      <c r="B185" s="2">
        <v>0</v>
      </c>
      <c r="C185" s="2">
        <v>0</v>
      </c>
      <c r="D185" s="2">
        <v>0</v>
      </c>
      <c r="E185" s="2">
        <v>0</v>
      </c>
      <c r="F185" s="1">
        <f t="shared" si="138"/>
        <v>0</v>
      </c>
      <c r="G185" s="1">
        <f t="shared" si="139"/>
        <v>0</v>
      </c>
      <c r="H185" s="1">
        <f t="shared" si="140"/>
        <v>0</v>
      </c>
      <c r="I185" s="1">
        <f t="shared" si="141"/>
        <v>0</v>
      </c>
      <c r="J185" s="1">
        <f t="shared" si="142"/>
        <v>0</v>
      </c>
      <c r="K185" s="1">
        <f t="shared" si="143"/>
        <v>0</v>
      </c>
      <c r="L185" s="1">
        <f t="shared" si="144"/>
        <v>0</v>
      </c>
      <c r="M185" s="1">
        <f t="shared" si="145"/>
        <v>0</v>
      </c>
      <c r="N185" s="1">
        <f t="shared" si="146"/>
        <v>0</v>
      </c>
      <c r="O185" s="1">
        <f t="shared" si="147"/>
        <v>-0.64772727272727271</v>
      </c>
      <c r="P185" s="1">
        <f t="shared" si="148"/>
        <v>-3.1477272727272729</v>
      </c>
      <c r="Q185" s="1">
        <f t="shared" si="149"/>
        <v>0</v>
      </c>
      <c r="R185" s="1">
        <f t="shared" si="104"/>
        <v>0</v>
      </c>
      <c r="S185" s="1">
        <f t="shared" si="150"/>
        <v>0</v>
      </c>
      <c r="T185" s="7">
        <f t="shared" si="151"/>
        <v>-0.64772727272727271</v>
      </c>
      <c r="U185" s="7">
        <f t="shared" si="152"/>
        <v>-3.1477272727272729</v>
      </c>
      <c r="V185" s="7">
        <f t="shared" si="153"/>
        <v>-0.64772727272727271</v>
      </c>
      <c r="W185" s="7">
        <f t="shared" si="154"/>
        <v>-3.1477272727272729</v>
      </c>
      <c r="X185" s="1">
        <f t="shared" si="105"/>
        <v>0</v>
      </c>
      <c r="Y185" s="1">
        <f t="shared" si="106"/>
        <v>0</v>
      </c>
      <c r="Z185">
        <f t="shared" si="107"/>
        <v>0</v>
      </c>
      <c r="AA185">
        <f t="shared" si="108"/>
        <v>0</v>
      </c>
      <c r="AB185">
        <f t="shared" si="109"/>
        <v>0</v>
      </c>
      <c r="AC185">
        <f t="shared" si="110"/>
        <v>0</v>
      </c>
      <c r="AD185">
        <f t="shared" si="111"/>
        <v>0</v>
      </c>
      <c r="AE185">
        <f t="shared" si="112"/>
        <v>0</v>
      </c>
      <c r="AF185">
        <f t="shared" si="113"/>
        <v>0</v>
      </c>
      <c r="AG185">
        <f t="shared" si="114"/>
        <v>0</v>
      </c>
      <c r="AH185">
        <f t="shared" si="115"/>
        <v>0</v>
      </c>
      <c r="AI185" s="1">
        <f t="shared" si="116"/>
        <v>0</v>
      </c>
      <c r="AJ185" s="1">
        <f t="shared" si="117"/>
        <v>0</v>
      </c>
      <c r="AK185">
        <f t="shared" si="118"/>
        <v>0</v>
      </c>
      <c r="AL185">
        <f t="shared" si="119"/>
        <v>0</v>
      </c>
      <c r="AM185">
        <f t="shared" si="120"/>
        <v>0</v>
      </c>
      <c r="AN185">
        <f t="shared" si="121"/>
        <v>0</v>
      </c>
      <c r="AO185">
        <f t="shared" si="122"/>
        <v>0</v>
      </c>
      <c r="AP185">
        <f t="shared" si="123"/>
        <v>0</v>
      </c>
      <c r="AQ185">
        <f t="shared" si="124"/>
        <v>0</v>
      </c>
      <c r="AR185">
        <f t="shared" si="125"/>
        <v>0</v>
      </c>
      <c r="AS185">
        <f t="shared" si="126"/>
        <v>0</v>
      </c>
      <c r="AT185" s="1">
        <f t="shared" si="127"/>
        <v>0</v>
      </c>
      <c r="AU185" s="1">
        <f t="shared" si="128"/>
        <v>0</v>
      </c>
      <c r="AV185">
        <f t="shared" si="129"/>
        <v>0</v>
      </c>
      <c r="AW185">
        <f t="shared" si="130"/>
        <v>0</v>
      </c>
      <c r="AX185">
        <f t="shared" si="131"/>
        <v>0</v>
      </c>
      <c r="AY185">
        <f t="shared" si="132"/>
        <v>0</v>
      </c>
      <c r="AZ185">
        <f t="shared" si="133"/>
        <v>0</v>
      </c>
      <c r="BA185">
        <f t="shared" si="134"/>
        <v>0</v>
      </c>
      <c r="BB185">
        <f t="shared" si="135"/>
        <v>0</v>
      </c>
      <c r="BC185">
        <f t="shared" si="136"/>
        <v>0</v>
      </c>
      <c r="BD185">
        <f t="shared" si="137"/>
        <v>0</v>
      </c>
    </row>
    <row r="186" spans="1:56" x14ac:dyDescent="0.25">
      <c r="A186" s="1">
        <v>169</v>
      </c>
      <c r="B186" s="2">
        <v>0</v>
      </c>
      <c r="C186" s="2">
        <v>0</v>
      </c>
      <c r="D186" s="2">
        <v>0</v>
      </c>
      <c r="E186" s="2">
        <v>0</v>
      </c>
      <c r="F186" s="1">
        <f t="shared" si="138"/>
        <v>0</v>
      </c>
      <c r="G186" s="1">
        <f t="shared" si="139"/>
        <v>0</v>
      </c>
      <c r="H186" s="1">
        <f t="shared" si="140"/>
        <v>0</v>
      </c>
      <c r="I186" s="1">
        <f t="shared" si="141"/>
        <v>0</v>
      </c>
      <c r="J186" s="1">
        <f t="shared" si="142"/>
        <v>0</v>
      </c>
      <c r="K186" s="1">
        <f t="shared" si="143"/>
        <v>0</v>
      </c>
      <c r="L186" s="1">
        <f t="shared" si="144"/>
        <v>0</v>
      </c>
      <c r="M186" s="1">
        <f t="shared" si="145"/>
        <v>0</v>
      </c>
      <c r="N186" s="1">
        <f t="shared" si="146"/>
        <v>0</v>
      </c>
      <c r="O186" s="1">
        <f t="shared" si="147"/>
        <v>-0.64772727272727271</v>
      </c>
      <c r="P186" s="1">
        <f t="shared" si="148"/>
        <v>-3.1477272727272729</v>
      </c>
      <c r="Q186" s="1">
        <f t="shared" si="149"/>
        <v>0</v>
      </c>
      <c r="R186" s="1">
        <f t="shared" si="104"/>
        <v>0</v>
      </c>
      <c r="S186" s="1">
        <f t="shared" si="150"/>
        <v>0</v>
      </c>
      <c r="T186" s="7">
        <f t="shared" si="151"/>
        <v>-0.64772727272727271</v>
      </c>
      <c r="U186" s="7">
        <f t="shared" si="152"/>
        <v>-3.1477272727272729</v>
      </c>
      <c r="V186" s="7">
        <f t="shared" si="153"/>
        <v>-0.64772727272727271</v>
      </c>
      <c r="W186" s="7">
        <f t="shared" si="154"/>
        <v>-3.1477272727272729</v>
      </c>
      <c r="X186" s="1">
        <f t="shared" si="105"/>
        <v>0</v>
      </c>
      <c r="Y186" s="1">
        <f t="shared" si="106"/>
        <v>0</v>
      </c>
      <c r="Z186">
        <f t="shared" si="107"/>
        <v>0</v>
      </c>
      <c r="AA186">
        <f t="shared" si="108"/>
        <v>0</v>
      </c>
      <c r="AB186">
        <f t="shared" si="109"/>
        <v>0</v>
      </c>
      <c r="AC186">
        <f t="shared" si="110"/>
        <v>0</v>
      </c>
      <c r="AD186">
        <f t="shared" si="111"/>
        <v>0</v>
      </c>
      <c r="AE186">
        <f t="shared" si="112"/>
        <v>0</v>
      </c>
      <c r="AF186">
        <f t="shared" si="113"/>
        <v>0</v>
      </c>
      <c r="AG186">
        <f t="shared" si="114"/>
        <v>0</v>
      </c>
      <c r="AH186">
        <f t="shared" si="115"/>
        <v>0</v>
      </c>
      <c r="AI186" s="1">
        <f t="shared" si="116"/>
        <v>0</v>
      </c>
      <c r="AJ186" s="1">
        <f t="shared" si="117"/>
        <v>0</v>
      </c>
      <c r="AK186">
        <f t="shared" si="118"/>
        <v>0</v>
      </c>
      <c r="AL186">
        <f t="shared" si="119"/>
        <v>0</v>
      </c>
      <c r="AM186">
        <f t="shared" si="120"/>
        <v>0</v>
      </c>
      <c r="AN186">
        <f t="shared" si="121"/>
        <v>0</v>
      </c>
      <c r="AO186">
        <f t="shared" si="122"/>
        <v>0</v>
      </c>
      <c r="AP186">
        <f t="shared" si="123"/>
        <v>0</v>
      </c>
      <c r="AQ186">
        <f t="shared" si="124"/>
        <v>0</v>
      </c>
      <c r="AR186">
        <f t="shared" si="125"/>
        <v>0</v>
      </c>
      <c r="AS186">
        <f t="shared" si="126"/>
        <v>0</v>
      </c>
      <c r="AT186" s="1">
        <f t="shared" si="127"/>
        <v>0</v>
      </c>
      <c r="AU186" s="1">
        <f t="shared" si="128"/>
        <v>0</v>
      </c>
      <c r="AV186">
        <f t="shared" si="129"/>
        <v>0</v>
      </c>
      <c r="AW186">
        <f t="shared" si="130"/>
        <v>0</v>
      </c>
      <c r="AX186">
        <f t="shared" si="131"/>
        <v>0</v>
      </c>
      <c r="AY186">
        <f t="shared" si="132"/>
        <v>0</v>
      </c>
      <c r="AZ186">
        <f t="shared" si="133"/>
        <v>0</v>
      </c>
      <c r="BA186">
        <f t="shared" si="134"/>
        <v>0</v>
      </c>
      <c r="BB186">
        <f t="shared" si="135"/>
        <v>0</v>
      </c>
      <c r="BC186">
        <f t="shared" si="136"/>
        <v>0</v>
      </c>
      <c r="BD186">
        <f t="shared" si="137"/>
        <v>0</v>
      </c>
    </row>
    <row r="187" spans="1:56" x14ac:dyDescent="0.25">
      <c r="A187" s="1">
        <v>170</v>
      </c>
      <c r="B187" s="2">
        <v>0</v>
      </c>
      <c r="C187" s="2">
        <v>0</v>
      </c>
      <c r="D187" s="2">
        <v>0</v>
      </c>
      <c r="E187" s="2">
        <v>0</v>
      </c>
      <c r="F187" s="1">
        <f t="shared" si="138"/>
        <v>0</v>
      </c>
      <c r="G187" s="1">
        <f t="shared" si="139"/>
        <v>0</v>
      </c>
      <c r="H187" s="1">
        <f t="shared" si="140"/>
        <v>0</v>
      </c>
      <c r="I187" s="1">
        <f t="shared" si="141"/>
        <v>0</v>
      </c>
      <c r="J187" s="1">
        <f t="shared" si="142"/>
        <v>0</v>
      </c>
      <c r="K187" s="1">
        <f t="shared" si="143"/>
        <v>0</v>
      </c>
      <c r="L187" s="1">
        <f t="shared" si="144"/>
        <v>0</v>
      </c>
      <c r="M187" s="1">
        <f t="shared" si="145"/>
        <v>0</v>
      </c>
      <c r="N187" s="1">
        <f t="shared" si="146"/>
        <v>0</v>
      </c>
      <c r="O187" s="1">
        <f t="shared" si="147"/>
        <v>-0.64772727272727271</v>
      </c>
      <c r="P187" s="1">
        <f t="shared" si="148"/>
        <v>-3.1477272727272729</v>
      </c>
      <c r="Q187" s="1">
        <f t="shared" si="149"/>
        <v>0</v>
      </c>
      <c r="R187" s="1">
        <f t="shared" si="104"/>
        <v>0</v>
      </c>
      <c r="S187" s="1">
        <f t="shared" si="150"/>
        <v>0</v>
      </c>
      <c r="T187" s="7">
        <f t="shared" si="151"/>
        <v>-0.64772727272727271</v>
      </c>
      <c r="U187" s="7">
        <f t="shared" si="152"/>
        <v>-3.1477272727272729</v>
      </c>
      <c r="V187" s="7">
        <f t="shared" si="153"/>
        <v>-0.64772727272727271</v>
      </c>
      <c r="W187" s="7">
        <f t="shared" si="154"/>
        <v>-3.1477272727272729</v>
      </c>
      <c r="X187" s="1">
        <f t="shared" si="105"/>
        <v>0</v>
      </c>
      <c r="Y187" s="1">
        <f t="shared" si="106"/>
        <v>0</v>
      </c>
      <c r="Z187">
        <f t="shared" si="107"/>
        <v>0</v>
      </c>
      <c r="AA187">
        <f t="shared" si="108"/>
        <v>0</v>
      </c>
      <c r="AB187">
        <f t="shared" si="109"/>
        <v>0</v>
      </c>
      <c r="AC187">
        <f t="shared" si="110"/>
        <v>0</v>
      </c>
      <c r="AD187">
        <f t="shared" si="111"/>
        <v>0</v>
      </c>
      <c r="AE187">
        <f t="shared" si="112"/>
        <v>0</v>
      </c>
      <c r="AF187">
        <f t="shared" si="113"/>
        <v>0</v>
      </c>
      <c r="AG187">
        <f t="shared" si="114"/>
        <v>0</v>
      </c>
      <c r="AH187">
        <f t="shared" si="115"/>
        <v>0</v>
      </c>
      <c r="AI187" s="1">
        <f t="shared" si="116"/>
        <v>0</v>
      </c>
      <c r="AJ187" s="1">
        <f t="shared" si="117"/>
        <v>0</v>
      </c>
      <c r="AK187">
        <f t="shared" si="118"/>
        <v>0</v>
      </c>
      <c r="AL187">
        <f t="shared" si="119"/>
        <v>0</v>
      </c>
      <c r="AM187">
        <f t="shared" si="120"/>
        <v>0</v>
      </c>
      <c r="AN187">
        <f t="shared" si="121"/>
        <v>0</v>
      </c>
      <c r="AO187">
        <f t="shared" si="122"/>
        <v>0</v>
      </c>
      <c r="AP187">
        <f t="shared" si="123"/>
        <v>0</v>
      </c>
      <c r="AQ187">
        <f t="shared" si="124"/>
        <v>0</v>
      </c>
      <c r="AR187">
        <f t="shared" si="125"/>
        <v>0</v>
      </c>
      <c r="AS187">
        <f t="shared" si="126"/>
        <v>0</v>
      </c>
      <c r="AT187" s="1">
        <f t="shared" si="127"/>
        <v>0</v>
      </c>
      <c r="AU187" s="1">
        <f t="shared" si="128"/>
        <v>0</v>
      </c>
      <c r="AV187">
        <f t="shared" si="129"/>
        <v>0</v>
      </c>
      <c r="AW187">
        <f t="shared" si="130"/>
        <v>0</v>
      </c>
      <c r="AX187">
        <f t="shared" si="131"/>
        <v>0</v>
      </c>
      <c r="AY187">
        <f t="shared" si="132"/>
        <v>0</v>
      </c>
      <c r="AZ187">
        <f t="shared" si="133"/>
        <v>0</v>
      </c>
      <c r="BA187">
        <f t="shared" si="134"/>
        <v>0</v>
      </c>
      <c r="BB187">
        <f t="shared" si="135"/>
        <v>0</v>
      </c>
      <c r="BC187">
        <f t="shared" si="136"/>
        <v>0</v>
      </c>
      <c r="BD187">
        <f t="shared" si="137"/>
        <v>0</v>
      </c>
    </row>
    <row r="188" spans="1:56" x14ac:dyDescent="0.25">
      <c r="A188" s="1">
        <v>171</v>
      </c>
      <c r="B188" s="2">
        <v>0</v>
      </c>
      <c r="C188" s="2">
        <v>0</v>
      </c>
      <c r="D188" s="2">
        <v>0</v>
      </c>
      <c r="E188" s="2">
        <v>0</v>
      </c>
      <c r="F188" s="1">
        <f t="shared" si="138"/>
        <v>0</v>
      </c>
      <c r="G188" s="1">
        <f t="shared" si="139"/>
        <v>0</v>
      </c>
      <c r="H188" s="1">
        <f t="shared" si="140"/>
        <v>0</v>
      </c>
      <c r="I188" s="1">
        <f t="shared" si="141"/>
        <v>0</v>
      </c>
      <c r="J188" s="1">
        <f t="shared" si="142"/>
        <v>0</v>
      </c>
      <c r="K188" s="1">
        <f t="shared" si="143"/>
        <v>0</v>
      </c>
      <c r="L188" s="1">
        <f t="shared" si="144"/>
        <v>0</v>
      </c>
      <c r="M188" s="1">
        <f t="shared" si="145"/>
        <v>0</v>
      </c>
      <c r="N188" s="1">
        <f t="shared" si="146"/>
        <v>0</v>
      </c>
      <c r="O188" s="1">
        <f t="shared" si="147"/>
        <v>-0.64772727272727271</v>
      </c>
      <c r="P188" s="1">
        <f t="shared" si="148"/>
        <v>-3.1477272727272729</v>
      </c>
      <c r="Q188" s="1">
        <f t="shared" si="149"/>
        <v>0</v>
      </c>
      <c r="R188" s="1">
        <f t="shared" si="104"/>
        <v>0</v>
      </c>
      <c r="S188" s="1">
        <f t="shared" si="150"/>
        <v>0</v>
      </c>
      <c r="T188" s="7">
        <f t="shared" si="151"/>
        <v>-0.64772727272727271</v>
      </c>
      <c r="U188" s="7">
        <f t="shared" si="152"/>
        <v>-3.1477272727272729</v>
      </c>
      <c r="V188" s="7">
        <f t="shared" si="153"/>
        <v>-0.64772727272727271</v>
      </c>
      <c r="W188" s="7">
        <f t="shared" si="154"/>
        <v>-3.1477272727272729</v>
      </c>
      <c r="X188" s="1">
        <f t="shared" si="105"/>
        <v>0</v>
      </c>
      <c r="Y188" s="1">
        <f t="shared" si="106"/>
        <v>0</v>
      </c>
      <c r="Z188">
        <f t="shared" si="107"/>
        <v>0</v>
      </c>
      <c r="AA188">
        <f t="shared" si="108"/>
        <v>0</v>
      </c>
      <c r="AB188">
        <f t="shared" si="109"/>
        <v>0</v>
      </c>
      <c r="AC188">
        <f t="shared" si="110"/>
        <v>0</v>
      </c>
      <c r="AD188">
        <f t="shared" si="111"/>
        <v>0</v>
      </c>
      <c r="AE188">
        <f t="shared" si="112"/>
        <v>0</v>
      </c>
      <c r="AF188">
        <f t="shared" si="113"/>
        <v>0</v>
      </c>
      <c r="AG188">
        <f t="shared" si="114"/>
        <v>0</v>
      </c>
      <c r="AH188">
        <f t="shared" si="115"/>
        <v>0</v>
      </c>
      <c r="AI188" s="1">
        <f t="shared" si="116"/>
        <v>0</v>
      </c>
      <c r="AJ188" s="1">
        <f t="shared" si="117"/>
        <v>0</v>
      </c>
      <c r="AK188">
        <f t="shared" si="118"/>
        <v>0</v>
      </c>
      <c r="AL188">
        <f t="shared" si="119"/>
        <v>0</v>
      </c>
      <c r="AM188">
        <f t="shared" si="120"/>
        <v>0</v>
      </c>
      <c r="AN188">
        <f t="shared" si="121"/>
        <v>0</v>
      </c>
      <c r="AO188">
        <f t="shared" si="122"/>
        <v>0</v>
      </c>
      <c r="AP188">
        <f t="shared" si="123"/>
        <v>0</v>
      </c>
      <c r="AQ188">
        <f t="shared" si="124"/>
        <v>0</v>
      </c>
      <c r="AR188">
        <f t="shared" si="125"/>
        <v>0</v>
      </c>
      <c r="AS188">
        <f t="shared" si="126"/>
        <v>0</v>
      </c>
      <c r="AT188" s="1">
        <f t="shared" si="127"/>
        <v>0</v>
      </c>
      <c r="AU188" s="1">
        <f t="shared" si="128"/>
        <v>0</v>
      </c>
      <c r="AV188">
        <f t="shared" si="129"/>
        <v>0</v>
      </c>
      <c r="AW188">
        <f t="shared" si="130"/>
        <v>0</v>
      </c>
      <c r="AX188">
        <f t="shared" si="131"/>
        <v>0</v>
      </c>
      <c r="AY188">
        <f t="shared" si="132"/>
        <v>0</v>
      </c>
      <c r="AZ188">
        <f t="shared" si="133"/>
        <v>0</v>
      </c>
      <c r="BA188">
        <f t="shared" si="134"/>
        <v>0</v>
      </c>
      <c r="BB188">
        <f t="shared" si="135"/>
        <v>0</v>
      </c>
      <c r="BC188">
        <f t="shared" si="136"/>
        <v>0</v>
      </c>
      <c r="BD188">
        <f t="shared" si="137"/>
        <v>0</v>
      </c>
    </row>
    <row r="189" spans="1:56" x14ac:dyDescent="0.25">
      <c r="A189" s="1">
        <v>172</v>
      </c>
      <c r="B189" s="2">
        <v>0</v>
      </c>
      <c r="C189" s="2">
        <v>0</v>
      </c>
      <c r="D189" s="2">
        <v>0</v>
      </c>
      <c r="E189" s="2">
        <v>0</v>
      </c>
      <c r="F189" s="1">
        <f t="shared" si="138"/>
        <v>0</v>
      </c>
      <c r="G189" s="1">
        <f t="shared" si="139"/>
        <v>0</v>
      </c>
      <c r="H189" s="1">
        <f t="shared" si="140"/>
        <v>0</v>
      </c>
      <c r="I189" s="1">
        <f t="shared" si="141"/>
        <v>0</v>
      </c>
      <c r="J189" s="1">
        <f t="shared" si="142"/>
        <v>0</v>
      </c>
      <c r="K189" s="1">
        <f t="shared" si="143"/>
        <v>0</v>
      </c>
      <c r="L189" s="1">
        <f t="shared" si="144"/>
        <v>0</v>
      </c>
      <c r="M189" s="1">
        <f t="shared" si="145"/>
        <v>0</v>
      </c>
      <c r="N189" s="1">
        <f t="shared" si="146"/>
        <v>0</v>
      </c>
      <c r="O189" s="1">
        <f t="shared" si="147"/>
        <v>-0.64772727272727271</v>
      </c>
      <c r="P189" s="1">
        <f t="shared" si="148"/>
        <v>-3.1477272727272729</v>
      </c>
      <c r="Q189" s="1">
        <f t="shared" si="149"/>
        <v>0</v>
      </c>
      <c r="R189" s="1">
        <f t="shared" si="104"/>
        <v>0</v>
      </c>
      <c r="S189" s="1">
        <f t="shared" si="150"/>
        <v>0</v>
      </c>
      <c r="T189" s="7">
        <f t="shared" si="151"/>
        <v>-0.64772727272727271</v>
      </c>
      <c r="U189" s="7">
        <f t="shared" si="152"/>
        <v>-3.1477272727272729</v>
      </c>
      <c r="V189" s="7">
        <f t="shared" si="153"/>
        <v>-0.64772727272727271</v>
      </c>
      <c r="W189" s="7">
        <f t="shared" si="154"/>
        <v>-3.1477272727272729</v>
      </c>
      <c r="X189" s="1">
        <f t="shared" si="105"/>
        <v>0</v>
      </c>
      <c r="Y189" s="1">
        <f t="shared" si="106"/>
        <v>0</v>
      </c>
      <c r="Z189">
        <f t="shared" si="107"/>
        <v>0</v>
      </c>
      <c r="AA189">
        <f t="shared" si="108"/>
        <v>0</v>
      </c>
      <c r="AB189">
        <f t="shared" si="109"/>
        <v>0</v>
      </c>
      <c r="AC189">
        <f t="shared" si="110"/>
        <v>0</v>
      </c>
      <c r="AD189">
        <f t="shared" si="111"/>
        <v>0</v>
      </c>
      <c r="AE189">
        <f t="shared" si="112"/>
        <v>0</v>
      </c>
      <c r="AF189">
        <f t="shared" si="113"/>
        <v>0</v>
      </c>
      <c r="AG189">
        <f t="shared" si="114"/>
        <v>0</v>
      </c>
      <c r="AH189">
        <f t="shared" si="115"/>
        <v>0</v>
      </c>
      <c r="AI189" s="1">
        <f t="shared" si="116"/>
        <v>0</v>
      </c>
      <c r="AJ189" s="1">
        <f t="shared" si="117"/>
        <v>0</v>
      </c>
      <c r="AK189">
        <f t="shared" si="118"/>
        <v>0</v>
      </c>
      <c r="AL189">
        <f t="shared" si="119"/>
        <v>0</v>
      </c>
      <c r="AM189">
        <f t="shared" si="120"/>
        <v>0</v>
      </c>
      <c r="AN189">
        <f t="shared" si="121"/>
        <v>0</v>
      </c>
      <c r="AO189">
        <f t="shared" si="122"/>
        <v>0</v>
      </c>
      <c r="AP189">
        <f t="shared" si="123"/>
        <v>0</v>
      </c>
      <c r="AQ189">
        <f t="shared" si="124"/>
        <v>0</v>
      </c>
      <c r="AR189">
        <f t="shared" si="125"/>
        <v>0</v>
      </c>
      <c r="AS189">
        <f t="shared" si="126"/>
        <v>0</v>
      </c>
      <c r="AT189" s="1">
        <f t="shared" si="127"/>
        <v>0</v>
      </c>
      <c r="AU189" s="1">
        <f t="shared" si="128"/>
        <v>0</v>
      </c>
      <c r="AV189">
        <f t="shared" si="129"/>
        <v>0</v>
      </c>
      <c r="AW189">
        <f t="shared" si="130"/>
        <v>0</v>
      </c>
      <c r="AX189">
        <f t="shared" si="131"/>
        <v>0</v>
      </c>
      <c r="AY189">
        <f t="shared" si="132"/>
        <v>0</v>
      </c>
      <c r="AZ189">
        <f t="shared" si="133"/>
        <v>0</v>
      </c>
      <c r="BA189">
        <f t="shared" si="134"/>
        <v>0</v>
      </c>
      <c r="BB189">
        <f t="shared" si="135"/>
        <v>0</v>
      </c>
      <c r="BC189">
        <f t="shared" si="136"/>
        <v>0</v>
      </c>
      <c r="BD189">
        <f t="shared" si="137"/>
        <v>0</v>
      </c>
    </row>
    <row r="190" spans="1:56" x14ac:dyDescent="0.25">
      <c r="A190" s="1">
        <v>173</v>
      </c>
      <c r="B190" s="2">
        <v>0</v>
      </c>
      <c r="C190" s="2">
        <v>0</v>
      </c>
      <c r="D190" s="2">
        <v>0</v>
      </c>
      <c r="E190" s="2">
        <v>0</v>
      </c>
      <c r="F190" s="1">
        <f t="shared" si="138"/>
        <v>0</v>
      </c>
      <c r="G190" s="1">
        <f t="shared" si="139"/>
        <v>0</v>
      </c>
      <c r="H190" s="1">
        <f t="shared" si="140"/>
        <v>0</v>
      </c>
      <c r="I190" s="1">
        <f t="shared" si="141"/>
        <v>0</v>
      </c>
      <c r="J190" s="1">
        <f t="shared" si="142"/>
        <v>0</v>
      </c>
      <c r="K190" s="1">
        <f t="shared" si="143"/>
        <v>0</v>
      </c>
      <c r="L190" s="1">
        <f t="shared" si="144"/>
        <v>0</v>
      </c>
      <c r="M190" s="1">
        <f t="shared" si="145"/>
        <v>0</v>
      </c>
      <c r="N190" s="1">
        <f t="shared" si="146"/>
        <v>0</v>
      </c>
      <c r="O190" s="1">
        <f t="shared" si="147"/>
        <v>-0.64772727272727271</v>
      </c>
      <c r="P190" s="1">
        <f t="shared" si="148"/>
        <v>-3.1477272727272729</v>
      </c>
      <c r="Q190" s="1">
        <f t="shared" si="149"/>
        <v>0</v>
      </c>
      <c r="R190" s="1">
        <f t="shared" si="104"/>
        <v>0</v>
      </c>
      <c r="S190" s="1">
        <f t="shared" si="150"/>
        <v>0</v>
      </c>
      <c r="T190" s="7">
        <f t="shared" si="151"/>
        <v>-0.64772727272727271</v>
      </c>
      <c r="U190" s="7">
        <f t="shared" si="152"/>
        <v>-3.1477272727272729</v>
      </c>
      <c r="V190" s="7">
        <f t="shared" si="153"/>
        <v>-0.64772727272727271</v>
      </c>
      <c r="W190" s="7">
        <f t="shared" si="154"/>
        <v>-3.1477272727272729</v>
      </c>
      <c r="X190" s="1">
        <f t="shared" si="105"/>
        <v>0</v>
      </c>
      <c r="Y190" s="1">
        <f t="shared" si="106"/>
        <v>0</v>
      </c>
      <c r="Z190">
        <f t="shared" si="107"/>
        <v>0</v>
      </c>
      <c r="AA190">
        <f t="shared" si="108"/>
        <v>0</v>
      </c>
      <c r="AB190">
        <f t="shared" si="109"/>
        <v>0</v>
      </c>
      <c r="AC190">
        <f t="shared" si="110"/>
        <v>0</v>
      </c>
      <c r="AD190">
        <f t="shared" si="111"/>
        <v>0</v>
      </c>
      <c r="AE190">
        <f t="shared" si="112"/>
        <v>0</v>
      </c>
      <c r="AF190">
        <f t="shared" si="113"/>
        <v>0</v>
      </c>
      <c r="AG190">
        <f t="shared" si="114"/>
        <v>0</v>
      </c>
      <c r="AH190">
        <f t="shared" si="115"/>
        <v>0</v>
      </c>
      <c r="AI190" s="1">
        <f t="shared" si="116"/>
        <v>0</v>
      </c>
      <c r="AJ190" s="1">
        <f t="shared" si="117"/>
        <v>0</v>
      </c>
      <c r="AK190">
        <f t="shared" si="118"/>
        <v>0</v>
      </c>
      <c r="AL190">
        <f t="shared" si="119"/>
        <v>0</v>
      </c>
      <c r="AM190">
        <f t="shared" si="120"/>
        <v>0</v>
      </c>
      <c r="AN190">
        <f t="shared" si="121"/>
        <v>0</v>
      </c>
      <c r="AO190">
        <f t="shared" si="122"/>
        <v>0</v>
      </c>
      <c r="AP190">
        <f t="shared" si="123"/>
        <v>0</v>
      </c>
      <c r="AQ190">
        <f t="shared" si="124"/>
        <v>0</v>
      </c>
      <c r="AR190">
        <f t="shared" si="125"/>
        <v>0</v>
      </c>
      <c r="AS190">
        <f t="shared" si="126"/>
        <v>0</v>
      </c>
      <c r="AT190" s="1">
        <f t="shared" si="127"/>
        <v>0</v>
      </c>
      <c r="AU190" s="1">
        <f t="shared" si="128"/>
        <v>0</v>
      </c>
      <c r="AV190">
        <f t="shared" si="129"/>
        <v>0</v>
      </c>
      <c r="AW190">
        <f t="shared" si="130"/>
        <v>0</v>
      </c>
      <c r="AX190">
        <f t="shared" si="131"/>
        <v>0</v>
      </c>
      <c r="AY190">
        <f t="shared" si="132"/>
        <v>0</v>
      </c>
      <c r="AZ190">
        <f t="shared" si="133"/>
        <v>0</v>
      </c>
      <c r="BA190">
        <f t="shared" si="134"/>
        <v>0</v>
      </c>
      <c r="BB190">
        <f t="shared" si="135"/>
        <v>0</v>
      </c>
      <c r="BC190">
        <f t="shared" si="136"/>
        <v>0</v>
      </c>
      <c r="BD190">
        <f t="shared" si="137"/>
        <v>0</v>
      </c>
    </row>
    <row r="191" spans="1:56" x14ac:dyDescent="0.25">
      <c r="A191" s="1">
        <v>174</v>
      </c>
      <c r="B191" s="2">
        <v>0</v>
      </c>
      <c r="C191" s="2">
        <v>0</v>
      </c>
      <c r="D191" s="2">
        <v>0</v>
      </c>
      <c r="E191" s="2">
        <v>0</v>
      </c>
      <c r="F191" s="1">
        <f t="shared" si="138"/>
        <v>0</v>
      </c>
      <c r="G191" s="1">
        <f t="shared" si="139"/>
        <v>0</v>
      </c>
      <c r="H191" s="1">
        <f t="shared" si="140"/>
        <v>0</v>
      </c>
      <c r="I191" s="1">
        <f t="shared" si="141"/>
        <v>0</v>
      </c>
      <c r="J191" s="1">
        <f t="shared" si="142"/>
        <v>0</v>
      </c>
      <c r="K191" s="1">
        <f t="shared" si="143"/>
        <v>0</v>
      </c>
      <c r="L191" s="1">
        <f t="shared" si="144"/>
        <v>0</v>
      </c>
      <c r="M191" s="1">
        <f t="shared" si="145"/>
        <v>0</v>
      </c>
      <c r="N191" s="1">
        <f t="shared" si="146"/>
        <v>0</v>
      </c>
      <c r="O191" s="1">
        <f t="shared" si="147"/>
        <v>-0.64772727272727271</v>
      </c>
      <c r="P191" s="1">
        <f t="shared" si="148"/>
        <v>-3.1477272727272729</v>
      </c>
      <c r="Q191" s="1">
        <f t="shared" si="149"/>
        <v>0</v>
      </c>
      <c r="R191" s="1">
        <f t="shared" si="104"/>
        <v>0</v>
      </c>
      <c r="S191" s="1">
        <f t="shared" si="150"/>
        <v>0</v>
      </c>
      <c r="T191" s="7">
        <f t="shared" si="151"/>
        <v>-0.64772727272727271</v>
      </c>
      <c r="U191" s="7">
        <f t="shared" si="152"/>
        <v>-3.1477272727272729</v>
      </c>
      <c r="V191" s="7">
        <f t="shared" si="153"/>
        <v>-0.64772727272727271</v>
      </c>
      <c r="W191" s="7">
        <f t="shared" si="154"/>
        <v>-3.1477272727272729</v>
      </c>
      <c r="X191" s="1">
        <f t="shared" si="105"/>
        <v>0</v>
      </c>
      <c r="Y191" s="1">
        <f t="shared" si="106"/>
        <v>0</v>
      </c>
      <c r="Z191">
        <f t="shared" si="107"/>
        <v>0</v>
      </c>
      <c r="AA191">
        <f t="shared" si="108"/>
        <v>0</v>
      </c>
      <c r="AB191">
        <f t="shared" si="109"/>
        <v>0</v>
      </c>
      <c r="AC191">
        <f t="shared" si="110"/>
        <v>0</v>
      </c>
      <c r="AD191">
        <f t="shared" si="111"/>
        <v>0</v>
      </c>
      <c r="AE191">
        <f t="shared" si="112"/>
        <v>0</v>
      </c>
      <c r="AF191">
        <f t="shared" si="113"/>
        <v>0</v>
      </c>
      <c r="AG191">
        <f t="shared" si="114"/>
        <v>0</v>
      </c>
      <c r="AH191">
        <f t="shared" si="115"/>
        <v>0</v>
      </c>
      <c r="AI191" s="1">
        <f t="shared" si="116"/>
        <v>0</v>
      </c>
      <c r="AJ191" s="1">
        <f t="shared" si="117"/>
        <v>0</v>
      </c>
      <c r="AK191">
        <f t="shared" si="118"/>
        <v>0</v>
      </c>
      <c r="AL191">
        <f t="shared" si="119"/>
        <v>0</v>
      </c>
      <c r="AM191">
        <f t="shared" si="120"/>
        <v>0</v>
      </c>
      <c r="AN191">
        <f t="shared" si="121"/>
        <v>0</v>
      </c>
      <c r="AO191">
        <f t="shared" si="122"/>
        <v>0</v>
      </c>
      <c r="AP191">
        <f t="shared" si="123"/>
        <v>0</v>
      </c>
      <c r="AQ191">
        <f t="shared" si="124"/>
        <v>0</v>
      </c>
      <c r="AR191">
        <f t="shared" si="125"/>
        <v>0</v>
      </c>
      <c r="AS191">
        <f t="shared" si="126"/>
        <v>0</v>
      </c>
      <c r="AT191" s="1">
        <f t="shared" si="127"/>
        <v>0</v>
      </c>
      <c r="AU191" s="1">
        <f t="shared" si="128"/>
        <v>0</v>
      </c>
      <c r="AV191">
        <f t="shared" si="129"/>
        <v>0</v>
      </c>
      <c r="AW191">
        <f t="shared" si="130"/>
        <v>0</v>
      </c>
      <c r="AX191">
        <f t="shared" si="131"/>
        <v>0</v>
      </c>
      <c r="AY191">
        <f t="shared" si="132"/>
        <v>0</v>
      </c>
      <c r="AZ191">
        <f t="shared" si="133"/>
        <v>0</v>
      </c>
      <c r="BA191">
        <f t="shared" si="134"/>
        <v>0</v>
      </c>
      <c r="BB191">
        <f t="shared" si="135"/>
        <v>0</v>
      </c>
      <c r="BC191">
        <f t="shared" si="136"/>
        <v>0</v>
      </c>
      <c r="BD191">
        <f t="shared" si="137"/>
        <v>0</v>
      </c>
    </row>
    <row r="192" spans="1:56" x14ac:dyDescent="0.25">
      <c r="A192" s="1">
        <v>175</v>
      </c>
      <c r="B192" s="2">
        <v>0</v>
      </c>
      <c r="C192" s="2">
        <v>0</v>
      </c>
      <c r="D192" s="2">
        <v>0</v>
      </c>
      <c r="E192" s="2">
        <v>0</v>
      </c>
      <c r="F192" s="1">
        <f t="shared" si="138"/>
        <v>0</v>
      </c>
      <c r="G192" s="1">
        <f t="shared" si="139"/>
        <v>0</v>
      </c>
      <c r="H192" s="1">
        <f t="shared" si="140"/>
        <v>0</v>
      </c>
      <c r="I192" s="1">
        <f t="shared" si="141"/>
        <v>0</v>
      </c>
      <c r="J192" s="1">
        <f t="shared" si="142"/>
        <v>0</v>
      </c>
      <c r="K192" s="1">
        <f t="shared" si="143"/>
        <v>0</v>
      </c>
      <c r="L192" s="1">
        <f t="shared" si="144"/>
        <v>0</v>
      </c>
      <c r="M192" s="1">
        <f t="shared" si="145"/>
        <v>0</v>
      </c>
      <c r="N192" s="1">
        <f t="shared" si="146"/>
        <v>0</v>
      </c>
      <c r="O192" s="1">
        <f t="shared" si="147"/>
        <v>-0.64772727272727271</v>
      </c>
      <c r="P192" s="1">
        <f t="shared" si="148"/>
        <v>-3.1477272727272729</v>
      </c>
      <c r="Q192" s="1">
        <f t="shared" si="149"/>
        <v>0</v>
      </c>
      <c r="R192" s="1">
        <f t="shared" si="104"/>
        <v>0</v>
      </c>
      <c r="S192" s="1">
        <f t="shared" si="150"/>
        <v>0</v>
      </c>
      <c r="T192" s="7">
        <f t="shared" si="151"/>
        <v>-0.64772727272727271</v>
      </c>
      <c r="U192" s="7">
        <f t="shared" si="152"/>
        <v>-3.1477272727272729</v>
      </c>
      <c r="V192" s="7">
        <f t="shared" si="153"/>
        <v>-0.64772727272727271</v>
      </c>
      <c r="W192" s="7">
        <f t="shared" si="154"/>
        <v>-3.1477272727272729</v>
      </c>
      <c r="X192" s="1">
        <f t="shared" si="105"/>
        <v>0</v>
      </c>
      <c r="Y192" s="1">
        <f t="shared" si="106"/>
        <v>0</v>
      </c>
      <c r="Z192">
        <f t="shared" si="107"/>
        <v>0</v>
      </c>
      <c r="AA192">
        <f t="shared" si="108"/>
        <v>0</v>
      </c>
      <c r="AB192">
        <f t="shared" si="109"/>
        <v>0</v>
      </c>
      <c r="AC192">
        <f t="shared" si="110"/>
        <v>0</v>
      </c>
      <c r="AD192">
        <f t="shared" si="111"/>
        <v>0</v>
      </c>
      <c r="AE192">
        <f t="shared" si="112"/>
        <v>0</v>
      </c>
      <c r="AF192">
        <f t="shared" si="113"/>
        <v>0</v>
      </c>
      <c r="AG192">
        <f t="shared" si="114"/>
        <v>0</v>
      </c>
      <c r="AH192">
        <f t="shared" si="115"/>
        <v>0</v>
      </c>
      <c r="AI192" s="1">
        <f t="shared" si="116"/>
        <v>0</v>
      </c>
      <c r="AJ192" s="1">
        <f t="shared" si="117"/>
        <v>0</v>
      </c>
      <c r="AK192">
        <f t="shared" si="118"/>
        <v>0</v>
      </c>
      <c r="AL192">
        <f t="shared" si="119"/>
        <v>0</v>
      </c>
      <c r="AM192">
        <f t="shared" si="120"/>
        <v>0</v>
      </c>
      <c r="AN192">
        <f t="shared" si="121"/>
        <v>0</v>
      </c>
      <c r="AO192">
        <f t="shared" si="122"/>
        <v>0</v>
      </c>
      <c r="AP192">
        <f t="shared" si="123"/>
        <v>0</v>
      </c>
      <c r="AQ192">
        <f t="shared" si="124"/>
        <v>0</v>
      </c>
      <c r="AR192">
        <f t="shared" si="125"/>
        <v>0</v>
      </c>
      <c r="AS192">
        <f t="shared" si="126"/>
        <v>0</v>
      </c>
      <c r="AT192" s="1">
        <f t="shared" si="127"/>
        <v>0</v>
      </c>
      <c r="AU192" s="1">
        <f t="shared" si="128"/>
        <v>0</v>
      </c>
      <c r="AV192">
        <f t="shared" si="129"/>
        <v>0</v>
      </c>
      <c r="AW192">
        <f t="shared" si="130"/>
        <v>0</v>
      </c>
      <c r="AX192">
        <f t="shared" si="131"/>
        <v>0</v>
      </c>
      <c r="AY192">
        <f t="shared" si="132"/>
        <v>0</v>
      </c>
      <c r="AZ192">
        <f t="shared" si="133"/>
        <v>0</v>
      </c>
      <c r="BA192">
        <f t="shared" si="134"/>
        <v>0</v>
      </c>
      <c r="BB192">
        <f t="shared" si="135"/>
        <v>0</v>
      </c>
      <c r="BC192">
        <f t="shared" si="136"/>
        <v>0</v>
      </c>
      <c r="BD192">
        <f t="shared" si="137"/>
        <v>0</v>
      </c>
    </row>
    <row r="193" spans="1:56" x14ac:dyDescent="0.25">
      <c r="A193" s="1">
        <v>176</v>
      </c>
      <c r="B193" s="2">
        <v>0</v>
      </c>
      <c r="C193" s="2">
        <v>0</v>
      </c>
      <c r="D193" s="2">
        <v>0</v>
      </c>
      <c r="E193" s="2">
        <v>0</v>
      </c>
      <c r="F193" s="1">
        <f t="shared" si="138"/>
        <v>0</v>
      </c>
      <c r="G193" s="1">
        <f t="shared" si="139"/>
        <v>0</v>
      </c>
      <c r="H193" s="1">
        <f t="shared" si="140"/>
        <v>0</v>
      </c>
      <c r="I193" s="1">
        <f t="shared" si="141"/>
        <v>0</v>
      </c>
      <c r="J193" s="1">
        <f t="shared" si="142"/>
        <v>0</v>
      </c>
      <c r="K193" s="1">
        <f t="shared" si="143"/>
        <v>0</v>
      </c>
      <c r="L193" s="1">
        <f t="shared" si="144"/>
        <v>0</v>
      </c>
      <c r="M193" s="1">
        <f t="shared" si="145"/>
        <v>0</v>
      </c>
      <c r="N193" s="1">
        <f t="shared" si="146"/>
        <v>0</v>
      </c>
      <c r="O193" s="1">
        <f t="shared" si="147"/>
        <v>-0.64772727272727271</v>
      </c>
      <c r="P193" s="1">
        <f t="shared" si="148"/>
        <v>-3.1477272727272729</v>
      </c>
      <c r="Q193" s="1">
        <f t="shared" si="149"/>
        <v>0</v>
      </c>
      <c r="R193" s="1">
        <f t="shared" si="104"/>
        <v>0</v>
      </c>
      <c r="S193" s="1">
        <f t="shared" si="150"/>
        <v>0</v>
      </c>
      <c r="T193" s="7">
        <f t="shared" si="151"/>
        <v>-0.64772727272727271</v>
      </c>
      <c r="U193" s="7">
        <f t="shared" si="152"/>
        <v>-3.1477272727272729</v>
      </c>
      <c r="V193" s="7">
        <f t="shared" si="153"/>
        <v>-0.64772727272727271</v>
      </c>
      <c r="W193" s="7">
        <f t="shared" si="154"/>
        <v>-3.1477272727272729</v>
      </c>
      <c r="X193" s="1">
        <f t="shared" si="105"/>
        <v>0</v>
      </c>
      <c r="Y193" s="1">
        <f t="shared" si="106"/>
        <v>0</v>
      </c>
      <c r="Z193">
        <f t="shared" si="107"/>
        <v>0</v>
      </c>
      <c r="AA193">
        <f t="shared" si="108"/>
        <v>0</v>
      </c>
      <c r="AB193">
        <f t="shared" si="109"/>
        <v>0</v>
      </c>
      <c r="AC193">
        <f t="shared" si="110"/>
        <v>0</v>
      </c>
      <c r="AD193">
        <f t="shared" si="111"/>
        <v>0</v>
      </c>
      <c r="AE193">
        <f t="shared" si="112"/>
        <v>0</v>
      </c>
      <c r="AF193">
        <f t="shared" si="113"/>
        <v>0</v>
      </c>
      <c r="AG193">
        <f t="shared" si="114"/>
        <v>0</v>
      </c>
      <c r="AH193">
        <f t="shared" si="115"/>
        <v>0</v>
      </c>
      <c r="AI193" s="1">
        <f t="shared" si="116"/>
        <v>0</v>
      </c>
      <c r="AJ193" s="1">
        <f t="shared" si="117"/>
        <v>0</v>
      </c>
      <c r="AK193">
        <f t="shared" si="118"/>
        <v>0</v>
      </c>
      <c r="AL193">
        <f t="shared" si="119"/>
        <v>0</v>
      </c>
      <c r="AM193">
        <f t="shared" si="120"/>
        <v>0</v>
      </c>
      <c r="AN193">
        <f t="shared" si="121"/>
        <v>0</v>
      </c>
      <c r="AO193">
        <f t="shared" si="122"/>
        <v>0</v>
      </c>
      <c r="AP193">
        <f t="shared" si="123"/>
        <v>0</v>
      </c>
      <c r="AQ193">
        <f t="shared" si="124"/>
        <v>0</v>
      </c>
      <c r="AR193">
        <f t="shared" si="125"/>
        <v>0</v>
      </c>
      <c r="AS193">
        <f t="shared" si="126"/>
        <v>0</v>
      </c>
      <c r="AT193" s="1">
        <f t="shared" si="127"/>
        <v>0</v>
      </c>
      <c r="AU193" s="1">
        <f t="shared" si="128"/>
        <v>0</v>
      </c>
      <c r="AV193">
        <f t="shared" si="129"/>
        <v>0</v>
      </c>
      <c r="AW193">
        <f t="shared" si="130"/>
        <v>0</v>
      </c>
      <c r="AX193">
        <f t="shared" si="131"/>
        <v>0</v>
      </c>
      <c r="AY193">
        <f t="shared" si="132"/>
        <v>0</v>
      </c>
      <c r="AZ193">
        <f t="shared" si="133"/>
        <v>0</v>
      </c>
      <c r="BA193">
        <f t="shared" si="134"/>
        <v>0</v>
      </c>
      <c r="BB193">
        <f t="shared" si="135"/>
        <v>0</v>
      </c>
      <c r="BC193">
        <f t="shared" si="136"/>
        <v>0</v>
      </c>
      <c r="BD193">
        <f t="shared" si="137"/>
        <v>0</v>
      </c>
    </row>
    <row r="194" spans="1:56" x14ac:dyDescent="0.25">
      <c r="A194" s="1">
        <v>177</v>
      </c>
      <c r="B194" s="2">
        <v>0</v>
      </c>
      <c r="C194" s="2">
        <v>0</v>
      </c>
      <c r="D194" s="2">
        <v>0</v>
      </c>
      <c r="E194" s="2">
        <v>0</v>
      </c>
      <c r="F194" s="1">
        <f t="shared" si="138"/>
        <v>0</v>
      </c>
      <c r="G194" s="1">
        <f t="shared" si="139"/>
        <v>0</v>
      </c>
      <c r="H194" s="1">
        <f t="shared" si="140"/>
        <v>0</v>
      </c>
      <c r="I194" s="1">
        <f t="shared" si="141"/>
        <v>0</v>
      </c>
      <c r="J194" s="1">
        <f t="shared" si="142"/>
        <v>0</v>
      </c>
      <c r="K194" s="1">
        <f t="shared" si="143"/>
        <v>0</v>
      </c>
      <c r="L194" s="1">
        <f t="shared" si="144"/>
        <v>0</v>
      </c>
      <c r="M194" s="1">
        <f t="shared" si="145"/>
        <v>0</v>
      </c>
      <c r="N194" s="1">
        <f t="shared" si="146"/>
        <v>0</v>
      </c>
      <c r="O194" s="1">
        <f t="shared" si="147"/>
        <v>-0.64772727272727271</v>
      </c>
      <c r="P194" s="1">
        <f t="shared" si="148"/>
        <v>-3.1477272727272729</v>
      </c>
      <c r="Q194" s="1">
        <f t="shared" si="149"/>
        <v>0</v>
      </c>
      <c r="R194" s="1">
        <f t="shared" si="104"/>
        <v>0</v>
      </c>
      <c r="S194" s="1">
        <f t="shared" si="150"/>
        <v>0</v>
      </c>
      <c r="T194" s="7">
        <f t="shared" si="151"/>
        <v>-0.64772727272727271</v>
      </c>
      <c r="U194" s="7">
        <f t="shared" si="152"/>
        <v>-3.1477272727272729</v>
      </c>
      <c r="V194" s="7">
        <f t="shared" si="153"/>
        <v>-0.64772727272727271</v>
      </c>
      <c r="W194" s="7">
        <f t="shared" si="154"/>
        <v>-3.1477272727272729</v>
      </c>
      <c r="X194" s="1">
        <f t="shared" si="105"/>
        <v>0</v>
      </c>
      <c r="Y194" s="1">
        <f t="shared" si="106"/>
        <v>0</v>
      </c>
      <c r="Z194">
        <f t="shared" si="107"/>
        <v>0</v>
      </c>
      <c r="AA194">
        <f t="shared" si="108"/>
        <v>0</v>
      </c>
      <c r="AB194">
        <f t="shared" si="109"/>
        <v>0</v>
      </c>
      <c r="AC194">
        <f t="shared" si="110"/>
        <v>0</v>
      </c>
      <c r="AD194">
        <f t="shared" si="111"/>
        <v>0</v>
      </c>
      <c r="AE194">
        <f t="shared" si="112"/>
        <v>0</v>
      </c>
      <c r="AF194">
        <f t="shared" si="113"/>
        <v>0</v>
      </c>
      <c r="AG194">
        <f t="shared" si="114"/>
        <v>0</v>
      </c>
      <c r="AH194">
        <f t="shared" si="115"/>
        <v>0</v>
      </c>
      <c r="AI194" s="1">
        <f t="shared" si="116"/>
        <v>0</v>
      </c>
      <c r="AJ194" s="1">
        <f t="shared" si="117"/>
        <v>0</v>
      </c>
      <c r="AK194">
        <f t="shared" si="118"/>
        <v>0</v>
      </c>
      <c r="AL194">
        <f t="shared" si="119"/>
        <v>0</v>
      </c>
      <c r="AM194">
        <f t="shared" si="120"/>
        <v>0</v>
      </c>
      <c r="AN194">
        <f t="shared" si="121"/>
        <v>0</v>
      </c>
      <c r="AO194">
        <f t="shared" si="122"/>
        <v>0</v>
      </c>
      <c r="AP194">
        <f t="shared" si="123"/>
        <v>0</v>
      </c>
      <c r="AQ194">
        <f t="shared" si="124"/>
        <v>0</v>
      </c>
      <c r="AR194">
        <f t="shared" si="125"/>
        <v>0</v>
      </c>
      <c r="AS194">
        <f t="shared" si="126"/>
        <v>0</v>
      </c>
      <c r="AT194" s="1">
        <f t="shared" si="127"/>
        <v>0</v>
      </c>
      <c r="AU194" s="1">
        <f t="shared" si="128"/>
        <v>0</v>
      </c>
      <c r="AV194">
        <f t="shared" si="129"/>
        <v>0</v>
      </c>
      <c r="AW194">
        <f t="shared" si="130"/>
        <v>0</v>
      </c>
      <c r="AX194">
        <f t="shared" si="131"/>
        <v>0</v>
      </c>
      <c r="AY194">
        <f t="shared" si="132"/>
        <v>0</v>
      </c>
      <c r="AZ194">
        <f t="shared" si="133"/>
        <v>0</v>
      </c>
      <c r="BA194">
        <f t="shared" si="134"/>
        <v>0</v>
      </c>
      <c r="BB194">
        <f t="shared" si="135"/>
        <v>0</v>
      </c>
      <c r="BC194">
        <f t="shared" si="136"/>
        <v>0</v>
      </c>
      <c r="BD194">
        <f t="shared" si="137"/>
        <v>0</v>
      </c>
    </row>
    <row r="195" spans="1:56" x14ac:dyDescent="0.25">
      <c r="A195" s="1">
        <v>178</v>
      </c>
      <c r="B195" s="2">
        <v>0</v>
      </c>
      <c r="C195" s="2">
        <v>0</v>
      </c>
      <c r="D195" s="2">
        <v>0</v>
      </c>
      <c r="E195" s="2">
        <v>0</v>
      </c>
      <c r="F195" s="1">
        <f t="shared" si="138"/>
        <v>0</v>
      </c>
      <c r="G195" s="1">
        <f t="shared" si="139"/>
        <v>0</v>
      </c>
      <c r="H195" s="1">
        <f t="shared" si="140"/>
        <v>0</v>
      </c>
      <c r="I195" s="1">
        <f t="shared" si="141"/>
        <v>0</v>
      </c>
      <c r="J195" s="1">
        <f t="shared" si="142"/>
        <v>0</v>
      </c>
      <c r="K195" s="1">
        <f t="shared" si="143"/>
        <v>0</v>
      </c>
      <c r="L195" s="1">
        <f t="shared" si="144"/>
        <v>0</v>
      </c>
      <c r="M195" s="1">
        <f t="shared" si="145"/>
        <v>0</v>
      </c>
      <c r="N195" s="1">
        <f t="shared" si="146"/>
        <v>0</v>
      </c>
      <c r="O195" s="1">
        <f t="shared" si="147"/>
        <v>-0.64772727272727271</v>
      </c>
      <c r="P195" s="1">
        <f t="shared" si="148"/>
        <v>-3.1477272727272729</v>
      </c>
      <c r="Q195" s="1">
        <f t="shared" si="149"/>
        <v>0</v>
      </c>
      <c r="R195" s="1">
        <f t="shared" si="104"/>
        <v>0</v>
      </c>
      <c r="S195" s="1">
        <f t="shared" si="150"/>
        <v>0</v>
      </c>
      <c r="T195" s="7">
        <f t="shared" si="151"/>
        <v>-0.64772727272727271</v>
      </c>
      <c r="U195" s="7">
        <f t="shared" si="152"/>
        <v>-3.1477272727272729</v>
      </c>
      <c r="V195" s="7">
        <f t="shared" si="153"/>
        <v>-0.64772727272727271</v>
      </c>
      <c r="W195" s="7">
        <f t="shared" si="154"/>
        <v>-3.1477272727272729</v>
      </c>
      <c r="X195" s="1">
        <f t="shared" si="105"/>
        <v>0</v>
      </c>
      <c r="Y195" s="1">
        <f t="shared" si="106"/>
        <v>0</v>
      </c>
      <c r="Z195">
        <f t="shared" si="107"/>
        <v>0</v>
      </c>
      <c r="AA195">
        <f t="shared" si="108"/>
        <v>0</v>
      </c>
      <c r="AB195">
        <f t="shared" si="109"/>
        <v>0</v>
      </c>
      <c r="AC195">
        <f t="shared" si="110"/>
        <v>0</v>
      </c>
      <c r="AD195">
        <f t="shared" si="111"/>
        <v>0</v>
      </c>
      <c r="AE195">
        <f t="shared" si="112"/>
        <v>0</v>
      </c>
      <c r="AF195">
        <f t="shared" si="113"/>
        <v>0</v>
      </c>
      <c r="AG195">
        <f t="shared" si="114"/>
        <v>0</v>
      </c>
      <c r="AH195">
        <f t="shared" si="115"/>
        <v>0</v>
      </c>
      <c r="AI195" s="1">
        <f t="shared" si="116"/>
        <v>0</v>
      </c>
      <c r="AJ195" s="1">
        <f t="shared" si="117"/>
        <v>0</v>
      </c>
      <c r="AK195">
        <f t="shared" si="118"/>
        <v>0</v>
      </c>
      <c r="AL195">
        <f t="shared" si="119"/>
        <v>0</v>
      </c>
      <c r="AM195">
        <f t="shared" si="120"/>
        <v>0</v>
      </c>
      <c r="AN195">
        <f t="shared" si="121"/>
        <v>0</v>
      </c>
      <c r="AO195">
        <f t="shared" si="122"/>
        <v>0</v>
      </c>
      <c r="AP195">
        <f t="shared" si="123"/>
        <v>0</v>
      </c>
      <c r="AQ195">
        <f t="shared" si="124"/>
        <v>0</v>
      </c>
      <c r="AR195">
        <f t="shared" si="125"/>
        <v>0</v>
      </c>
      <c r="AS195">
        <f t="shared" si="126"/>
        <v>0</v>
      </c>
      <c r="AT195" s="1">
        <f t="shared" si="127"/>
        <v>0</v>
      </c>
      <c r="AU195" s="1">
        <f t="shared" si="128"/>
        <v>0</v>
      </c>
      <c r="AV195">
        <f t="shared" si="129"/>
        <v>0</v>
      </c>
      <c r="AW195">
        <f t="shared" si="130"/>
        <v>0</v>
      </c>
      <c r="AX195">
        <f t="shared" si="131"/>
        <v>0</v>
      </c>
      <c r="AY195">
        <f t="shared" si="132"/>
        <v>0</v>
      </c>
      <c r="AZ195">
        <f t="shared" si="133"/>
        <v>0</v>
      </c>
      <c r="BA195">
        <f t="shared" si="134"/>
        <v>0</v>
      </c>
      <c r="BB195">
        <f t="shared" si="135"/>
        <v>0</v>
      </c>
      <c r="BC195">
        <f t="shared" si="136"/>
        <v>0</v>
      </c>
      <c r="BD195">
        <f t="shared" si="137"/>
        <v>0</v>
      </c>
    </row>
    <row r="196" spans="1:56" x14ac:dyDescent="0.25">
      <c r="A196" s="1">
        <v>179</v>
      </c>
      <c r="B196" s="2">
        <v>0</v>
      </c>
      <c r="C196" s="2">
        <v>0</v>
      </c>
      <c r="D196" s="2">
        <v>0</v>
      </c>
      <c r="E196" s="2">
        <v>0</v>
      </c>
      <c r="F196" s="1">
        <f t="shared" si="138"/>
        <v>0</v>
      </c>
      <c r="G196" s="1">
        <f t="shared" si="139"/>
        <v>0</v>
      </c>
      <c r="H196" s="1">
        <f t="shared" si="140"/>
        <v>0</v>
      </c>
      <c r="I196" s="1">
        <f t="shared" si="141"/>
        <v>0</v>
      </c>
      <c r="J196" s="1">
        <f t="shared" si="142"/>
        <v>0</v>
      </c>
      <c r="K196" s="1">
        <f t="shared" si="143"/>
        <v>0</v>
      </c>
      <c r="L196" s="1">
        <f t="shared" si="144"/>
        <v>0</v>
      </c>
      <c r="M196" s="1">
        <f t="shared" si="145"/>
        <v>0</v>
      </c>
      <c r="N196" s="1">
        <f t="shared" si="146"/>
        <v>0</v>
      </c>
      <c r="O196" s="1">
        <f t="shared" si="147"/>
        <v>-0.64772727272727271</v>
      </c>
      <c r="P196" s="1">
        <f t="shared" si="148"/>
        <v>-3.1477272727272729</v>
      </c>
      <c r="Q196" s="1">
        <f t="shared" si="149"/>
        <v>0</v>
      </c>
      <c r="R196" s="1">
        <f t="shared" si="104"/>
        <v>0</v>
      </c>
      <c r="S196" s="1">
        <f t="shared" si="150"/>
        <v>0</v>
      </c>
      <c r="T196" s="7">
        <f t="shared" si="151"/>
        <v>-0.64772727272727271</v>
      </c>
      <c r="U196" s="7">
        <f t="shared" si="152"/>
        <v>-3.1477272727272729</v>
      </c>
      <c r="V196" s="7">
        <f t="shared" si="153"/>
        <v>-0.64772727272727271</v>
      </c>
      <c r="W196" s="7">
        <f t="shared" si="154"/>
        <v>-3.1477272727272729</v>
      </c>
      <c r="X196" s="1">
        <f t="shared" si="105"/>
        <v>0</v>
      </c>
      <c r="Y196" s="1">
        <f t="shared" si="106"/>
        <v>0</v>
      </c>
      <c r="Z196">
        <f t="shared" si="107"/>
        <v>0</v>
      </c>
      <c r="AA196">
        <f t="shared" si="108"/>
        <v>0</v>
      </c>
      <c r="AB196">
        <f t="shared" si="109"/>
        <v>0</v>
      </c>
      <c r="AC196">
        <f t="shared" si="110"/>
        <v>0</v>
      </c>
      <c r="AD196">
        <f t="shared" si="111"/>
        <v>0</v>
      </c>
      <c r="AE196">
        <f t="shared" si="112"/>
        <v>0</v>
      </c>
      <c r="AF196">
        <f t="shared" si="113"/>
        <v>0</v>
      </c>
      <c r="AG196">
        <f t="shared" si="114"/>
        <v>0</v>
      </c>
      <c r="AH196">
        <f t="shared" si="115"/>
        <v>0</v>
      </c>
      <c r="AI196" s="1">
        <f t="shared" si="116"/>
        <v>0</v>
      </c>
      <c r="AJ196" s="1">
        <f t="shared" si="117"/>
        <v>0</v>
      </c>
      <c r="AK196">
        <f t="shared" si="118"/>
        <v>0</v>
      </c>
      <c r="AL196">
        <f t="shared" si="119"/>
        <v>0</v>
      </c>
      <c r="AM196">
        <f t="shared" si="120"/>
        <v>0</v>
      </c>
      <c r="AN196">
        <f t="shared" si="121"/>
        <v>0</v>
      </c>
      <c r="AO196">
        <f t="shared" si="122"/>
        <v>0</v>
      </c>
      <c r="AP196">
        <f t="shared" si="123"/>
        <v>0</v>
      </c>
      <c r="AQ196">
        <f t="shared" si="124"/>
        <v>0</v>
      </c>
      <c r="AR196">
        <f t="shared" si="125"/>
        <v>0</v>
      </c>
      <c r="AS196">
        <f t="shared" si="126"/>
        <v>0</v>
      </c>
      <c r="AT196" s="1">
        <f t="shared" si="127"/>
        <v>0</v>
      </c>
      <c r="AU196" s="1">
        <f t="shared" si="128"/>
        <v>0</v>
      </c>
      <c r="AV196">
        <f t="shared" si="129"/>
        <v>0</v>
      </c>
      <c r="AW196">
        <f t="shared" si="130"/>
        <v>0</v>
      </c>
      <c r="AX196">
        <f t="shared" si="131"/>
        <v>0</v>
      </c>
      <c r="AY196">
        <f t="shared" si="132"/>
        <v>0</v>
      </c>
      <c r="AZ196">
        <f t="shared" si="133"/>
        <v>0</v>
      </c>
      <c r="BA196">
        <f t="shared" si="134"/>
        <v>0</v>
      </c>
      <c r="BB196">
        <f t="shared" si="135"/>
        <v>0</v>
      </c>
      <c r="BC196">
        <f t="shared" si="136"/>
        <v>0</v>
      </c>
      <c r="BD196">
        <f t="shared" si="137"/>
        <v>0</v>
      </c>
    </row>
    <row r="197" spans="1:56" x14ac:dyDescent="0.25">
      <c r="A197" s="1">
        <v>180</v>
      </c>
      <c r="B197" s="2">
        <v>0</v>
      </c>
      <c r="C197" s="2">
        <v>0</v>
      </c>
      <c r="D197" s="2">
        <v>0</v>
      </c>
      <c r="E197" s="2">
        <v>0</v>
      </c>
      <c r="F197" s="1">
        <f t="shared" si="138"/>
        <v>0</v>
      </c>
      <c r="G197" s="1">
        <f t="shared" si="139"/>
        <v>0</v>
      </c>
      <c r="H197" s="1">
        <f t="shared" si="140"/>
        <v>0</v>
      </c>
      <c r="I197" s="1">
        <f t="shared" si="141"/>
        <v>0</v>
      </c>
      <c r="J197" s="1">
        <f t="shared" si="142"/>
        <v>0</v>
      </c>
      <c r="K197" s="1">
        <f t="shared" si="143"/>
        <v>0</v>
      </c>
      <c r="L197" s="1">
        <f t="shared" si="144"/>
        <v>0</v>
      </c>
      <c r="M197" s="1">
        <f t="shared" si="145"/>
        <v>0</v>
      </c>
      <c r="N197" s="1">
        <f t="shared" si="146"/>
        <v>0</v>
      </c>
      <c r="O197" s="1">
        <f t="shared" si="147"/>
        <v>-0.64772727272727271</v>
      </c>
      <c r="P197" s="1">
        <f t="shared" si="148"/>
        <v>-3.1477272727272729</v>
      </c>
      <c r="Q197" s="1">
        <f t="shared" si="149"/>
        <v>0</v>
      </c>
      <c r="R197" s="1">
        <f t="shared" si="104"/>
        <v>0</v>
      </c>
      <c r="S197" s="1">
        <f t="shared" si="150"/>
        <v>0</v>
      </c>
      <c r="T197" s="7">
        <f t="shared" si="151"/>
        <v>-0.64772727272727271</v>
      </c>
      <c r="U197" s="7">
        <f t="shared" si="152"/>
        <v>-3.1477272727272729</v>
      </c>
      <c r="V197" s="7">
        <f t="shared" si="153"/>
        <v>-0.64772727272727271</v>
      </c>
      <c r="W197" s="7">
        <f t="shared" si="154"/>
        <v>-3.1477272727272729</v>
      </c>
      <c r="X197" s="1">
        <f t="shared" si="105"/>
        <v>0</v>
      </c>
      <c r="Y197" s="1">
        <f t="shared" si="106"/>
        <v>0</v>
      </c>
      <c r="Z197">
        <f t="shared" si="107"/>
        <v>0</v>
      </c>
      <c r="AA197">
        <f t="shared" si="108"/>
        <v>0</v>
      </c>
      <c r="AB197">
        <f t="shared" si="109"/>
        <v>0</v>
      </c>
      <c r="AC197">
        <f t="shared" si="110"/>
        <v>0</v>
      </c>
      <c r="AD197">
        <f t="shared" si="111"/>
        <v>0</v>
      </c>
      <c r="AE197">
        <f t="shared" si="112"/>
        <v>0</v>
      </c>
      <c r="AF197">
        <f t="shared" si="113"/>
        <v>0</v>
      </c>
      <c r="AG197">
        <f t="shared" si="114"/>
        <v>0</v>
      </c>
      <c r="AH197">
        <f t="shared" si="115"/>
        <v>0</v>
      </c>
      <c r="AI197" s="1">
        <f t="shared" si="116"/>
        <v>0</v>
      </c>
      <c r="AJ197" s="1">
        <f t="shared" si="117"/>
        <v>0</v>
      </c>
      <c r="AK197">
        <f t="shared" si="118"/>
        <v>0</v>
      </c>
      <c r="AL197">
        <f t="shared" si="119"/>
        <v>0</v>
      </c>
      <c r="AM197">
        <f t="shared" si="120"/>
        <v>0</v>
      </c>
      <c r="AN197">
        <f t="shared" si="121"/>
        <v>0</v>
      </c>
      <c r="AO197">
        <f t="shared" si="122"/>
        <v>0</v>
      </c>
      <c r="AP197">
        <f t="shared" si="123"/>
        <v>0</v>
      </c>
      <c r="AQ197">
        <f t="shared" si="124"/>
        <v>0</v>
      </c>
      <c r="AR197">
        <f t="shared" si="125"/>
        <v>0</v>
      </c>
      <c r="AS197">
        <f t="shared" si="126"/>
        <v>0</v>
      </c>
      <c r="AT197" s="1">
        <f t="shared" si="127"/>
        <v>0</v>
      </c>
      <c r="AU197" s="1">
        <f t="shared" si="128"/>
        <v>0</v>
      </c>
      <c r="AV197">
        <f t="shared" si="129"/>
        <v>0</v>
      </c>
      <c r="AW197">
        <f t="shared" si="130"/>
        <v>0</v>
      </c>
      <c r="AX197">
        <f t="shared" si="131"/>
        <v>0</v>
      </c>
      <c r="AY197">
        <f t="shared" si="132"/>
        <v>0</v>
      </c>
      <c r="AZ197">
        <f t="shared" si="133"/>
        <v>0</v>
      </c>
      <c r="BA197">
        <f t="shared" si="134"/>
        <v>0</v>
      </c>
      <c r="BB197">
        <f t="shared" si="135"/>
        <v>0</v>
      </c>
      <c r="BC197">
        <f t="shared" si="136"/>
        <v>0</v>
      </c>
      <c r="BD197">
        <f t="shared" si="137"/>
        <v>0</v>
      </c>
    </row>
    <row r="198" spans="1:56" x14ac:dyDescent="0.25">
      <c r="A198" s="1">
        <v>181</v>
      </c>
      <c r="B198" s="2">
        <v>0</v>
      </c>
      <c r="C198" s="2">
        <v>0</v>
      </c>
      <c r="D198" s="2">
        <v>0</v>
      </c>
      <c r="E198" s="2">
        <v>0</v>
      </c>
      <c r="F198" s="1">
        <f t="shared" si="138"/>
        <v>0</v>
      </c>
      <c r="G198" s="1">
        <f t="shared" si="139"/>
        <v>0</v>
      </c>
      <c r="H198" s="1">
        <f t="shared" si="140"/>
        <v>0</v>
      </c>
      <c r="I198" s="1">
        <f t="shared" si="141"/>
        <v>0</v>
      </c>
      <c r="J198" s="1">
        <f t="shared" si="142"/>
        <v>0</v>
      </c>
      <c r="K198" s="1">
        <f t="shared" si="143"/>
        <v>0</v>
      </c>
      <c r="L198" s="1">
        <f t="shared" si="144"/>
        <v>0</v>
      </c>
      <c r="M198" s="1">
        <f t="shared" si="145"/>
        <v>0</v>
      </c>
      <c r="N198" s="1">
        <f t="shared" si="146"/>
        <v>0</v>
      </c>
      <c r="O198" s="1">
        <f t="shared" si="147"/>
        <v>-0.64772727272727271</v>
      </c>
      <c r="P198" s="1">
        <f t="shared" si="148"/>
        <v>-3.1477272727272729</v>
      </c>
      <c r="Q198" s="1">
        <f t="shared" si="149"/>
        <v>0</v>
      </c>
      <c r="R198" s="1">
        <f t="shared" si="104"/>
        <v>0</v>
      </c>
      <c r="S198" s="1">
        <f t="shared" si="150"/>
        <v>0</v>
      </c>
      <c r="T198" s="7">
        <f t="shared" si="151"/>
        <v>-0.64772727272727271</v>
      </c>
      <c r="U198" s="7">
        <f t="shared" si="152"/>
        <v>-3.1477272727272729</v>
      </c>
      <c r="V198" s="7">
        <f t="shared" si="153"/>
        <v>-0.64772727272727271</v>
      </c>
      <c r="W198" s="7">
        <f t="shared" si="154"/>
        <v>-3.1477272727272729</v>
      </c>
      <c r="X198" s="1">
        <f t="shared" si="105"/>
        <v>0</v>
      </c>
      <c r="Y198" s="1">
        <f t="shared" si="106"/>
        <v>0</v>
      </c>
      <c r="Z198">
        <f t="shared" si="107"/>
        <v>0</v>
      </c>
      <c r="AA198">
        <f t="shared" si="108"/>
        <v>0</v>
      </c>
      <c r="AB198">
        <f t="shared" si="109"/>
        <v>0</v>
      </c>
      <c r="AC198">
        <f t="shared" si="110"/>
        <v>0</v>
      </c>
      <c r="AD198">
        <f t="shared" si="111"/>
        <v>0</v>
      </c>
      <c r="AE198">
        <f t="shared" si="112"/>
        <v>0</v>
      </c>
      <c r="AF198">
        <f t="shared" si="113"/>
        <v>0</v>
      </c>
      <c r="AG198">
        <f t="shared" si="114"/>
        <v>0</v>
      </c>
      <c r="AH198">
        <f t="shared" si="115"/>
        <v>0</v>
      </c>
      <c r="AI198" s="1">
        <f t="shared" si="116"/>
        <v>0</v>
      </c>
      <c r="AJ198" s="1">
        <f t="shared" si="117"/>
        <v>0</v>
      </c>
      <c r="AK198">
        <f t="shared" si="118"/>
        <v>0</v>
      </c>
      <c r="AL198">
        <f t="shared" si="119"/>
        <v>0</v>
      </c>
      <c r="AM198">
        <f t="shared" si="120"/>
        <v>0</v>
      </c>
      <c r="AN198">
        <f t="shared" si="121"/>
        <v>0</v>
      </c>
      <c r="AO198">
        <f t="shared" si="122"/>
        <v>0</v>
      </c>
      <c r="AP198">
        <f t="shared" si="123"/>
        <v>0</v>
      </c>
      <c r="AQ198">
        <f t="shared" si="124"/>
        <v>0</v>
      </c>
      <c r="AR198">
        <f t="shared" si="125"/>
        <v>0</v>
      </c>
      <c r="AS198">
        <f t="shared" si="126"/>
        <v>0</v>
      </c>
      <c r="AT198" s="1">
        <f t="shared" si="127"/>
        <v>0</v>
      </c>
      <c r="AU198" s="1">
        <f t="shared" si="128"/>
        <v>0</v>
      </c>
      <c r="AV198">
        <f t="shared" si="129"/>
        <v>0</v>
      </c>
      <c r="AW198">
        <f t="shared" si="130"/>
        <v>0</v>
      </c>
      <c r="AX198">
        <f t="shared" si="131"/>
        <v>0</v>
      </c>
      <c r="AY198">
        <f t="shared" si="132"/>
        <v>0</v>
      </c>
      <c r="AZ198">
        <f t="shared" si="133"/>
        <v>0</v>
      </c>
      <c r="BA198">
        <f t="shared" si="134"/>
        <v>0</v>
      </c>
      <c r="BB198">
        <f t="shared" si="135"/>
        <v>0</v>
      </c>
      <c r="BC198">
        <f t="shared" si="136"/>
        <v>0</v>
      </c>
      <c r="BD198">
        <f t="shared" si="137"/>
        <v>0</v>
      </c>
    </row>
    <row r="199" spans="1:56" x14ac:dyDescent="0.25">
      <c r="X199" s="1"/>
      <c r="Z199" s="1"/>
      <c r="AA199" s="1"/>
      <c r="AC199" s="1"/>
      <c r="AD199" s="1"/>
      <c r="AE199" s="1"/>
      <c r="AF199" s="1"/>
      <c r="AH199" s="15">
        <f>MAX(AH18:AH198)</f>
        <v>9734.8178488844187</v>
      </c>
      <c r="AI199" s="1"/>
      <c r="AJ199" s="1"/>
      <c r="AL199" s="1"/>
      <c r="AM199" s="1"/>
      <c r="AN199" s="1"/>
      <c r="AO199" s="1"/>
      <c r="AP199" s="1"/>
      <c r="AR199" s="1"/>
      <c r="AS199" s="15">
        <f>MAX(AS18:AS198)</f>
        <v>9734.8178488844187</v>
      </c>
      <c r="AU199" s="1"/>
      <c r="AV199" s="1"/>
      <c r="AW199" s="1"/>
      <c r="AX199" s="1"/>
      <c r="AY199" s="1"/>
      <c r="BD199" s="15">
        <f>MAX(BD18:BD198)</f>
        <v>8850.0236688639143</v>
      </c>
    </row>
    <row r="200" spans="1:56" x14ac:dyDescent="0.25"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</sheetData>
  <dataValidations count="1">
    <dataValidation type="list" allowBlank="1" showInputMessage="1" showErrorMessage="1" sqref="B4" xr:uid="{D683521E-CB19-4EBB-8374-113EAD7DB062}">
      <formula1>"Service, Ultimate"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Weld_Group_Analysis</vt:lpstr>
      <vt:lpstr>Weld_Group_Chart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2020-03-12T17:35:10Z</dcterms:created>
  <dcterms:modified xsi:type="dcterms:W3CDTF">2021-01-18T19:01:56Z</dcterms:modified>
</cp:coreProperties>
</file>